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infraestructuratdf-my.sharepoint.com/personal/aarcos_tierradelfuego_gob_ar/Documents/IPIEC_Test/01 - Banco de datos/15_3 Energía/cuadros/"/>
    </mc:Choice>
  </mc:AlternateContent>
  <xr:revisionPtr revIDLastSave="1230" documentId="11_F99312D8DEE95939DD29BD86668D2F7FF331164F" xr6:coauthVersionLast="47" xr6:coauthVersionMax="47" xr10:uidLastSave="{983B26F7-F97A-4E86-89CB-7CB5A29D28B7}"/>
  <bookViews>
    <workbookView xWindow="-120" yWindow="-120" windowWidth="24240" windowHeight="13140" tabRatio="500" firstSheet="4" activeTab="4" xr2:uid="{00000000-000D-0000-FFFF-FFFF00000000}"/>
  </bookViews>
  <sheets>
    <sheet name="Índice" sheetId="1" r:id="rId1"/>
    <sheet name="Total TDF" sheetId="2" r:id="rId2"/>
    <sheet name="Ushuaia" sheetId="3" r:id="rId3"/>
    <sheet name="Río Grande" sheetId="4" r:id="rId4"/>
    <sheet name="Tolhuin" sheetId="5" r:id="rId5"/>
    <sheet name="Ficha técnica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1" i="3" l="1"/>
  <c r="C190" i="3"/>
  <c r="C188" i="4"/>
  <c r="C189" i="4"/>
  <c r="C191" i="4"/>
  <c r="C104" i="5"/>
  <c r="C103" i="5"/>
  <c r="C102" i="5"/>
  <c r="D30" i="5"/>
  <c r="D29" i="5"/>
  <c r="D28" i="5"/>
  <c r="D27" i="5"/>
  <c r="D26" i="5"/>
  <c r="D25" i="5"/>
  <c r="D24" i="5"/>
  <c r="D23" i="5"/>
  <c r="D22" i="5"/>
  <c r="D21" i="5"/>
  <c r="D20" i="5"/>
  <c r="D19" i="5"/>
  <c r="H188" i="3"/>
  <c r="C188" i="3"/>
  <c r="H187" i="3"/>
  <c r="C187" i="3"/>
</calcChain>
</file>

<file path=xl/sharedStrings.xml><?xml version="1.0" encoding="utf-8"?>
<sst xmlns="http://schemas.openxmlformats.org/spreadsheetml/2006/main" count="836" uniqueCount="109">
  <si>
    <t>Energía eléctrica consumida por tipo de usuario. Ushuaia, Río Grande, Tolhuin y total provincial. Provincia de Tierra del Fuego, AeIAS.</t>
  </si>
  <si>
    <t>Índice</t>
  </si>
  <si>
    <t>Total provincial</t>
  </si>
  <si>
    <t>Ushuaia</t>
  </si>
  <si>
    <t>Rio Grande</t>
  </si>
  <si>
    <t>Tolhuin</t>
  </si>
  <si>
    <t>Ficha técnica</t>
  </si>
  <si>
    <t xml:space="preserve">Signos convencionales </t>
  </si>
  <si>
    <t>- Cero absoluto</t>
  </si>
  <si>
    <t>... Dato no disponible a la fecha de presentación de resultados</t>
  </si>
  <si>
    <t>* Dato provisorio</t>
  </si>
  <si>
    <t>Fuente:</t>
  </si>
  <si>
    <t>IPIEC Dirección de Producción Estadística sobre la base de datos de la Dirección Provincial de Energía Ushuaia y de la Cooperativa Eléctrica y Otros Servicios Públicos Ltda., provincia de TDFAeIAS.</t>
  </si>
  <si>
    <t xml:space="preserve">Energía eléctrica consumida por tipo de usuario. Provincia de Tierra del Fuego AeIAS. </t>
  </si>
  <si>
    <t>Período</t>
  </si>
  <si>
    <t>Total</t>
  </si>
  <si>
    <t>Tipo de usuario</t>
  </si>
  <si>
    <t>Grandes 
Demandas</t>
  </si>
  <si>
    <t>Medianas 
Demandas</t>
  </si>
  <si>
    <t>Uso
 Residencial</t>
  </si>
  <si>
    <t>Uso 
General</t>
  </si>
  <si>
    <t xml:space="preserve">Alumbrado 
Público </t>
  </si>
  <si>
    <t>kWh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</si>
  <si>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</si>
  <si>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</si>
  <si>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</si>
  <si>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</si>
  <si>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</si>
  <si>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</si>
  <si>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</si>
  <si>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</si>
  <si>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</si>
  <si>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</si>
  <si>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</si>
  <si>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</si>
  <si>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Junio </t>
  </si>
  <si>
    <t xml:space="preserve">Septiembre </t>
  </si>
  <si>
    <t xml:space="preserve">Octubre </t>
  </si>
  <si>
    <t xml:space="preserve">Noviembre </t>
  </si>
  <si>
    <t xml:space="preserve">Diciembre </t>
  </si>
  <si>
    <t xml:space="preserve">Enero </t>
  </si>
  <si>
    <t xml:space="preserve">Febrero </t>
  </si>
  <si>
    <t xml:space="preserve">Marzo </t>
  </si>
  <si>
    <t xml:space="preserve">Abril </t>
  </si>
  <si>
    <t>noviembre</t>
  </si>
  <si>
    <t>diciembre</t>
  </si>
  <si>
    <t>enero</t>
  </si>
  <si>
    <t>febrero</t>
  </si>
  <si>
    <r>
      <rPr>
        <b/>
        <sz val="8"/>
        <color rgb="FF000000"/>
        <rFont val="Arial"/>
      </rPr>
      <t xml:space="preserve">Nota: </t>
    </r>
    <r>
      <rPr>
        <sz val="8"/>
        <color rgb="FF000000"/>
        <rFont val="Arial"/>
      </rPr>
      <t>Los años 2010 a 2016 no incluyen el consumo de la ciudad de Tolhuin.</t>
    </r>
  </si>
  <si>
    <r>
      <rPr>
        <b/>
        <sz val="8"/>
        <color rgb="FF000000"/>
        <rFont val="Arial"/>
      </rPr>
      <t>Fuente:</t>
    </r>
    <r>
      <rPr>
        <sz val="8"/>
        <color rgb="FF000000"/>
        <rFont val="Arial"/>
      </rPr>
      <t xml:space="preserve"> IPIEC Direccion de Produccion Estadistica en base a Dirección Provincial de Energía Ushuaia y Cooperativa Eléctrica y Otros Servicios Públicos, Ltda.</t>
    </r>
  </si>
  <si>
    <t>Energia electrica consumida por tipo de de usuario. Ciudad de Ushuaia</t>
  </si>
  <si>
    <t>Grandes Demandas</t>
  </si>
  <si>
    <t>Medianas Demandas</t>
  </si>
  <si>
    <t>Uso Residencial</t>
  </si>
  <si>
    <t>Uso General</t>
  </si>
  <si>
    <t xml:space="preserve">Alumbrado Público </t>
  </si>
  <si>
    <t xml:space="preserve">Mayo </t>
  </si>
  <si>
    <t>marzo</t>
  </si>
  <si>
    <r>
      <rPr>
        <b/>
        <sz val="8"/>
        <color rgb="FF000000"/>
        <rFont val="Arial"/>
      </rPr>
      <t>Fuente:</t>
    </r>
    <r>
      <rPr>
        <sz val="8"/>
        <color rgb="FF000000"/>
        <rFont val="Arial"/>
      </rPr>
      <t xml:space="preserve"> IPIEC Direccion de Produccion estadistica en base a Dirección Provincial de Energía Ushuaia .</t>
    </r>
  </si>
  <si>
    <t xml:space="preserve"> Energía eléctrica consumida por tipo de usuario. Ciudad de Río Grande</t>
  </si>
  <si>
    <t>Alumbrado Público</t>
  </si>
  <si>
    <t>...</t>
  </si>
  <si>
    <r>
      <rPr>
        <b/>
        <sz val="8"/>
        <color rgb="FF000000"/>
        <rFont val="Arial"/>
      </rPr>
      <t>Fuente:</t>
    </r>
    <r>
      <rPr>
        <sz val="8"/>
        <color rgb="FF000000"/>
        <rFont val="Arial"/>
      </rPr>
      <t>IPIEC Direccion de Produccion Estadistica en base a Cooperativa Eléctrica y Otros Servicios Públicos, Ltda.</t>
    </r>
  </si>
  <si>
    <t>... Dato no disponible a la fecha de presentacion de resultados.</t>
  </si>
  <si>
    <t>Energía eléctrica consumida por tipo de usuario. Ciudad de Tolhuin</t>
  </si>
  <si>
    <t>Agocto</t>
  </si>
  <si>
    <t>Nobiembre</t>
  </si>
  <si>
    <r>
      <rPr>
        <b/>
        <sz val="8"/>
        <color rgb="FF000000"/>
        <rFont val="Arial"/>
      </rPr>
      <t>Fuente:</t>
    </r>
    <r>
      <rPr>
        <sz val="8"/>
        <color rgb="FF000000"/>
        <rFont val="Arial"/>
      </rPr>
      <t xml:space="preserve"> IPIEC Direccion de Produccion Estadistica en base a la Dirección Provincial de Energía Ushuaia .y Otros Servicios Públicos, Ltda</t>
    </r>
  </si>
  <si>
    <t xml:space="preserve">FICHA TECNICA </t>
  </si>
  <si>
    <t>Archivo</t>
  </si>
  <si>
    <t>15_3_01</t>
  </si>
  <si>
    <t xml:space="preserve">Tema </t>
  </si>
  <si>
    <t>Energía</t>
  </si>
  <si>
    <t>Subtema</t>
  </si>
  <si>
    <t>Proveedores de energía</t>
  </si>
  <si>
    <t>Serie</t>
  </si>
  <si>
    <t>Energía eléctrica consumida por tipo de usuario</t>
  </si>
  <si>
    <t>Objetivo</t>
  </si>
  <si>
    <t>Mostrar la evolución de la cantidad de energía eléctrica que se consume en la Provincia de Tierra del Fuego</t>
  </si>
  <si>
    <t>Cobertura geográfica</t>
  </si>
  <si>
    <t>Ushuaia, Río Grande, Tolhuin y total provincial. Provincia de Tierra del Fuego AeIAS</t>
  </si>
  <si>
    <t>Cobertura temporal</t>
  </si>
  <si>
    <t>Años 2010-2026</t>
  </si>
  <si>
    <t>Variable 1</t>
  </si>
  <si>
    <t xml:space="preserve">Definición Operativa </t>
  </si>
  <si>
    <t>Corresponde a la cantidad total de energía eléctrica facturada en la Provincia de Tierra del Fuego</t>
  </si>
  <si>
    <t>Unidad de Medida</t>
  </si>
  <si>
    <t xml:space="preserve">kWh  </t>
  </si>
  <si>
    <t>Método de Cálculo (formula)</t>
  </si>
  <si>
    <t>No aplica</t>
  </si>
  <si>
    <t>Variable 2</t>
  </si>
  <si>
    <t>Grandes demandas</t>
  </si>
  <si>
    <t>Corresponde a la cantidad de energía eléctrica facturada por la población usuaria de grandes demandas en la Provincia de Tierra del Fuego, categoría que aplica a clientes cuya demanda máxima de potencia contratada sea igual o mayor a  50 kW.</t>
  </si>
  <si>
    <t>Variable 3</t>
  </si>
  <si>
    <t>Medianas demandas</t>
  </si>
  <si>
    <t>Corresponde a la cantidad de energía eléctrica facturada por la población usuaria de medianas demandas en la Provincia de Tierra del Fuego, categoría que aplica a clientes cuya demanda máxima de potencia contratada sea mayor a 10 y menor a 50 kW.</t>
  </si>
  <si>
    <t>Corresponde a la cantidad de energía eléctrica facturada por la población usuaria de uso residencial en la Provincia de Tierra del Fuego, categoría que aplica a usuarios con uso final declarado residencial y con demanda máxima de potencia no superior a los 10 kW.</t>
  </si>
  <si>
    <t>Uso general</t>
  </si>
  <si>
    <t>Corresponde a la cantidad de energía eléctrica facturada por la población usuaria de alumbrado público en la Provincia de Tierra del Fuego,categoría que aplica a clientes con uso final no residencial (usos comerciales, industriales, servicios, oficiales, etc.) y cuya demanda máxima de potencia no supere los 10 kW.</t>
  </si>
  <si>
    <t>Variable 4</t>
  </si>
  <si>
    <t>Alumbrado público</t>
  </si>
  <si>
    <t>Son aquellos usuarios que utilizan la energía eléctrica con la finalidad de iluminar espacios de dominio público. El alumbrado público de las Ciudades de Ushuaia y Tolhuin no se mide, se calcula en función de la cantidad de lámparas instaladas y horas de funcionamiento.</t>
  </si>
  <si>
    <t>Periodicidad de Recepción de datos</t>
  </si>
  <si>
    <t>Mensual</t>
  </si>
  <si>
    <t xml:space="preserve">Periodicidad de Difusión </t>
  </si>
  <si>
    <t>Observaciones</t>
  </si>
  <si>
    <t xml:space="preserve">El alumbrado público de las Ciudades de Ushuaia y Tolhuin no se mide, se calcula en función de lámparas instaladas y horas de funcionamiento.                                                        
Los años 2010 a 2016 no incluyen la ciudad de Tolhuin.                                                        </t>
  </si>
  <si>
    <t>Fuente</t>
  </si>
  <si>
    <t xml:space="preserve"> IPIEC Dirección de Producción Estadística en base a datos de la Dirección Provincial de Energía Ushuaia y Cooperativa Eléctrica y Otros Servicios Públicos Ltda.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</si>
</sst>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\-??_-;_-@"/>
  </numFmts>
  <fonts count="25">
    <font>
      <sz val="11"/>
      <name val="Arial"/>
      <family val="2"/>
    </font>
    <font>
      <b/>
      <sz val="8"/>
      <color rgb="FF1F1F1F"/>
      <name val="Arial"/>
      <charset val="1"/>
    </font>
    <font>
      <b/>
      <sz val="9"/>
      <color theme="1"/>
      <name val="Arial"/>
      <charset val="1"/>
    </font>
    <font>
      <sz val="9"/>
      <color theme="1"/>
      <name val="Arial"/>
      <charset val="1"/>
    </font>
    <font>
      <sz val="8"/>
      <color theme="1"/>
      <name val="Arial"/>
      <charset val="1"/>
    </font>
    <font>
      <b/>
      <sz val="8"/>
      <color theme="1"/>
      <name val="Arial"/>
      <charset val="1"/>
    </font>
    <font>
      <u/>
      <sz val="8"/>
      <color rgb="FF0000FF"/>
      <name val="Arial"/>
      <charset val="1"/>
    </font>
    <font>
      <sz val="8"/>
      <color theme="1"/>
      <name val="Calibri"/>
      <charset val="1"/>
    </font>
    <font>
      <sz val="8"/>
      <color rgb="FF000000"/>
      <name val="Arial"/>
      <charset val="1"/>
    </font>
    <font>
      <sz val="10"/>
      <color theme="1"/>
      <name val="Arial"/>
      <charset val="1"/>
    </font>
    <font>
      <sz val="11"/>
      <color theme="1"/>
      <name val="Calibri"/>
      <charset val="1"/>
    </font>
    <font>
      <b/>
      <sz val="8"/>
      <color rgb="FF000000"/>
      <name val="Arial"/>
      <charset val="1"/>
    </font>
    <font>
      <sz val="11"/>
      <color theme="1"/>
      <name val="Arial"/>
      <charset val="1"/>
    </font>
    <font>
      <b/>
      <sz val="11"/>
      <color theme="1"/>
      <name val="Arial"/>
      <charset val="1"/>
    </font>
    <font>
      <sz val="8"/>
      <color theme="1"/>
      <name val="Arial"/>
      <family val="2"/>
      <charset val="1"/>
    </font>
    <font>
      <b/>
      <sz val="8"/>
      <color rgb="FF000000"/>
      <name val="Arial"/>
      <family val="2"/>
      <charset val="1"/>
    </font>
    <font>
      <sz val="8"/>
      <name val="Arial"/>
      <family val="2"/>
      <charset val="1"/>
    </font>
    <font>
      <sz val="10"/>
      <name val="Arial"/>
      <charset val="1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theme="1"/>
      <name val="Arial"/>
      <family val="2"/>
      <charset val="1"/>
    </font>
    <font>
      <sz val="10"/>
      <name val="Arial"/>
    </font>
    <font>
      <b/>
      <sz val="10"/>
      <name val="Swis721 Ex BT"/>
      <family val="2"/>
    </font>
    <font>
      <sz val="8"/>
      <color rgb="FF000000"/>
      <name val="Arial"/>
      <family val="2"/>
      <charset val="1"/>
    </font>
    <font>
      <sz val="10"/>
      <name val="Swis721 Ex B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599"/>
        <bgColor rgb="FFFFFF99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1" fillId="2" borderId="0" xfId="0" applyFont="1" applyFill="1" applyAlignment="1">
      <alignment vertical="top" wrapText="1"/>
    </xf>
    <xf numFmtId="3" fontId="4" fillId="2" borderId="0" xfId="0" applyNumberFormat="1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top" wrapText="1"/>
    </xf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/>
    <xf numFmtId="49" fontId="4" fillId="2" borderId="0" xfId="0" applyNumberFormat="1" applyFont="1" applyFill="1"/>
    <xf numFmtId="0" fontId="7" fillId="0" borderId="0" xfId="0" applyFont="1"/>
    <xf numFmtId="0" fontId="8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/>
    </xf>
    <xf numFmtId="3" fontId="8" fillId="2" borderId="0" xfId="0" applyNumberFormat="1" applyFont="1" applyFill="1"/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3" fontId="4" fillId="2" borderId="0" xfId="0" applyNumberFormat="1" applyFont="1" applyFill="1"/>
    <xf numFmtId="0" fontId="10" fillId="2" borderId="0" xfId="0" applyFont="1" applyFill="1"/>
    <xf numFmtId="3" fontId="11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3" fontId="8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3" fontId="5" fillId="2" borderId="0" xfId="0" applyNumberFormat="1" applyFont="1" applyFill="1" applyAlignment="1">
      <alignment horizontal="right" wrapText="1"/>
    </xf>
    <xf numFmtId="164" fontId="4" fillId="2" borderId="0" xfId="0" applyNumberFormat="1" applyFont="1" applyFill="1" applyAlignment="1">
      <alignment horizontal="right" wrapText="1"/>
    </xf>
    <xf numFmtId="0" fontId="5" fillId="2" borderId="0" xfId="0" applyFont="1" applyFill="1" applyAlignment="1">
      <alignment horizontal="right" vertical="top" wrapText="1"/>
    </xf>
    <xf numFmtId="3" fontId="8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4" fillId="0" borderId="0" xfId="0" applyFont="1"/>
    <xf numFmtId="0" fontId="4" fillId="2" borderId="2" xfId="0" applyFont="1" applyFill="1" applyBorder="1" applyAlignment="1">
      <alignment horizontal="center" wrapText="1"/>
    </xf>
    <xf numFmtId="3" fontId="5" fillId="2" borderId="0" xfId="0" applyNumberFormat="1" applyFont="1" applyFill="1"/>
    <xf numFmtId="3" fontId="4" fillId="0" borderId="0" xfId="0" applyNumberFormat="1" applyFont="1" applyAlignment="1">
      <alignment horizontal="right"/>
    </xf>
    <xf numFmtId="0" fontId="4" fillId="2" borderId="0" xfId="0" applyFont="1" applyFill="1" applyAlignment="1">
      <alignment vertical="top"/>
    </xf>
    <xf numFmtId="4" fontId="4" fillId="2" borderId="0" xfId="0" applyNumberFormat="1" applyFont="1" applyFill="1" applyAlignment="1">
      <alignment vertical="top"/>
    </xf>
    <xf numFmtId="0" fontId="5" fillId="2" borderId="2" xfId="0" applyFont="1" applyFill="1" applyBorder="1" applyAlignment="1">
      <alignment horizontal="center" wrapText="1"/>
    </xf>
    <xf numFmtId="3" fontId="5" fillId="0" borderId="0" xfId="0" applyNumberFormat="1" applyFont="1" applyAlignment="1">
      <alignment horizontal="right"/>
    </xf>
    <xf numFmtId="3" fontId="4" fillId="0" borderId="0" xfId="0" applyNumberFormat="1" applyFont="1"/>
    <xf numFmtId="0" fontId="11" fillId="2" borderId="0" xfId="0" applyFont="1" applyFill="1" applyAlignment="1">
      <alignment horizontal="left" wrapText="1"/>
    </xf>
    <xf numFmtId="3" fontId="11" fillId="2" borderId="0" xfId="0" applyNumberFormat="1" applyFont="1" applyFill="1" applyAlignment="1">
      <alignment horizontal="right" wrapText="1"/>
    </xf>
    <xf numFmtId="3" fontId="8" fillId="2" borderId="0" xfId="0" applyNumberFormat="1" applyFont="1" applyFill="1" applyAlignment="1">
      <alignment horizontal="right" wrapText="1"/>
    </xf>
    <xf numFmtId="0" fontId="11" fillId="2" borderId="0" xfId="0" applyFont="1" applyFill="1" applyAlignment="1">
      <alignment wrapText="1"/>
    </xf>
    <xf numFmtId="3" fontId="11" fillId="2" borderId="0" xfId="0" applyNumberFormat="1" applyFont="1" applyFill="1" applyAlignment="1">
      <alignment wrapText="1"/>
    </xf>
    <xf numFmtId="3" fontId="8" fillId="2" borderId="0" xfId="0" applyNumberFormat="1" applyFont="1" applyFill="1" applyAlignment="1">
      <alignment wrapText="1"/>
    </xf>
    <xf numFmtId="0" fontId="5" fillId="2" borderId="0" xfId="0" applyFont="1" applyFill="1" applyAlignment="1">
      <alignment vertical="top"/>
    </xf>
    <xf numFmtId="3" fontId="5" fillId="2" borderId="0" xfId="0" applyNumberFormat="1" applyFont="1" applyFill="1" applyAlignment="1">
      <alignment vertical="top"/>
    </xf>
    <xf numFmtId="3" fontId="4" fillId="2" borderId="0" xfId="0" applyNumberFormat="1" applyFont="1" applyFill="1" applyAlignment="1">
      <alignment vertical="top"/>
    </xf>
    <xf numFmtId="0" fontId="12" fillId="2" borderId="0" xfId="0" applyFont="1" applyFill="1"/>
    <xf numFmtId="0" fontId="12" fillId="0" borderId="0" xfId="0" applyFont="1"/>
    <xf numFmtId="3" fontId="12" fillId="2" borderId="0" xfId="0" applyNumberFormat="1" applyFont="1" applyFill="1"/>
    <xf numFmtId="3" fontId="13" fillId="2" borderId="0" xfId="0" applyNumberFormat="1" applyFont="1" applyFill="1"/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/>
    <xf numFmtId="0" fontId="7" fillId="2" borderId="0" xfId="0" applyFont="1" applyFill="1"/>
    <xf numFmtId="3" fontId="14" fillId="2" borderId="0" xfId="0" applyNumberFormat="1" applyFont="1" applyFill="1"/>
    <xf numFmtId="3" fontId="15" fillId="2" borderId="0" xfId="0" applyNumberFormat="1" applyFont="1" applyFill="1" applyAlignment="1">
      <alignment wrapText="1"/>
    </xf>
    <xf numFmtId="3" fontId="14" fillId="4" borderId="0" xfId="0" applyNumberFormat="1" applyFont="1" applyFill="1"/>
    <xf numFmtId="3" fontId="4" fillId="4" borderId="0" xfId="0" applyNumberFormat="1" applyFont="1" applyFill="1"/>
    <xf numFmtId="3" fontId="4" fillId="4" borderId="0" xfId="0" applyNumberFormat="1" applyFont="1" applyFill="1" applyAlignment="1">
      <alignment horizontal="right"/>
    </xf>
    <xf numFmtId="3" fontId="16" fillId="4" borderId="0" xfId="0" applyNumberFormat="1" applyFont="1" applyFill="1" applyAlignment="1">
      <alignment horizontal="right" readingOrder="1"/>
    </xf>
    <xf numFmtId="0" fontId="15" fillId="2" borderId="0" xfId="0" applyFont="1" applyFill="1" applyAlignment="1">
      <alignment vertical="top" wrapText="1"/>
    </xf>
    <xf numFmtId="0" fontId="15" fillId="2" borderId="0" xfId="0" applyFont="1" applyFill="1" applyAlignment="1">
      <alignment wrapText="1"/>
    </xf>
    <xf numFmtId="0" fontId="14" fillId="2" borderId="0" xfId="0" applyFont="1" applyFill="1"/>
    <xf numFmtId="0" fontId="14" fillId="0" borderId="0" xfId="0" applyFont="1"/>
    <xf numFmtId="3" fontId="17" fillId="0" borderId="0" xfId="0" applyNumberFormat="1" applyFont="1" applyAlignment="1">
      <alignment readingOrder="1"/>
    </xf>
    <xf numFmtId="3" fontId="14" fillId="4" borderId="0" xfId="0" applyNumberFormat="1" applyFont="1" applyFill="1" applyAlignment="1">
      <alignment horizontal="right"/>
    </xf>
    <xf numFmtId="3" fontId="16" fillId="0" borderId="0" xfId="0" applyNumberFormat="1" applyFont="1" applyAlignment="1">
      <alignment horizontal="right"/>
    </xf>
    <xf numFmtId="3" fontId="5" fillId="2" borderId="3" xfId="0" applyNumberFormat="1" applyFont="1" applyFill="1" applyBorder="1"/>
    <xf numFmtId="3" fontId="4" fillId="2" borderId="3" xfId="0" applyNumberFormat="1" applyFont="1" applyFill="1" applyBorder="1"/>
    <xf numFmtId="0" fontId="5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right" vertical="top" wrapText="1"/>
    </xf>
    <xf numFmtId="0" fontId="20" fillId="2" borderId="0" xfId="0" applyFont="1" applyFill="1" applyAlignment="1">
      <alignment horizontal="left" vertical="top" wrapText="1"/>
    </xf>
    <xf numFmtId="3" fontId="15" fillId="0" borderId="0" xfId="0" applyNumberFormat="1" applyFont="1" applyAlignment="1">
      <alignment horizontal="right"/>
    </xf>
    <xf numFmtId="164" fontId="14" fillId="2" borderId="0" xfId="0" applyNumberFormat="1" applyFont="1" applyFill="1" applyAlignment="1">
      <alignment horizontal="right" wrapText="1"/>
    </xf>
    <xf numFmtId="0" fontId="14" fillId="2" borderId="0" xfId="0" applyFont="1" applyFill="1" applyAlignment="1">
      <alignment horizontal="left" wrapText="1"/>
    </xf>
    <xf numFmtId="0" fontId="11" fillId="0" borderId="0" xfId="0" applyFont="1"/>
    <xf numFmtId="0" fontId="4" fillId="2" borderId="0" xfId="0" applyFont="1" applyFill="1" applyAlignment="1">
      <alignment horizontal="left" vertical="center" wrapText="1"/>
    </xf>
    <xf numFmtId="3" fontId="21" fillId="0" borderId="0" xfId="0" applyNumberFormat="1" applyFont="1"/>
    <xf numFmtId="3" fontId="22" fillId="4" borderId="0" xfId="0" applyNumberFormat="1" applyFont="1" applyFill="1"/>
    <xf numFmtId="0" fontId="4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vertical="center" wrapText="1"/>
    </xf>
    <xf numFmtId="3" fontId="17" fillId="0" borderId="0" xfId="0" applyNumberFormat="1" applyFont="1" applyAlignment="1">
      <alignment vertical="center" readingOrder="1"/>
    </xf>
    <xf numFmtId="3" fontId="4" fillId="4" borderId="0" xfId="0" applyNumberFormat="1" applyFont="1" applyFill="1" applyAlignment="1">
      <alignment vertical="center"/>
    </xf>
    <xf numFmtId="3" fontId="14" fillId="4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3" xfId="0" applyFont="1" applyBorder="1" applyAlignment="1">
      <alignment horizontal="left"/>
    </xf>
    <xf numFmtId="0" fontId="5" fillId="2" borderId="0" xfId="0" applyFont="1" applyFill="1" applyAlignment="1">
      <alignment horizontal="left" vertical="center" wrapText="1"/>
    </xf>
    <xf numFmtId="3" fontId="5" fillId="2" borderId="0" xfId="0" applyNumberFormat="1" applyFont="1" applyFill="1" applyAlignment="1">
      <alignment vertical="center"/>
    </xf>
    <xf numFmtId="3" fontId="4" fillId="2" borderId="0" xfId="0" applyNumberFormat="1" applyFont="1" applyFill="1" applyAlignment="1">
      <alignment vertical="center"/>
    </xf>
    <xf numFmtId="3" fontId="11" fillId="4" borderId="0" xfId="0" applyNumberFormat="1" applyFont="1" applyFill="1" applyAlignment="1">
      <alignment horizontal="right" vertical="center" wrapText="1"/>
    </xf>
    <xf numFmtId="3" fontId="8" fillId="4" borderId="0" xfId="0" applyNumberFormat="1" applyFont="1" applyFill="1" applyAlignment="1">
      <alignment horizontal="right" vertical="center" wrapText="1"/>
    </xf>
    <xf numFmtId="3" fontId="11" fillId="4" borderId="0" xfId="0" applyNumberFormat="1" applyFont="1" applyFill="1" applyAlignment="1">
      <alignment horizontal="right" wrapText="1"/>
    </xf>
    <xf numFmtId="3" fontId="8" fillId="4" borderId="0" xfId="0" applyNumberFormat="1" applyFont="1" applyFill="1" applyAlignment="1">
      <alignment horizontal="right" wrapText="1"/>
    </xf>
    <xf numFmtId="0" fontId="4" fillId="4" borderId="0" xfId="0" applyFont="1" applyFill="1"/>
    <xf numFmtId="0" fontId="14" fillId="4" borderId="0" xfId="0" applyFont="1" applyFill="1"/>
    <xf numFmtId="3" fontId="20" fillId="2" borderId="0" xfId="0" applyNumberFormat="1" applyFont="1" applyFill="1"/>
    <xf numFmtId="3" fontId="8" fillId="4" borderId="0" xfId="0" applyNumberFormat="1" applyFont="1" applyFill="1"/>
    <xf numFmtId="0" fontId="5" fillId="2" borderId="3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3" fontId="4" fillId="4" borderId="0" xfId="0" applyNumberFormat="1" applyFont="1" applyFill="1" applyAlignment="1">
      <alignment vertical="top"/>
    </xf>
    <xf numFmtId="0" fontId="5" fillId="2" borderId="0" xfId="0" applyFont="1" applyFill="1" applyAlignment="1">
      <alignment horizontal="left" vertical="top"/>
    </xf>
    <xf numFmtId="0" fontId="5" fillId="2" borderId="3" xfId="0" applyFont="1" applyFill="1" applyBorder="1" applyAlignment="1">
      <alignment horizontal="left"/>
    </xf>
    <xf numFmtId="0" fontId="5" fillId="2" borderId="0" xfId="0" applyFont="1" applyFill="1" applyAlignment="1">
      <alignment horizontal="center" vertical="top" wrapText="1"/>
    </xf>
    <xf numFmtId="0" fontId="15" fillId="2" borderId="3" xfId="0" applyFont="1" applyFill="1" applyBorder="1" applyAlignment="1">
      <alignment vertical="top" wrapText="1"/>
    </xf>
    <xf numFmtId="3" fontId="11" fillId="2" borderId="3" xfId="0" applyNumberFormat="1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left" wrapText="1"/>
    </xf>
    <xf numFmtId="3" fontId="15" fillId="4" borderId="3" xfId="0" applyNumberFormat="1" applyFont="1" applyFill="1" applyBorder="1" applyAlignment="1">
      <alignment horizontal="right"/>
    </xf>
    <xf numFmtId="164" fontId="14" fillId="4" borderId="3" xfId="0" applyNumberFormat="1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left" wrapText="1"/>
    </xf>
    <xf numFmtId="3" fontId="4" fillId="2" borderId="3" xfId="0" applyNumberFormat="1" applyFont="1" applyFill="1" applyBorder="1" applyAlignment="1">
      <alignment horizontal="right"/>
    </xf>
    <xf numFmtId="3" fontId="15" fillId="4" borderId="0" xfId="0" applyNumberFormat="1" applyFont="1" applyFill="1" applyAlignment="1">
      <alignment horizontal="right"/>
    </xf>
    <xf numFmtId="164" fontId="14" fillId="4" borderId="0" xfId="0" applyNumberFormat="1" applyFont="1" applyFill="1" applyAlignment="1">
      <alignment horizontal="right" wrapText="1"/>
    </xf>
    <xf numFmtId="3" fontId="11" fillId="2" borderId="0" xfId="0" applyNumberFormat="1" applyFont="1" applyFill="1" applyAlignment="1">
      <alignment horizontal="right" vertical="center" wrapText="1"/>
    </xf>
    <xf numFmtId="3" fontId="23" fillId="2" borderId="0" xfId="0" applyNumberFormat="1" applyFont="1" applyFill="1" applyAlignment="1">
      <alignment horizontal="right" vertical="center" wrapText="1"/>
    </xf>
    <xf numFmtId="0" fontId="11" fillId="2" borderId="3" xfId="0" applyFont="1" applyFill="1" applyBorder="1" applyAlignment="1">
      <alignment horizontal="left" wrapText="1"/>
    </xf>
    <xf numFmtId="0" fontId="4" fillId="3" borderId="6" xfId="0" applyFont="1" applyFill="1" applyBorder="1" applyAlignment="1">
      <alignment horizontal="center" vertical="top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9" xfId="0" applyFont="1" applyFill="1" applyBorder="1"/>
    <xf numFmtId="0" fontId="4" fillId="3" borderId="10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top" wrapText="1"/>
    </xf>
    <xf numFmtId="0" fontId="4" fillId="3" borderId="11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top" wrapText="1"/>
    </xf>
    <xf numFmtId="0" fontId="4" fillId="3" borderId="13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vertical="top" wrapText="1"/>
    </xf>
    <xf numFmtId="0" fontId="4" fillId="2" borderId="15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top" wrapText="1"/>
    </xf>
    <xf numFmtId="0" fontId="4" fillId="2" borderId="16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top" wrapText="1"/>
    </xf>
    <xf numFmtId="0" fontId="7" fillId="3" borderId="7" xfId="0" applyFont="1" applyFill="1" applyBorder="1"/>
    <xf numFmtId="0" fontId="4" fillId="3" borderId="17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top" wrapText="1"/>
    </xf>
    <xf numFmtId="3" fontId="24" fillId="4" borderId="0" xfId="0" applyNumberFormat="1" applyFont="1" applyFill="1"/>
    <xf numFmtId="0" fontId="11" fillId="2" borderId="0" xfId="0" applyFont="1" applyFill="1" applyAlignment="1">
      <alignment vertical="top" wrapText="1"/>
    </xf>
    <xf numFmtId="0" fontId="3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3" fontId="4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9" fillId="2" borderId="0" xfId="0" applyNumberFormat="1" applyFont="1" applyFill="1" applyAlignment="1">
      <alignment horizontal="center"/>
    </xf>
    <xf numFmtId="2" fontId="18" fillId="2" borderId="0" xfId="0" applyNumberFormat="1" applyFont="1" applyFill="1" applyAlignment="1">
      <alignment horizontal="left" vertical="top" wrapText="1"/>
    </xf>
    <xf numFmtId="2" fontId="5" fillId="2" borderId="0" xfId="0" applyNumberFormat="1" applyFont="1" applyFill="1" applyAlignment="1">
      <alignment horizontal="left" vertical="top" wrapText="1"/>
    </xf>
    <xf numFmtId="0" fontId="5" fillId="2" borderId="0" xfId="0" applyFont="1" applyFill="1" applyAlignment="1">
      <alignment vertical="top" wrapText="1"/>
    </xf>
    <xf numFmtId="0" fontId="15" fillId="2" borderId="0" xfId="0" applyFont="1" applyFill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vertical="top" wrapText="1"/>
    </xf>
    <xf numFmtId="0" fontId="11" fillId="2" borderId="0" xfId="0" applyFont="1" applyFill="1" applyBorder="1" applyAlignment="1">
      <alignment horizontal="left" wrapText="1"/>
    </xf>
    <xf numFmtId="3" fontId="11" fillId="2" borderId="0" xfId="0" applyNumberFormat="1" applyFont="1" applyFill="1" applyBorder="1" applyAlignment="1">
      <alignment horizontal="right" vertical="center" wrapText="1"/>
    </xf>
    <xf numFmtId="3" fontId="23" fillId="2" borderId="0" xfId="0" applyNumberFormat="1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wrapText="1"/>
    </xf>
    <xf numFmtId="3" fontId="15" fillId="4" borderId="0" xfId="0" applyNumberFormat="1" applyFont="1" applyFill="1" applyBorder="1" applyAlignment="1">
      <alignment horizontal="right"/>
    </xf>
    <xf numFmtId="164" fontId="14" fillId="4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showGridLines="0" zoomScaleNormal="100" workbookViewId="0">
      <selection activeCell="D19" sqref="D19"/>
    </sheetView>
  </sheetViews>
  <sheetFormatPr defaultColWidth="13.125" defaultRowHeight="14.25"/>
  <cols>
    <col min="1" max="1" width="5.625" customWidth="1"/>
  </cols>
  <sheetData>
    <row r="1" spans="1:26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9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10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10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10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10" t="s">
        <v>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10" t="s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9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11" t="s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8" t="s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8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9" t="s">
        <v>11</v>
      </c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</sheetData>
  <hyperlinks>
    <hyperlink ref="A4" location="'Total TDF'!A1" display="Total provincial" xr:uid="{00000000-0004-0000-0000-000000000000}"/>
    <hyperlink ref="A5" location="Ushuaia!A1" display="Ushuaia" xr:uid="{00000000-0004-0000-0000-000001000000}"/>
    <hyperlink ref="A6" location="'Río Grande'!A1" display="Rio Grande" xr:uid="{00000000-0004-0000-0000-000002000000}"/>
    <hyperlink ref="A7" location="Tolhuin!A1" display="Tolhuin" xr:uid="{00000000-0004-0000-0000-000003000000}"/>
    <hyperlink ref="A8" location="'Ficha técnica'!A1" display="Ficha técnica" xr:uid="{00000000-0004-0000-0000-000004000000}"/>
  </hyperlink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41"/>
  <sheetViews>
    <sheetView showGridLines="0" zoomScaleNormal="100" workbookViewId="0">
      <pane ySplit="5" topLeftCell="A193" activePane="bottomLeft" state="frozen"/>
      <selection pane="bottomLeft" activeCell="F202" sqref="F202"/>
    </sheetView>
  </sheetViews>
  <sheetFormatPr defaultColWidth="13.125" defaultRowHeight="14.25"/>
  <cols>
    <col min="1" max="1" width="3.875" customWidth="1"/>
    <col min="2" max="2" width="10.75" customWidth="1"/>
    <col min="3" max="3" width="14.125" customWidth="1"/>
    <col min="4" max="4" width="13.375" customWidth="1"/>
    <col min="5" max="8" width="14.125" customWidth="1"/>
    <col min="9" max="10" width="11.5" customWidth="1"/>
    <col min="11" max="11" width="13.875" customWidth="1"/>
    <col min="12" max="12" width="14.625" customWidth="1"/>
    <col min="13" max="20" width="11.5" customWidth="1"/>
  </cols>
  <sheetData>
    <row r="1" spans="1:20" ht="15" customHeight="1">
      <c r="A1" s="155" t="s">
        <v>13</v>
      </c>
      <c r="B1" s="155"/>
      <c r="C1" s="155"/>
      <c r="D1" s="155"/>
      <c r="E1" s="155"/>
      <c r="F1" s="155"/>
      <c r="G1" s="155"/>
      <c r="H1" s="155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5" customHeight="1">
      <c r="A2" s="14"/>
      <c r="B2" s="14"/>
      <c r="C2" s="15"/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ht="15" customHeight="1">
      <c r="A3" s="148" t="s">
        <v>14</v>
      </c>
      <c r="B3" s="148"/>
      <c r="C3" s="156" t="s">
        <v>15</v>
      </c>
      <c r="D3" s="148" t="s">
        <v>16</v>
      </c>
      <c r="E3" s="148"/>
      <c r="F3" s="148"/>
      <c r="G3" s="148"/>
      <c r="H3" s="148"/>
      <c r="I3" s="17"/>
      <c r="J3" s="17"/>
      <c r="K3" s="17"/>
      <c r="L3" s="13"/>
      <c r="M3" s="17"/>
      <c r="N3" s="17"/>
      <c r="O3" s="17"/>
      <c r="P3" s="17"/>
      <c r="Q3" s="17"/>
      <c r="R3" s="17"/>
      <c r="S3" s="17"/>
      <c r="T3" s="17"/>
    </row>
    <row r="4" spans="1:20" ht="30.75" customHeight="1">
      <c r="A4" s="148"/>
      <c r="B4" s="148"/>
      <c r="C4" s="156"/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ht="15" customHeight="1">
      <c r="A5" s="18"/>
      <c r="B5" s="2"/>
      <c r="C5" s="157" t="s">
        <v>22</v>
      </c>
      <c r="D5" s="157"/>
      <c r="E5" s="157"/>
      <c r="F5" s="157"/>
      <c r="G5" s="157"/>
      <c r="H5" s="15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ht="15" customHeight="1">
      <c r="A6" s="18"/>
      <c r="B6" s="19"/>
      <c r="C6" s="20"/>
      <c r="D6" s="21"/>
      <c r="E6" s="21"/>
      <c r="F6" s="21"/>
      <c r="G6" s="21"/>
      <c r="H6" s="22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0" ht="15" customHeight="1">
      <c r="A7" s="18">
        <v>2010</v>
      </c>
      <c r="B7" s="19" t="s">
        <v>23</v>
      </c>
      <c r="C7" s="23">
        <v>28389813</v>
      </c>
      <c r="D7" s="21">
        <v>14295431</v>
      </c>
      <c r="E7" s="21">
        <v>1895533</v>
      </c>
      <c r="F7" s="21">
        <v>8505506</v>
      </c>
      <c r="G7" s="21">
        <v>2752545</v>
      </c>
      <c r="H7" s="21">
        <v>940798</v>
      </c>
      <c r="I7" s="17"/>
      <c r="J7" s="17"/>
      <c r="K7" s="21"/>
      <c r="L7" s="17"/>
      <c r="M7" s="17"/>
      <c r="N7" s="17"/>
      <c r="O7" s="17"/>
      <c r="P7" s="17"/>
      <c r="Q7" s="17"/>
      <c r="R7" s="17"/>
      <c r="S7" s="17"/>
      <c r="T7" s="17"/>
    </row>
    <row r="8" spans="1:20" ht="15" customHeight="1">
      <c r="A8" s="19"/>
      <c r="B8" s="19" t="s">
        <v>24</v>
      </c>
      <c r="C8" s="23">
        <v>29604832</v>
      </c>
      <c r="D8" s="21">
        <v>14258851</v>
      </c>
      <c r="E8" s="21">
        <v>2454954</v>
      </c>
      <c r="F8" s="21">
        <v>7957003</v>
      </c>
      <c r="G8" s="21">
        <v>3910403</v>
      </c>
      <c r="H8" s="21">
        <v>1023621</v>
      </c>
      <c r="I8" s="17"/>
      <c r="J8" s="17"/>
      <c r="K8" s="21"/>
      <c r="L8" s="17"/>
      <c r="M8" s="17"/>
      <c r="N8" s="17"/>
      <c r="O8" s="17"/>
      <c r="P8" s="17"/>
      <c r="Q8" s="17"/>
      <c r="R8" s="17"/>
      <c r="S8" s="17"/>
      <c r="T8" s="17"/>
    </row>
    <row r="9" spans="1:20" ht="15" customHeight="1">
      <c r="A9" s="19"/>
      <c r="B9" s="19" t="s">
        <v>25</v>
      </c>
      <c r="C9" s="23">
        <v>31100802</v>
      </c>
      <c r="D9" s="21">
        <v>16086916</v>
      </c>
      <c r="E9" s="21">
        <v>2404916</v>
      </c>
      <c r="F9" s="21">
        <v>8382174</v>
      </c>
      <c r="G9" s="21">
        <v>2837123</v>
      </c>
      <c r="H9" s="21">
        <v>1389673</v>
      </c>
      <c r="I9" s="17"/>
      <c r="J9" s="17"/>
      <c r="K9" s="21"/>
      <c r="L9" s="17"/>
      <c r="M9" s="17"/>
      <c r="N9" s="17"/>
      <c r="O9" s="17"/>
      <c r="P9" s="17"/>
      <c r="Q9" s="17"/>
      <c r="R9" s="17"/>
      <c r="S9" s="17"/>
      <c r="T9" s="17"/>
    </row>
    <row r="10" spans="1:20" ht="15" customHeight="1">
      <c r="A10" s="19"/>
      <c r="B10" s="19" t="s">
        <v>26</v>
      </c>
      <c r="C10" s="23">
        <v>34441839</v>
      </c>
      <c r="D10" s="21">
        <v>15568924</v>
      </c>
      <c r="E10" s="21">
        <v>2991200</v>
      </c>
      <c r="F10" s="21">
        <v>9663763</v>
      </c>
      <c r="G10" s="21">
        <v>4604950</v>
      </c>
      <c r="H10" s="21">
        <v>1613002</v>
      </c>
      <c r="I10" s="17"/>
      <c r="J10" s="17"/>
      <c r="K10" s="21"/>
      <c r="L10" s="17"/>
      <c r="M10" s="13"/>
      <c r="N10" s="13"/>
      <c r="O10" s="13"/>
      <c r="P10" s="13"/>
      <c r="Q10" s="13"/>
      <c r="R10" s="13"/>
      <c r="S10" s="13"/>
      <c r="T10" s="13"/>
    </row>
    <row r="11" spans="1:20" ht="15" customHeight="1">
      <c r="A11" s="19"/>
      <c r="B11" s="19" t="s">
        <v>27</v>
      </c>
      <c r="C11" s="23">
        <v>32849499</v>
      </c>
      <c r="D11" s="21">
        <v>15230025</v>
      </c>
      <c r="E11" s="21">
        <v>2664536</v>
      </c>
      <c r="F11" s="21">
        <v>9744634</v>
      </c>
      <c r="G11" s="21">
        <v>3245695</v>
      </c>
      <c r="H11" s="21">
        <v>1964609</v>
      </c>
      <c r="I11" s="17"/>
      <c r="J11" s="17"/>
      <c r="K11" s="21"/>
      <c r="L11" s="17"/>
      <c r="M11" s="13"/>
      <c r="N11" s="13"/>
      <c r="O11" s="13"/>
      <c r="P11" s="13"/>
      <c r="Q11" s="13"/>
      <c r="R11" s="13"/>
      <c r="S11" s="13"/>
      <c r="T11" s="13"/>
    </row>
    <row r="12" spans="1:20" ht="15" customHeight="1">
      <c r="A12" s="19"/>
      <c r="B12" s="19" t="s">
        <v>28</v>
      </c>
      <c r="C12" s="23">
        <v>35356267</v>
      </c>
      <c r="D12" s="21">
        <v>15630694</v>
      </c>
      <c r="E12" s="21">
        <v>3102907</v>
      </c>
      <c r="F12" s="21">
        <v>9900459</v>
      </c>
      <c r="G12" s="21">
        <v>4617060</v>
      </c>
      <c r="H12" s="21">
        <v>2105147</v>
      </c>
      <c r="I12" s="17"/>
      <c r="J12" s="17"/>
      <c r="K12" s="21"/>
      <c r="L12" s="17"/>
      <c r="M12" s="13"/>
      <c r="N12" s="13"/>
      <c r="O12" s="13"/>
      <c r="P12" s="13"/>
      <c r="Q12" s="13"/>
      <c r="R12" s="13"/>
      <c r="S12" s="13"/>
      <c r="T12" s="13"/>
    </row>
    <row r="13" spans="1:20" ht="15" customHeight="1">
      <c r="A13" s="19"/>
      <c r="B13" s="19" t="s">
        <v>29</v>
      </c>
      <c r="C13" s="23">
        <v>34510535</v>
      </c>
      <c r="D13" s="21">
        <v>16172851</v>
      </c>
      <c r="E13" s="21">
        <v>2890317</v>
      </c>
      <c r="F13" s="21">
        <v>10000626</v>
      </c>
      <c r="G13" s="21">
        <v>3297807</v>
      </c>
      <c r="H13" s="21">
        <v>2148934</v>
      </c>
      <c r="I13" s="17"/>
      <c r="J13" s="17"/>
      <c r="K13" s="21"/>
      <c r="L13" s="17"/>
      <c r="M13" s="13"/>
      <c r="N13" s="13"/>
      <c r="O13" s="13"/>
      <c r="P13" s="13"/>
      <c r="Q13" s="13"/>
      <c r="R13" s="13"/>
      <c r="S13" s="13"/>
      <c r="T13" s="13"/>
    </row>
    <row r="14" spans="1:20" ht="15" customHeight="1">
      <c r="A14" s="19"/>
      <c r="B14" s="19" t="s">
        <v>30</v>
      </c>
      <c r="C14" s="23">
        <v>37524931</v>
      </c>
      <c r="D14" s="21">
        <v>17233631</v>
      </c>
      <c r="E14" s="21">
        <v>3044260</v>
      </c>
      <c r="F14" s="21">
        <v>10313460</v>
      </c>
      <c r="G14" s="21">
        <v>5067896</v>
      </c>
      <c r="H14" s="21">
        <v>1865684</v>
      </c>
      <c r="I14" s="17"/>
      <c r="J14" s="17"/>
      <c r="K14" s="21"/>
      <c r="L14" s="17"/>
      <c r="M14" s="13"/>
      <c r="N14" s="13"/>
      <c r="O14" s="13"/>
      <c r="P14" s="13"/>
      <c r="Q14" s="13"/>
      <c r="R14" s="13"/>
      <c r="S14" s="13"/>
      <c r="T14" s="13"/>
    </row>
    <row r="15" spans="1:20" ht="15" customHeight="1">
      <c r="A15" s="19"/>
      <c r="B15" s="19" t="s">
        <v>31</v>
      </c>
      <c r="C15" s="23">
        <v>34096874</v>
      </c>
      <c r="D15" s="21">
        <v>16987704</v>
      </c>
      <c r="E15" s="21">
        <v>2546465</v>
      </c>
      <c r="F15" s="21">
        <v>9755031</v>
      </c>
      <c r="G15" s="21">
        <v>3243164</v>
      </c>
      <c r="H15" s="21">
        <v>1564510</v>
      </c>
      <c r="I15" s="17"/>
      <c r="J15" s="17"/>
      <c r="K15" s="21"/>
      <c r="L15" s="17"/>
      <c r="M15" s="13"/>
      <c r="N15" s="13"/>
      <c r="O15" s="13"/>
      <c r="P15" s="13"/>
      <c r="Q15" s="13"/>
      <c r="R15" s="13"/>
      <c r="S15" s="13"/>
      <c r="T15" s="13"/>
    </row>
    <row r="16" spans="1:20" ht="15" customHeight="1">
      <c r="A16" s="19"/>
      <c r="B16" s="19" t="s">
        <v>32</v>
      </c>
      <c r="C16" s="23">
        <v>35174174</v>
      </c>
      <c r="D16" s="21">
        <v>16984486</v>
      </c>
      <c r="E16" s="21">
        <v>2666359</v>
      </c>
      <c r="F16" s="21">
        <v>9500821</v>
      </c>
      <c r="G16" s="21">
        <v>4737523</v>
      </c>
      <c r="H16" s="21">
        <v>1284985</v>
      </c>
      <c r="I16" s="17"/>
      <c r="J16" s="17"/>
      <c r="K16" s="21"/>
      <c r="L16" s="17"/>
      <c r="M16" s="13"/>
      <c r="N16" s="13"/>
      <c r="O16" s="13"/>
      <c r="P16" s="13"/>
      <c r="Q16" s="13"/>
      <c r="R16" s="13"/>
      <c r="S16" s="13"/>
      <c r="T16" s="13"/>
    </row>
    <row r="17" spans="1:20" ht="15" customHeight="1">
      <c r="A17" s="19"/>
      <c r="B17" s="19" t="s">
        <v>33</v>
      </c>
      <c r="C17" s="23">
        <v>37510205</v>
      </c>
      <c r="D17" s="21">
        <v>21511911</v>
      </c>
      <c r="E17" s="21">
        <v>2455904</v>
      </c>
      <c r="F17" s="21">
        <v>9369737</v>
      </c>
      <c r="G17" s="21">
        <v>3159609</v>
      </c>
      <c r="H17" s="21">
        <v>1013044</v>
      </c>
      <c r="I17" s="17"/>
      <c r="J17" s="17"/>
      <c r="K17" s="21"/>
      <c r="L17" s="17"/>
      <c r="M17" s="13"/>
      <c r="N17" s="13"/>
      <c r="O17" s="13"/>
      <c r="P17" s="13"/>
      <c r="Q17" s="13"/>
      <c r="R17" s="13"/>
      <c r="S17" s="13"/>
      <c r="T17" s="13"/>
    </row>
    <row r="18" spans="1:20" ht="15" customHeight="1">
      <c r="A18" s="19"/>
      <c r="B18" s="19" t="s">
        <v>34</v>
      </c>
      <c r="C18" s="23">
        <v>32421421</v>
      </c>
      <c r="D18" s="21">
        <v>15401770</v>
      </c>
      <c r="E18" s="21">
        <v>2400308</v>
      </c>
      <c r="F18" s="21">
        <v>9377947</v>
      </c>
      <c r="G18" s="21">
        <v>4353971</v>
      </c>
      <c r="H18" s="21">
        <v>887425</v>
      </c>
      <c r="I18" s="17"/>
      <c r="J18" s="17"/>
      <c r="K18" s="21"/>
      <c r="L18" s="17"/>
      <c r="M18" s="13"/>
      <c r="N18" s="13"/>
      <c r="O18" s="13"/>
      <c r="P18" s="13"/>
      <c r="Q18" s="13"/>
      <c r="R18" s="13"/>
      <c r="S18" s="13"/>
      <c r="T18" s="13"/>
    </row>
    <row r="19" spans="1:20" ht="15" customHeight="1">
      <c r="A19" s="18">
        <v>2011</v>
      </c>
      <c r="B19" s="19" t="s">
        <v>23</v>
      </c>
      <c r="C19" s="23">
        <v>28309904</v>
      </c>
      <c r="D19" s="21">
        <v>15147048</v>
      </c>
      <c r="E19" s="21">
        <v>1441656</v>
      </c>
      <c r="F19" s="21">
        <v>8106436</v>
      </c>
      <c r="G19" s="21">
        <v>2669234</v>
      </c>
      <c r="H19" s="21">
        <v>945530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spans="1:20" ht="15" customHeight="1">
      <c r="A20" s="19"/>
      <c r="B20" s="19" t="s">
        <v>24</v>
      </c>
      <c r="C20" s="23">
        <v>30370646</v>
      </c>
      <c r="D20" s="21">
        <v>15279390</v>
      </c>
      <c r="E20" s="21">
        <v>2168066</v>
      </c>
      <c r="F20" s="21">
        <v>8431942</v>
      </c>
      <c r="G20" s="21">
        <v>3473075</v>
      </c>
      <c r="H20" s="21">
        <v>1018173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1:20" ht="15" customHeight="1">
      <c r="A21" s="19"/>
      <c r="B21" s="19" t="s">
        <v>25</v>
      </c>
      <c r="C21" s="23">
        <v>32572518</v>
      </c>
      <c r="D21" s="21">
        <v>17472037</v>
      </c>
      <c r="E21" s="21">
        <v>2395137</v>
      </c>
      <c r="F21" s="21">
        <v>8529701</v>
      </c>
      <c r="G21" s="21">
        <v>2775132</v>
      </c>
      <c r="H21" s="21">
        <v>1400511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1:20" ht="15" customHeight="1">
      <c r="A22" s="19"/>
      <c r="B22" s="19" t="s">
        <v>26</v>
      </c>
      <c r="C22" s="23">
        <v>34153107</v>
      </c>
      <c r="D22" s="21">
        <v>15686760</v>
      </c>
      <c r="E22" s="21">
        <v>2478229</v>
      </c>
      <c r="F22" s="21">
        <v>9796752</v>
      </c>
      <c r="G22" s="21">
        <v>4579051</v>
      </c>
      <c r="H22" s="21">
        <v>1612315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spans="1:20" ht="15" customHeight="1">
      <c r="A23" s="19"/>
      <c r="B23" s="19" t="s">
        <v>27</v>
      </c>
      <c r="C23" s="23">
        <v>35645290</v>
      </c>
      <c r="D23" s="21">
        <v>17536341</v>
      </c>
      <c r="E23" s="21">
        <v>2813952</v>
      </c>
      <c r="F23" s="21">
        <v>10042338</v>
      </c>
      <c r="G23" s="21">
        <v>3275199</v>
      </c>
      <c r="H23" s="21">
        <v>1977460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spans="1:20" ht="15" customHeight="1">
      <c r="A24" s="19"/>
      <c r="B24" s="19" t="s">
        <v>28</v>
      </c>
      <c r="C24" s="23">
        <v>38549317</v>
      </c>
      <c r="D24" s="21">
        <v>17515127</v>
      </c>
      <c r="E24" s="21">
        <v>3147501</v>
      </c>
      <c r="F24" s="21">
        <v>10665140</v>
      </c>
      <c r="G24" s="21">
        <v>5107624</v>
      </c>
      <c r="H24" s="21">
        <v>2113925</v>
      </c>
      <c r="I24" s="17"/>
      <c r="J24" s="17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15" customHeight="1">
      <c r="A25" s="19"/>
      <c r="B25" s="19" t="s">
        <v>29</v>
      </c>
      <c r="C25" s="23">
        <v>36200473</v>
      </c>
      <c r="D25" s="21">
        <v>17567153</v>
      </c>
      <c r="E25" s="21">
        <v>2570897</v>
      </c>
      <c r="F25" s="21">
        <v>10531761</v>
      </c>
      <c r="G25" s="21">
        <v>3366957</v>
      </c>
      <c r="H25" s="21">
        <v>2163705</v>
      </c>
      <c r="I25" s="17"/>
      <c r="J25" s="17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15" customHeight="1">
      <c r="A26" s="19"/>
      <c r="B26" s="19" t="s">
        <v>30</v>
      </c>
      <c r="C26" s="23">
        <v>38213754</v>
      </c>
      <c r="D26" s="21">
        <v>18091699</v>
      </c>
      <c r="E26" s="21">
        <v>3059975</v>
      </c>
      <c r="F26" s="21">
        <v>10431660</v>
      </c>
      <c r="G26" s="21">
        <v>4752585</v>
      </c>
      <c r="H26" s="21">
        <v>1877835</v>
      </c>
      <c r="I26" s="17"/>
      <c r="J26" s="17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1:20" ht="15" customHeight="1">
      <c r="A27" s="19"/>
      <c r="B27" s="19" t="s">
        <v>31</v>
      </c>
      <c r="C27" s="23">
        <v>36612115</v>
      </c>
      <c r="D27" s="21">
        <v>18678240</v>
      </c>
      <c r="E27" s="21">
        <v>2669591</v>
      </c>
      <c r="F27" s="21">
        <v>10248076</v>
      </c>
      <c r="G27" s="21">
        <v>3446436</v>
      </c>
      <c r="H27" s="21">
        <v>1569772</v>
      </c>
      <c r="I27" s="17"/>
      <c r="J27" s="17"/>
      <c r="K27" s="22"/>
      <c r="L27" s="22"/>
      <c r="M27" s="22"/>
      <c r="N27" s="22"/>
      <c r="O27" s="22"/>
      <c r="P27" s="22"/>
      <c r="Q27" s="22"/>
      <c r="R27" s="22"/>
      <c r="S27" s="22"/>
      <c r="T27" s="22"/>
    </row>
    <row r="28" spans="1:20" ht="15" customHeight="1">
      <c r="A28" s="19"/>
      <c r="B28" s="19" t="s">
        <v>32</v>
      </c>
      <c r="C28" s="23">
        <v>36471991</v>
      </c>
      <c r="D28" s="21">
        <v>17611654</v>
      </c>
      <c r="E28" s="21">
        <v>2697643</v>
      </c>
      <c r="F28" s="21">
        <v>10126379</v>
      </c>
      <c r="G28" s="21">
        <v>4753266</v>
      </c>
      <c r="H28" s="21">
        <v>1283049</v>
      </c>
      <c r="I28" s="17"/>
      <c r="J28" s="17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1:20" ht="15" customHeight="1">
      <c r="A29" s="19"/>
      <c r="B29" s="19" t="s">
        <v>33</v>
      </c>
      <c r="C29" s="23">
        <v>33566246</v>
      </c>
      <c r="D29" s="21">
        <v>17408788</v>
      </c>
      <c r="E29" s="21">
        <v>2580749</v>
      </c>
      <c r="F29" s="21">
        <v>9335668</v>
      </c>
      <c r="G29" s="21">
        <v>3231467</v>
      </c>
      <c r="H29" s="21">
        <v>1009574</v>
      </c>
      <c r="I29" s="17"/>
      <c r="J29" s="17"/>
      <c r="K29" s="22"/>
      <c r="L29" s="22"/>
      <c r="M29" s="22"/>
      <c r="N29" s="22"/>
      <c r="O29" s="22"/>
      <c r="P29" s="22"/>
      <c r="Q29" s="22"/>
      <c r="R29" s="22"/>
      <c r="S29" s="22"/>
      <c r="T29" s="22"/>
    </row>
    <row r="30" spans="1:20" ht="15" customHeight="1">
      <c r="A30" s="19"/>
      <c r="B30" s="19" t="s">
        <v>34</v>
      </c>
      <c r="C30" s="23">
        <v>32654705</v>
      </c>
      <c r="D30" s="21">
        <v>15976773</v>
      </c>
      <c r="E30" s="21">
        <v>2407767</v>
      </c>
      <c r="F30" s="21">
        <v>9108751</v>
      </c>
      <c r="G30" s="21">
        <v>4273094</v>
      </c>
      <c r="H30" s="21">
        <v>888320</v>
      </c>
      <c r="I30" s="17"/>
      <c r="J30" s="17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spans="1:20" ht="15" customHeight="1">
      <c r="A31" s="18">
        <v>2012</v>
      </c>
      <c r="B31" s="19" t="s">
        <v>23</v>
      </c>
      <c r="C31" s="23">
        <v>30091986</v>
      </c>
      <c r="D31" s="21">
        <v>15495313</v>
      </c>
      <c r="E31" s="21">
        <v>2079952</v>
      </c>
      <c r="F31" s="21">
        <v>8645539</v>
      </c>
      <c r="G31" s="21">
        <v>2941974</v>
      </c>
      <c r="H31" s="21">
        <v>929208</v>
      </c>
      <c r="I31" s="17"/>
      <c r="J31" s="17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1:20" ht="15" customHeight="1">
      <c r="A32" s="19"/>
      <c r="B32" s="19" t="s">
        <v>24</v>
      </c>
      <c r="C32" s="23">
        <v>31786718</v>
      </c>
      <c r="D32" s="21">
        <v>16441430</v>
      </c>
      <c r="E32" s="21">
        <v>2348708</v>
      </c>
      <c r="F32" s="21">
        <v>8068212</v>
      </c>
      <c r="G32" s="21">
        <v>3951704</v>
      </c>
      <c r="H32" s="21">
        <v>976664</v>
      </c>
      <c r="I32" s="17"/>
      <c r="J32" s="17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1:20" ht="15" customHeight="1">
      <c r="A33" s="19"/>
      <c r="B33" s="19" t="s">
        <v>25</v>
      </c>
      <c r="C33" s="23">
        <v>33522268</v>
      </c>
      <c r="D33" s="21">
        <v>17858114</v>
      </c>
      <c r="E33" s="21">
        <v>2608693</v>
      </c>
      <c r="F33" s="21">
        <v>8754764</v>
      </c>
      <c r="G33" s="21">
        <v>2894381</v>
      </c>
      <c r="H33" s="21">
        <v>1406316</v>
      </c>
      <c r="I33" s="17"/>
      <c r="J33" s="17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1:20" ht="15" customHeight="1">
      <c r="A34" s="19"/>
      <c r="B34" s="19" t="s">
        <v>26</v>
      </c>
      <c r="C34" s="23">
        <v>35271002</v>
      </c>
      <c r="D34" s="21">
        <v>16768250</v>
      </c>
      <c r="E34" s="21">
        <v>2717731</v>
      </c>
      <c r="F34" s="21">
        <v>9677812</v>
      </c>
      <c r="G34" s="21">
        <v>4489570</v>
      </c>
      <c r="H34" s="21">
        <v>1617639</v>
      </c>
      <c r="I34" s="17"/>
      <c r="J34" s="17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1:20" ht="15" customHeight="1">
      <c r="A35" s="19"/>
      <c r="B35" s="19" t="s">
        <v>27</v>
      </c>
      <c r="C35" s="23">
        <v>37707222</v>
      </c>
      <c r="D35" s="21">
        <v>18808632</v>
      </c>
      <c r="E35" s="21">
        <v>2887006</v>
      </c>
      <c r="F35" s="21">
        <v>10612220</v>
      </c>
      <c r="G35" s="21">
        <v>3413879</v>
      </c>
      <c r="H35" s="21">
        <v>1985485</v>
      </c>
      <c r="I35" s="17"/>
      <c r="J35" s="17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1:20" ht="15" customHeight="1">
      <c r="A36" s="19"/>
      <c r="B36" s="19" t="s">
        <v>28</v>
      </c>
      <c r="C36" s="23">
        <v>38679938</v>
      </c>
      <c r="D36" s="21">
        <v>17455825</v>
      </c>
      <c r="E36" s="21">
        <v>2931302</v>
      </c>
      <c r="F36" s="21">
        <v>11197689</v>
      </c>
      <c r="G36" s="21">
        <v>4950596</v>
      </c>
      <c r="H36" s="21">
        <v>2144526</v>
      </c>
      <c r="I36" s="17"/>
      <c r="J36" s="17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1:20" ht="15" customHeight="1">
      <c r="A37" s="19"/>
      <c r="B37" s="19" t="s">
        <v>29</v>
      </c>
      <c r="C37" s="23">
        <v>38726253</v>
      </c>
      <c r="D37" s="21">
        <v>18689651</v>
      </c>
      <c r="E37" s="21">
        <v>2981324</v>
      </c>
      <c r="F37" s="21">
        <v>11275604</v>
      </c>
      <c r="G37" s="21">
        <v>3591792</v>
      </c>
      <c r="H37" s="21">
        <v>2187882</v>
      </c>
      <c r="I37" s="17"/>
      <c r="J37" s="17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1:20" ht="15" customHeight="1">
      <c r="A38" s="19"/>
      <c r="B38" s="19" t="s">
        <v>30</v>
      </c>
      <c r="C38" s="23">
        <v>41911491</v>
      </c>
      <c r="D38" s="21">
        <v>20112791</v>
      </c>
      <c r="E38" s="21">
        <v>3248968</v>
      </c>
      <c r="F38" s="21">
        <v>11619387</v>
      </c>
      <c r="G38" s="21">
        <v>5038688</v>
      </c>
      <c r="H38" s="21">
        <v>1891657</v>
      </c>
      <c r="I38" s="17"/>
      <c r="J38" s="17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1:20" ht="15" customHeight="1">
      <c r="A39" s="19"/>
      <c r="B39" s="19" t="s">
        <v>31</v>
      </c>
      <c r="C39" s="23">
        <v>37047812</v>
      </c>
      <c r="D39" s="21">
        <v>18687064</v>
      </c>
      <c r="E39" s="21">
        <v>2856231</v>
      </c>
      <c r="F39" s="21">
        <v>10498040</v>
      </c>
      <c r="G39" s="21">
        <v>3429911</v>
      </c>
      <c r="H39" s="21">
        <v>1576566</v>
      </c>
      <c r="I39" s="17"/>
      <c r="J39" s="17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1:20" ht="15" customHeight="1">
      <c r="A40" s="19"/>
      <c r="B40" s="19" t="s">
        <v>32</v>
      </c>
      <c r="C40" s="23">
        <v>37651121</v>
      </c>
      <c r="D40" s="21">
        <v>19130687</v>
      </c>
      <c r="E40" s="21">
        <v>2883993</v>
      </c>
      <c r="F40" s="21">
        <v>9949731</v>
      </c>
      <c r="G40" s="21">
        <v>4376652</v>
      </c>
      <c r="H40" s="21">
        <v>1310058</v>
      </c>
      <c r="I40" s="17"/>
      <c r="J40" s="17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1:20" ht="15" customHeight="1">
      <c r="A41" s="19"/>
      <c r="B41" s="19" t="s">
        <v>33</v>
      </c>
      <c r="C41" s="23">
        <v>36137956</v>
      </c>
      <c r="D41" s="21">
        <v>18605780</v>
      </c>
      <c r="E41" s="21">
        <v>2842493</v>
      </c>
      <c r="F41" s="21">
        <v>10298983</v>
      </c>
      <c r="G41" s="21">
        <v>3356765</v>
      </c>
      <c r="H41" s="21">
        <v>1033935</v>
      </c>
      <c r="I41" s="17"/>
      <c r="J41" s="17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1:20" ht="15" customHeight="1">
      <c r="A42" s="19"/>
      <c r="B42" s="19" t="s">
        <v>34</v>
      </c>
      <c r="C42" s="23">
        <v>33593882</v>
      </c>
      <c r="D42" s="21">
        <v>16093493</v>
      </c>
      <c r="E42" s="21">
        <v>2623580</v>
      </c>
      <c r="F42" s="21">
        <v>9629078</v>
      </c>
      <c r="G42" s="21">
        <v>4363380</v>
      </c>
      <c r="H42" s="21">
        <v>884351</v>
      </c>
      <c r="I42" s="17"/>
      <c r="J42" s="17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1:20" ht="15" customHeight="1">
      <c r="A43" s="18">
        <v>2013</v>
      </c>
      <c r="B43" s="19" t="s">
        <v>23</v>
      </c>
      <c r="C43" s="23">
        <v>32333992</v>
      </c>
      <c r="D43" s="21">
        <v>16688942</v>
      </c>
      <c r="E43" s="21">
        <v>2434513</v>
      </c>
      <c r="F43" s="21">
        <v>9261649</v>
      </c>
      <c r="G43" s="21">
        <v>2998468</v>
      </c>
      <c r="H43" s="21">
        <v>950420</v>
      </c>
      <c r="I43" s="17"/>
      <c r="J43" s="17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1:20" ht="15" customHeight="1">
      <c r="A44" s="19"/>
      <c r="B44" s="19" t="s">
        <v>24</v>
      </c>
      <c r="C44" s="23">
        <v>32985851</v>
      </c>
      <c r="D44" s="21">
        <v>15913160</v>
      </c>
      <c r="E44" s="21">
        <v>2400718</v>
      </c>
      <c r="F44" s="21">
        <v>9313224</v>
      </c>
      <c r="G44" s="21">
        <v>4304854</v>
      </c>
      <c r="H44" s="21">
        <v>1053895</v>
      </c>
      <c r="I44" s="17"/>
      <c r="J44" s="17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1:20" ht="15" customHeight="1">
      <c r="A45" s="19"/>
      <c r="B45" s="19" t="s">
        <v>25</v>
      </c>
      <c r="C45" s="23">
        <v>34853884</v>
      </c>
      <c r="D45" s="21">
        <v>18744845</v>
      </c>
      <c r="E45" s="21">
        <v>2774432</v>
      </c>
      <c r="F45" s="21">
        <v>9078831</v>
      </c>
      <c r="G45" s="21">
        <v>2959389</v>
      </c>
      <c r="H45" s="21">
        <v>1296387</v>
      </c>
      <c r="I45" s="17"/>
      <c r="J45" s="17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 spans="1:20" ht="15" customHeight="1">
      <c r="A46" s="19"/>
      <c r="B46" s="19" t="s">
        <v>26</v>
      </c>
      <c r="C46" s="23">
        <v>37232764</v>
      </c>
      <c r="D46" s="21">
        <v>18226113</v>
      </c>
      <c r="E46" s="21">
        <v>2715684</v>
      </c>
      <c r="F46" s="21">
        <v>10096535</v>
      </c>
      <c r="G46" s="21">
        <v>4537517</v>
      </c>
      <c r="H46" s="21">
        <v>1656915</v>
      </c>
      <c r="I46" s="17"/>
      <c r="J46" s="17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1:20" ht="15" customHeight="1">
      <c r="A47" s="19"/>
      <c r="B47" s="19" t="s">
        <v>27</v>
      </c>
      <c r="C47" s="23">
        <v>37730780</v>
      </c>
      <c r="D47" s="21">
        <v>18617993</v>
      </c>
      <c r="E47" s="21">
        <v>2829842</v>
      </c>
      <c r="F47" s="21">
        <v>10896618</v>
      </c>
      <c r="G47" s="21">
        <v>3375270</v>
      </c>
      <c r="H47" s="21">
        <v>2011057</v>
      </c>
      <c r="I47" s="17"/>
      <c r="J47" s="17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1:20" ht="15" customHeight="1">
      <c r="A48" s="19"/>
      <c r="B48" s="19" t="s">
        <v>28</v>
      </c>
      <c r="C48" s="23">
        <v>42633389</v>
      </c>
      <c r="D48" s="21">
        <v>20321718</v>
      </c>
      <c r="E48" s="21">
        <v>3090720</v>
      </c>
      <c r="F48" s="21">
        <v>11922829</v>
      </c>
      <c r="G48" s="21">
        <v>5113630</v>
      </c>
      <c r="H48" s="21">
        <v>2184492</v>
      </c>
      <c r="I48" s="17"/>
      <c r="J48" s="17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1:20" ht="15" customHeight="1">
      <c r="A49" s="19"/>
      <c r="B49" s="19" t="s">
        <v>29</v>
      </c>
      <c r="C49" s="23">
        <v>42066820</v>
      </c>
      <c r="D49" s="21">
        <v>20754702</v>
      </c>
      <c r="E49" s="21">
        <v>3036873</v>
      </c>
      <c r="F49" s="21">
        <v>12345769</v>
      </c>
      <c r="G49" s="21">
        <v>3719447</v>
      </c>
      <c r="H49" s="21">
        <v>2210029</v>
      </c>
      <c r="I49" s="17"/>
      <c r="J49" s="17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1:20" ht="15" customHeight="1">
      <c r="A50" s="19"/>
      <c r="B50" s="19" t="s">
        <v>30</v>
      </c>
      <c r="C50" s="23">
        <v>44065113</v>
      </c>
      <c r="D50" s="21">
        <v>20588404</v>
      </c>
      <c r="E50" s="21">
        <v>3223208</v>
      </c>
      <c r="F50" s="21">
        <v>12738659</v>
      </c>
      <c r="G50" s="21">
        <v>5381129</v>
      </c>
      <c r="H50" s="21">
        <v>2133713</v>
      </c>
      <c r="I50" s="17"/>
      <c r="J50" s="17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1:20" ht="15" customHeight="1">
      <c r="A51" s="19"/>
      <c r="B51" s="19" t="s">
        <v>31</v>
      </c>
      <c r="C51" s="23">
        <v>41253492</v>
      </c>
      <c r="D51" s="21">
        <v>20733250</v>
      </c>
      <c r="E51" s="21">
        <v>3067298</v>
      </c>
      <c r="F51" s="21">
        <v>12115143</v>
      </c>
      <c r="G51" s="21">
        <v>3742329</v>
      </c>
      <c r="H51" s="21">
        <v>1595472</v>
      </c>
      <c r="I51" s="17"/>
      <c r="J51" s="17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1:20" ht="15" customHeight="1">
      <c r="A52" s="19"/>
      <c r="B52" s="19" t="s">
        <v>32</v>
      </c>
      <c r="C52" s="23">
        <v>41245737</v>
      </c>
      <c r="D52" s="21">
        <v>20152552</v>
      </c>
      <c r="E52" s="21">
        <v>2950139</v>
      </c>
      <c r="F52" s="21">
        <v>11701019</v>
      </c>
      <c r="G52" s="21">
        <v>5087033</v>
      </c>
      <c r="H52" s="21">
        <v>1354994</v>
      </c>
      <c r="I52" s="17"/>
      <c r="J52" s="17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1:20" ht="15" customHeight="1">
      <c r="A53" s="19"/>
      <c r="B53" s="19" t="s">
        <v>33</v>
      </c>
      <c r="C53" s="23">
        <v>38521665.329999998</v>
      </c>
      <c r="D53" s="21">
        <v>20230824</v>
      </c>
      <c r="E53" s="21">
        <v>2869604</v>
      </c>
      <c r="F53" s="21">
        <v>10988880</v>
      </c>
      <c r="G53" s="21">
        <v>3406733</v>
      </c>
      <c r="H53" s="21">
        <v>1025624.33</v>
      </c>
      <c r="I53" s="17"/>
      <c r="J53" s="17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spans="1:20" ht="15" customHeight="1">
      <c r="A54" s="19"/>
      <c r="B54" s="19" t="s">
        <v>34</v>
      </c>
      <c r="C54" s="23">
        <v>36274415</v>
      </c>
      <c r="D54" s="21">
        <v>18230569</v>
      </c>
      <c r="E54" s="21">
        <v>2632737</v>
      </c>
      <c r="F54" s="21">
        <v>9982238</v>
      </c>
      <c r="G54" s="21">
        <v>4565989</v>
      </c>
      <c r="H54" s="21">
        <v>862882</v>
      </c>
      <c r="I54" s="17"/>
      <c r="J54" s="17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spans="1:20" ht="15" customHeight="1">
      <c r="A55" s="18">
        <v>2014</v>
      </c>
      <c r="B55" s="19" t="s">
        <v>23</v>
      </c>
      <c r="C55" s="23">
        <v>33111510</v>
      </c>
      <c r="D55" s="21">
        <v>16632240</v>
      </c>
      <c r="E55" s="21">
        <v>2390307</v>
      </c>
      <c r="F55" s="21">
        <v>9984824</v>
      </c>
      <c r="G55" s="21">
        <v>3125510</v>
      </c>
      <c r="H55" s="21">
        <v>978629</v>
      </c>
      <c r="I55" s="17"/>
      <c r="J55" s="17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1:20" ht="15" customHeight="1">
      <c r="A56" s="19"/>
      <c r="B56" s="19" t="s">
        <v>24</v>
      </c>
      <c r="C56" s="23">
        <v>33417389.528000001</v>
      </c>
      <c r="D56" s="21">
        <v>18777171</v>
      </c>
      <c r="E56" s="21">
        <v>2572372</v>
      </c>
      <c r="F56" s="21">
        <v>7822305</v>
      </c>
      <c r="G56" s="21">
        <v>3180795</v>
      </c>
      <c r="H56" s="21">
        <v>1064746.5279999999</v>
      </c>
      <c r="I56" s="17"/>
      <c r="J56" s="17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1:20" ht="15" customHeight="1">
      <c r="A57" s="19"/>
      <c r="B57" s="19" t="s">
        <v>25</v>
      </c>
      <c r="C57" s="23">
        <v>36807320.43</v>
      </c>
      <c r="D57" s="21">
        <v>19092371</v>
      </c>
      <c r="E57" s="21">
        <v>2813040</v>
      </c>
      <c r="F57" s="21">
        <v>9933954</v>
      </c>
      <c r="G57" s="21">
        <v>3543717</v>
      </c>
      <c r="H57" s="21">
        <v>1424238.43</v>
      </c>
      <c r="I57" s="17"/>
      <c r="J57" s="17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spans="1:20" ht="15" customHeight="1">
      <c r="A58" s="19"/>
      <c r="B58" s="19" t="s">
        <v>26</v>
      </c>
      <c r="C58" s="23">
        <v>38235585.93</v>
      </c>
      <c r="D58" s="21">
        <v>18850056</v>
      </c>
      <c r="E58" s="21">
        <v>2979323</v>
      </c>
      <c r="F58" s="21">
        <v>10804238</v>
      </c>
      <c r="G58" s="21">
        <v>3930876</v>
      </c>
      <c r="H58" s="21">
        <v>1671092.93</v>
      </c>
      <c r="I58" s="17"/>
      <c r="J58" s="17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1:20" ht="15" customHeight="1">
      <c r="A59" s="19"/>
      <c r="B59" s="19" t="s">
        <v>27</v>
      </c>
      <c r="C59" s="23">
        <v>39284093.420999996</v>
      </c>
      <c r="D59" s="21">
        <v>19485421</v>
      </c>
      <c r="E59" s="21">
        <v>3105420</v>
      </c>
      <c r="F59" s="21">
        <v>10817915</v>
      </c>
      <c r="G59" s="21">
        <v>3865778</v>
      </c>
      <c r="H59" s="21">
        <v>2009559.4210000001</v>
      </c>
      <c r="I59" s="17"/>
      <c r="J59" s="17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 spans="1:20" ht="15" customHeight="1">
      <c r="A60" s="19"/>
      <c r="B60" s="19" t="s">
        <v>28</v>
      </c>
      <c r="C60" s="23">
        <v>41216727.230999999</v>
      </c>
      <c r="D60" s="21">
        <v>19123699</v>
      </c>
      <c r="E60" s="21">
        <v>3306799</v>
      </c>
      <c r="F60" s="21">
        <v>12166381</v>
      </c>
      <c r="G60" s="21">
        <v>4431193</v>
      </c>
      <c r="H60" s="21">
        <v>2188655.2310000001</v>
      </c>
      <c r="I60" s="17"/>
      <c r="J60" s="17"/>
      <c r="K60" s="22"/>
      <c r="L60" s="22"/>
      <c r="M60" s="22"/>
      <c r="N60" s="22"/>
      <c r="O60" s="22"/>
      <c r="P60" s="22"/>
      <c r="Q60" s="22"/>
      <c r="R60" s="22"/>
      <c r="S60" s="22"/>
      <c r="T60" s="22"/>
    </row>
    <row r="61" spans="1:20" ht="15" customHeight="1">
      <c r="A61" s="19"/>
      <c r="B61" s="19" t="s">
        <v>29</v>
      </c>
      <c r="C61" s="23">
        <v>40522564.230999999</v>
      </c>
      <c r="D61" s="21">
        <v>19257247</v>
      </c>
      <c r="E61" s="21">
        <v>3097850</v>
      </c>
      <c r="F61" s="21">
        <v>11700217</v>
      </c>
      <c r="G61" s="21">
        <v>4261382</v>
      </c>
      <c r="H61" s="21">
        <v>2205868.2310000001</v>
      </c>
      <c r="I61" s="17"/>
      <c r="J61" s="17"/>
      <c r="K61" s="22"/>
      <c r="L61" s="22"/>
      <c r="M61" s="22"/>
      <c r="N61" s="22"/>
      <c r="O61" s="22"/>
      <c r="P61" s="22"/>
      <c r="Q61" s="22"/>
      <c r="R61" s="22"/>
      <c r="S61" s="22"/>
      <c r="T61" s="22"/>
    </row>
    <row r="62" spans="1:20" ht="15" customHeight="1">
      <c r="A62" s="19"/>
      <c r="B62" s="19" t="s">
        <v>30</v>
      </c>
      <c r="C62" s="23">
        <v>42799644.913999997</v>
      </c>
      <c r="D62" s="21">
        <v>20098402</v>
      </c>
      <c r="E62" s="21">
        <v>3314189</v>
      </c>
      <c r="F62" s="21">
        <v>12895859</v>
      </c>
      <c r="G62" s="21">
        <v>4553180</v>
      </c>
      <c r="H62" s="21">
        <v>1938014.9140000001</v>
      </c>
      <c r="I62" s="17"/>
      <c r="J62" s="17"/>
      <c r="K62" s="22"/>
      <c r="L62" s="22"/>
      <c r="M62" s="22"/>
      <c r="N62" s="22"/>
      <c r="O62" s="22"/>
      <c r="P62" s="22"/>
      <c r="Q62" s="22"/>
      <c r="R62" s="22"/>
      <c r="S62" s="22"/>
      <c r="T62" s="22"/>
    </row>
    <row r="63" spans="1:20" ht="15" customHeight="1">
      <c r="A63" s="19"/>
      <c r="B63" s="19" t="s">
        <v>31</v>
      </c>
      <c r="C63" s="23">
        <v>41890701.579999998</v>
      </c>
      <c r="D63" s="21">
        <v>20147778</v>
      </c>
      <c r="E63" s="21">
        <v>3170907</v>
      </c>
      <c r="F63" s="21">
        <v>12449719</v>
      </c>
      <c r="G63" s="21">
        <v>4535500</v>
      </c>
      <c r="H63" s="21">
        <v>1586797.58</v>
      </c>
      <c r="I63" s="17"/>
      <c r="J63" s="17"/>
      <c r="K63" s="22"/>
      <c r="L63" s="22"/>
      <c r="M63" s="22"/>
      <c r="N63" s="22"/>
      <c r="O63" s="22"/>
      <c r="P63" s="22"/>
      <c r="Q63" s="22"/>
      <c r="R63" s="22"/>
      <c r="S63" s="22"/>
      <c r="T63" s="22"/>
    </row>
    <row r="64" spans="1:20" ht="15" customHeight="1">
      <c r="A64" s="19"/>
      <c r="B64" s="19" t="s">
        <v>32</v>
      </c>
      <c r="C64" s="23">
        <v>40593816.056000002</v>
      </c>
      <c r="D64" s="21">
        <v>20018400</v>
      </c>
      <c r="E64" s="21">
        <v>3103233</v>
      </c>
      <c r="F64" s="21">
        <v>11818020</v>
      </c>
      <c r="G64" s="21">
        <v>4323096</v>
      </c>
      <c r="H64" s="21">
        <v>1331067.0560000001</v>
      </c>
      <c r="I64" s="17"/>
      <c r="J64" s="17"/>
      <c r="K64" s="22"/>
      <c r="L64" s="22"/>
      <c r="M64" s="22"/>
      <c r="N64" s="22"/>
      <c r="O64" s="22"/>
      <c r="P64" s="22"/>
      <c r="Q64" s="22"/>
      <c r="R64" s="22"/>
      <c r="S64" s="22"/>
      <c r="T64" s="22"/>
    </row>
    <row r="65" spans="1:20" ht="15" customHeight="1">
      <c r="A65" s="19"/>
      <c r="B65" s="19" t="s">
        <v>33</v>
      </c>
      <c r="C65" s="23">
        <v>39816117</v>
      </c>
      <c r="D65" s="21">
        <v>20239508</v>
      </c>
      <c r="E65" s="21">
        <v>3041096</v>
      </c>
      <c r="F65" s="21">
        <v>11319053</v>
      </c>
      <c r="G65" s="21">
        <v>4187444</v>
      </c>
      <c r="H65" s="21">
        <v>1029016</v>
      </c>
      <c r="I65" s="17"/>
      <c r="J65" s="17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1:20" ht="15" customHeight="1">
      <c r="A66" s="19"/>
      <c r="B66" s="19" t="s">
        <v>34</v>
      </c>
      <c r="C66" s="23">
        <v>35470623</v>
      </c>
      <c r="D66" s="21">
        <v>17052271</v>
      </c>
      <c r="E66" s="21">
        <v>2699705</v>
      </c>
      <c r="F66" s="21">
        <v>10714288</v>
      </c>
      <c r="G66" s="21">
        <v>4076031</v>
      </c>
      <c r="H66" s="21">
        <v>928328</v>
      </c>
      <c r="I66" s="17"/>
      <c r="J66" s="17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1:20" ht="15" customHeight="1">
      <c r="A67" s="18">
        <v>2015</v>
      </c>
      <c r="B67" s="19" t="s">
        <v>23</v>
      </c>
      <c r="C67" s="23">
        <v>35006464.419</v>
      </c>
      <c r="D67" s="21">
        <v>16926514</v>
      </c>
      <c r="E67" s="21">
        <v>2568263</v>
      </c>
      <c r="F67" s="21">
        <v>10639752</v>
      </c>
      <c r="G67" s="21">
        <v>3889768</v>
      </c>
      <c r="H67" s="21">
        <v>982167.41899999999</v>
      </c>
      <c r="I67" s="17"/>
      <c r="J67" s="17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1:20" ht="15" customHeight="1">
      <c r="A68" s="19"/>
      <c r="B68" s="19" t="s">
        <v>24</v>
      </c>
      <c r="C68" s="23">
        <v>35921438.527999997</v>
      </c>
      <c r="D68" s="21">
        <v>18116452</v>
      </c>
      <c r="E68" s="21">
        <v>2548236</v>
      </c>
      <c r="F68" s="21">
        <v>10304831</v>
      </c>
      <c r="G68" s="21">
        <v>3876555</v>
      </c>
      <c r="H68" s="21">
        <v>1075364.5279999999</v>
      </c>
      <c r="I68" s="17"/>
      <c r="J68" s="17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 spans="1:20" ht="15" customHeight="1">
      <c r="A69" s="19"/>
      <c r="B69" s="19" t="s">
        <v>25</v>
      </c>
      <c r="C69" s="23">
        <v>38293058.43</v>
      </c>
      <c r="D69" s="21">
        <v>20223537</v>
      </c>
      <c r="E69" s="21">
        <v>2990041</v>
      </c>
      <c r="F69" s="21">
        <v>9907012</v>
      </c>
      <c r="G69" s="21">
        <v>3741172</v>
      </c>
      <c r="H69" s="21">
        <v>1431296.43</v>
      </c>
      <c r="I69" s="17"/>
      <c r="J69" s="17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spans="1:20" ht="15" customHeight="1">
      <c r="A70" s="19"/>
      <c r="B70" s="19" t="s">
        <v>26</v>
      </c>
      <c r="C70" s="23">
        <v>39902937.93</v>
      </c>
      <c r="D70" s="21">
        <v>20229294</v>
      </c>
      <c r="E70" s="21">
        <v>2906317</v>
      </c>
      <c r="F70" s="21">
        <v>11051271</v>
      </c>
      <c r="G70" s="21">
        <v>4036793</v>
      </c>
      <c r="H70" s="21">
        <v>1679262.93</v>
      </c>
      <c r="I70" s="17"/>
      <c r="J70" s="17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 spans="1:20" ht="15" customHeight="1">
      <c r="A71" s="19"/>
      <c r="B71" s="19" t="s">
        <v>27</v>
      </c>
      <c r="C71" s="23">
        <v>41473719.420999996</v>
      </c>
      <c r="D71" s="21">
        <v>20353685</v>
      </c>
      <c r="E71" s="21">
        <v>3291929</v>
      </c>
      <c r="F71" s="21">
        <v>11623949</v>
      </c>
      <c r="G71" s="21">
        <v>4182173</v>
      </c>
      <c r="H71" s="21">
        <v>2021983.4210000001</v>
      </c>
      <c r="I71" s="17"/>
      <c r="J71" s="17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1:20" ht="15" customHeight="1">
      <c r="A72" s="19"/>
      <c r="B72" s="19" t="s">
        <v>28</v>
      </c>
      <c r="C72" s="23">
        <v>44018827.230999999</v>
      </c>
      <c r="D72" s="21">
        <v>21339236</v>
      </c>
      <c r="E72" s="21">
        <v>3310725</v>
      </c>
      <c r="F72" s="21">
        <v>12568800</v>
      </c>
      <c r="G72" s="21">
        <v>4596264</v>
      </c>
      <c r="H72" s="21">
        <v>2203802.2310000001</v>
      </c>
      <c r="I72" s="17"/>
      <c r="J72" s="17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1:20" ht="15" customHeight="1">
      <c r="A73" s="19"/>
      <c r="B73" s="19" t="s">
        <v>29</v>
      </c>
      <c r="C73" s="23">
        <v>44522778.230999999</v>
      </c>
      <c r="D73" s="21">
        <v>20987258</v>
      </c>
      <c r="E73" s="21">
        <v>3253449</v>
      </c>
      <c r="F73" s="21">
        <v>13477196</v>
      </c>
      <c r="G73" s="21">
        <v>4584492</v>
      </c>
      <c r="H73" s="21">
        <v>2220383.2310000001</v>
      </c>
      <c r="I73" s="17"/>
      <c r="J73" s="17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1:20" ht="15" customHeight="1">
      <c r="A74" s="19"/>
      <c r="B74" s="19" t="s">
        <v>30</v>
      </c>
      <c r="C74" s="23">
        <v>48685748.913999997</v>
      </c>
      <c r="D74" s="21">
        <v>22865063</v>
      </c>
      <c r="E74" s="21">
        <v>3504559</v>
      </c>
      <c r="F74" s="21">
        <v>14390614</v>
      </c>
      <c r="G74" s="21">
        <v>6000600</v>
      </c>
      <c r="H74" s="21">
        <v>1924912.9140000001</v>
      </c>
      <c r="I74" s="17"/>
      <c r="J74" s="17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 spans="1:20" ht="15" customHeight="1">
      <c r="A75" s="19"/>
      <c r="B75" s="19" t="s">
        <v>31</v>
      </c>
      <c r="C75" s="23">
        <v>45183276.579999998</v>
      </c>
      <c r="D75" s="21">
        <v>22122945</v>
      </c>
      <c r="E75" s="21">
        <v>3334052</v>
      </c>
      <c r="F75" s="21">
        <v>13400279</v>
      </c>
      <c r="G75" s="21">
        <v>4731543</v>
      </c>
      <c r="H75" s="21">
        <v>1594457.58</v>
      </c>
      <c r="I75" s="17"/>
      <c r="J75" s="17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 spans="1:20" ht="15" customHeight="1">
      <c r="A76" s="19"/>
      <c r="B76" s="19" t="s">
        <v>32</v>
      </c>
      <c r="C76" s="23">
        <v>44002423.056000002</v>
      </c>
      <c r="D76" s="21">
        <v>21898905</v>
      </c>
      <c r="E76" s="21">
        <v>3243145</v>
      </c>
      <c r="F76" s="21">
        <v>12963065</v>
      </c>
      <c r="G76" s="21">
        <v>4560618</v>
      </c>
      <c r="H76" s="21">
        <v>1336690.0560000001</v>
      </c>
      <c r="I76" s="17"/>
      <c r="J76" s="17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 spans="1:20" ht="15" customHeight="1">
      <c r="A77" s="19"/>
      <c r="B77" s="19" t="s">
        <v>33</v>
      </c>
      <c r="C77" s="23">
        <v>42196539</v>
      </c>
      <c r="D77" s="21">
        <v>21434825</v>
      </c>
      <c r="E77" s="21">
        <v>2940599</v>
      </c>
      <c r="F77" s="21">
        <v>12376294</v>
      </c>
      <c r="G77" s="21">
        <v>4414916</v>
      </c>
      <c r="H77" s="21">
        <v>1029905</v>
      </c>
      <c r="I77" s="17"/>
      <c r="J77" s="17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 spans="1:20" ht="15" customHeight="1">
      <c r="A78" s="19"/>
      <c r="B78" s="19" t="s">
        <v>34</v>
      </c>
      <c r="C78" s="23">
        <v>38878747</v>
      </c>
      <c r="D78" s="21">
        <v>19108526</v>
      </c>
      <c r="E78" s="21">
        <v>2816413</v>
      </c>
      <c r="F78" s="21">
        <v>11720066</v>
      </c>
      <c r="G78" s="21">
        <v>4325727</v>
      </c>
      <c r="H78" s="21">
        <v>908015</v>
      </c>
      <c r="I78" s="17"/>
      <c r="J78" s="17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 spans="1:20" ht="15" customHeight="1">
      <c r="A79" s="18">
        <v>2016</v>
      </c>
      <c r="B79" s="19" t="s">
        <v>23</v>
      </c>
      <c r="C79" s="23">
        <v>36539000.419</v>
      </c>
      <c r="D79" s="21">
        <v>17638004</v>
      </c>
      <c r="E79" s="21">
        <v>2488796</v>
      </c>
      <c r="F79" s="21">
        <v>11297117</v>
      </c>
      <c r="G79" s="21">
        <v>4133621</v>
      </c>
      <c r="H79" s="21">
        <v>981462.41899999999</v>
      </c>
      <c r="I79" s="17"/>
      <c r="J79" s="17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 spans="1:20" ht="15" customHeight="1">
      <c r="A80" s="19"/>
      <c r="B80" s="19" t="s">
        <v>24</v>
      </c>
      <c r="C80" s="23">
        <v>39006369.527999997</v>
      </c>
      <c r="D80" s="21">
        <v>20828601</v>
      </c>
      <c r="E80" s="21">
        <v>2602362</v>
      </c>
      <c r="F80" s="21">
        <v>10516005</v>
      </c>
      <c r="G80" s="21">
        <v>3984179</v>
      </c>
      <c r="H80" s="21">
        <v>1075222.5279999999</v>
      </c>
      <c r="I80" s="17"/>
      <c r="J80" s="17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 spans="1:20" ht="15" customHeight="1">
      <c r="A81" s="19"/>
      <c r="B81" s="19" t="s">
        <v>25</v>
      </c>
      <c r="C81" s="23">
        <v>41482895.43</v>
      </c>
      <c r="D81" s="21">
        <v>22316704</v>
      </c>
      <c r="E81" s="21">
        <v>2838531</v>
      </c>
      <c r="F81" s="21">
        <v>10888952</v>
      </c>
      <c r="G81" s="21">
        <v>4006986</v>
      </c>
      <c r="H81" s="21">
        <v>1431722.43</v>
      </c>
      <c r="I81" s="17"/>
      <c r="J81" s="17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 spans="1:20" ht="15" customHeight="1">
      <c r="A82" s="19"/>
      <c r="B82" s="19" t="s">
        <v>26</v>
      </c>
      <c r="C82" s="23">
        <v>42759673.93</v>
      </c>
      <c r="D82" s="21">
        <v>21650011</v>
      </c>
      <c r="E82" s="21">
        <v>3076437</v>
      </c>
      <c r="F82" s="21">
        <v>11998624</v>
      </c>
      <c r="G82" s="21">
        <v>4351559</v>
      </c>
      <c r="H82" s="21">
        <v>1683042.93</v>
      </c>
      <c r="I82" s="17"/>
      <c r="J82" s="17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 spans="1:20" ht="15" customHeight="1">
      <c r="A83" s="19"/>
      <c r="B83" s="19" t="s">
        <v>27</v>
      </c>
      <c r="C83" s="23">
        <v>43888208.420999996</v>
      </c>
      <c r="D83" s="21">
        <v>22054833</v>
      </c>
      <c r="E83" s="21">
        <v>3118230</v>
      </c>
      <c r="F83" s="21">
        <v>12188325</v>
      </c>
      <c r="G83" s="21">
        <v>4481378</v>
      </c>
      <c r="H83" s="21">
        <v>2045442.4210000001</v>
      </c>
      <c r="I83" s="17"/>
      <c r="J83" s="17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 spans="1:20" ht="15" customHeight="1">
      <c r="A84" s="19"/>
      <c r="B84" s="19" t="s">
        <v>28</v>
      </c>
      <c r="C84" s="23">
        <v>43247141.230999999</v>
      </c>
      <c r="D84" s="21">
        <v>20409595</v>
      </c>
      <c r="E84" s="21">
        <v>3090813</v>
      </c>
      <c r="F84" s="21">
        <v>13021402</v>
      </c>
      <c r="G84" s="21">
        <v>4497978</v>
      </c>
      <c r="H84" s="21">
        <v>2227353.2310000001</v>
      </c>
      <c r="I84" s="17"/>
      <c r="J84" s="17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 spans="1:20" ht="15" customHeight="1">
      <c r="A85" s="19"/>
      <c r="B85" s="19" t="s">
        <v>29</v>
      </c>
      <c r="C85" s="23">
        <v>43330015.230999999</v>
      </c>
      <c r="D85" s="21">
        <v>20433427</v>
      </c>
      <c r="E85" s="21">
        <v>3093613</v>
      </c>
      <c r="F85" s="21">
        <v>13082879</v>
      </c>
      <c r="G85" s="21">
        <v>4474578</v>
      </c>
      <c r="H85" s="21">
        <v>2245518.2310000001</v>
      </c>
      <c r="I85" s="17"/>
      <c r="J85" s="17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1:20" ht="15" customHeight="1">
      <c r="A86" s="19"/>
      <c r="B86" s="19" t="s">
        <v>30</v>
      </c>
      <c r="C86" s="23">
        <v>45052254.913999997</v>
      </c>
      <c r="D86" s="21">
        <v>21989495</v>
      </c>
      <c r="E86" s="21">
        <v>3271055</v>
      </c>
      <c r="F86" s="21">
        <v>13069789</v>
      </c>
      <c r="G86" s="21">
        <v>4744786</v>
      </c>
      <c r="H86" s="21">
        <v>1977129.9140000001</v>
      </c>
      <c r="I86" s="17"/>
      <c r="J86" s="17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 spans="1:20" ht="15" customHeight="1">
      <c r="A87" s="19"/>
      <c r="B87" s="19" t="s">
        <v>31</v>
      </c>
      <c r="C87" s="23">
        <v>44288897.579999998</v>
      </c>
      <c r="D87" s="21">
        <v>22000361</v>
      </c>
      <c r="E87" s="21">
        <v>3048676</v>
      </c>
      <c r="F87" s="21">
        <v>12925764</v>
      </c>
      <c r="G87" s="21">
        <v>4697715</v>
      </c>
      <c r="H87" s="21">
        <v>1616381.58</v>
      </c>
      <c r="I87" s="17"/>
      <c r="J87" s="17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 spans="1:20" ht="15" customHeight="1">
      <c r="A88" s="19"/>
      <c r="B88" s="19" t="s">
        <v>32</v>
      </c>
      <c r="C88" s="23">
        <v>42539710.056000002</v>
      </c>
      <c r="D88" s="21">
        <v>21700470</v>
      </c>
      <c r="E88" s="21">
        <v>2843175</v>
      </c>
      <c r="F88" s="21">
        <v>12195183</v>
      </c>
      <c r="G88" s="21">
        <v>4445360</v>
      </c>
      <c r="H88" s="21">
        <v>1355522.0560000001</v>
      </c>
      <c r="I88" s="17"/>
      <c r="J88" s="17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 spans="1:20" ht="15" customHeight="1">
      <c r="A89" s="19"/>
      <c r="B89" s="19" t="s">
        <v>33</v>
      </c>
      <c r="C89" s="23">
        <v>40032773.329999998</v>
      </c>
      <c r="D89" s="21">
        <v>20396634</v>
      </c>
      <c r="E89" s="21">
        <v>2881433</v>
      </c>
      <c r="F89" s="21">
        <v>11369528</v>
      </c>
      <c r="G89" s="21">
        <v>4340030</v>
      </c>
      <c r="H89" s="21">
        <v>1045148.33</v>
      </c>
      <c r="I89" s="17"/>
      <c r="J89" s="17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ht="15" customHeight="1">
      <c r="A90" s="19"/>
      <c r="B90" s="19" t="s">
        <v>34</v>
      </c>
      <c r="C90" s="23">
        <v>36323189.325999998</v>
      </c>
      <c r="D90" s="21">
        <v>18279505</v>
      </c>
      <c r="E90" s="21">
        <v>2552673</v>
      </c>
      <c r="F90" s="21">
        <v>10656662</v>
      </c>
      <c r="G90" s="21">
        <v>3912416</v>
      </c>
      <c r="H90" s="21">
        <v>921933.326</v>
      </c>
      <c r="I90" s="17"/>
      <c r="J90" s="17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ht="15" customHeight="1">
      <c r="A91" s="18">
        <v>2017</v>
      </c>
      <c r="B91" s="19" t="s">
        <v>23</v>
      </c>
      <c r="C91" s="23">
        <v>37122877</v>
      </c>
      <c r="D91" s="21">
        <v>18197873</v>
      </c>
      <c r="E91" s="21">
        <v>2553883</v>
      </c>
      <c r="F91" s="21">
        <v>11056381</v>
      </c>
      <c r="G91" s="21">
        <v>4138394</v>
      </c>
      <c r="H91" s="21">
        <v>1176346</v>
      </c>
      <c r="I91" s="17"/>
      <c r="J91" s="17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ht="15" customHeight="1">
      <c r="A92" s="19"/>
      <c r="B92" s="19" t="s">
        <v>24</v>
      </c>
      <c r="C92" s="23">
        <v>36756043</v>
      </c>
      <c r="D92" s="21">
        <v>18551869</v>
      </c>
      <c r="E92" s="21">
        <v>2503339</v>
      </c>
      <c r="F92" s="21">
        <v>10541731</v>
      </c>
      <c r="G92" s="21">
        <v>4058393</v>
      </c>
      <c r="H92" s="21">
        <v>1100711</v>
      </c>
      <c r="I92" s="17"/>
      <c r="J92" s="17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ht="15" customHeight="1">
      <c r="A93" s="19"/>
      <c r="B93" s="19" t="s">
        <v>25</v>
      </c>
      <c r="C93" s="23">
        <v>38969685</v>
      </c>
      <c r="D93" s="21">
        <v>19925170</v>
      </c>
      <c r="E93" s="21">
        <v>2911727</v>
      </c>
      <c r="F93" s="21">
        <v>10661999</v>
      </c>
      <c r="G93" s="21">
        <v>4007721</v>
      </c>
      <c r="H93" s="21">
        <v>1463068</v>
      </c>
      <c r="I93" s="17"/>
      <c r="J93" s="17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ht="15" customHeight="1">
      <c r="A94" s="19"/>
      <c r="B94" s="19" t="s">
        <v>26</v>
      </c>
      <c r="C94" s="23">
        <v>40724102</v>
      </c>
      <c r="D94" s="21">
        <v>20237242</v>
      </c>
      <c r="E94" s="21">
        <v>2904189</v>
      </c>
      <c r="F94" s="21">
        <v>11609322</v>
      </c>
      <c r="G94" s="21">
        <v>4258465</v>
      </c>
      <c r="H94" s="21">
        <v>1714884</v>
      </c>
      <c r="I94" s="17"/>
      <c r="J94" s="17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ht="15" customHeight="1">
      <c r="A95" s="19"/>
      <c r="B95" s="19" t="s">
        <v>27</v>
      </c>
      <c r="C95" s="23">
        <v>42708711</v>
      </c>
      <c r="D95" s="21">
        <v>21128811</v>
      </c>
      <c r="E95" s="21">
        <v>3152646</v>
      </c>
      <c r="F95" s="21">
        <v>11960169</v>
      </c>
      <c r="G95" s="21">
        <v>4388065</v>
      </c>
      <c r="H95" s="21">
        <v>2079020</v>
      </c>
      <c r="I95" s="17"/>
      <c r="J95" s="17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ht="15" customHeight="1">
      <c r="A96" s="19"/>
      <c r="B96" s="19" t="s">
        <v>28</v>
      </c>
      <c r="C96" s="23">
        <v>43732420</v>
      </c>
      <c r="D96" s="21">
        <v>20699690</v>
      </c>
      <c r="E96" s="21">
        <v>3197073</v>
      </c>
      <c r="F96" s="21">
        <v>12927899</v>
      </c>
      <c r="G96" s="21">
        <v>4645421</v>
      </c>
      <c r="H96" s="21">
        <v>2262337</v>
      </c>
      <c r="I96" s="17"/>
      <c r="J96" s="17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ht="15" customHeight="1">
      <c r="A97" s="19"/>
      <c r="B97" s="19" t="s">
        <v>29</v>
      </c>
      <c r="C97" s="23">
        <v>45817943</v>
      </c>
      <c r="D97" s="21">
        <v>22194967</v>
      </c>
      <c r="E97" s="21">
        <v>3191216</v>
      </c>
      <c r="F97" s="21">
        <v>13469134</v>
      </c>
      <c r="G97" s="21">
        <v>4713528</v>
      </c>
      <c r="H97" s="21">
        <v>2249098</v>
      </c>
      <c r="I97" s="17"/>
      <c r="J97" s="17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ht="15" customHeight="1">
      <c r="A98" s="19"/>
      <c r="B98" s="19" t="s">
        <v>30</v>
      </c>
      <c r="C98" s="23">
        <v>46551741</v>
      </c>
      <c r="D98" s="21">
        <v>22642730</v>
      </c>
      <c r="E98" s="21">
        <v>3262514</v>
      </c>
      <c r="F98" s="21">
        <v>13743198</v>
      </c>
      <c r="G98" s="21">
        <v>4896769</v>
      </c>
      <c r="H98" s="21">
        <v>2006530</v>
      </c>
      <c r="I98" s="17"/>
      <c r="J98" s="17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ht="15" customHeight="1">
      <c r="A99" s="19"/>
      <c r="B99" s="19" t="s">
        <v>31</v>
      </c>
      <c r="C99" s="23">
        <v>44327694</v>
      </c>
      <c r="D99" s="21">
        <v>21982136</v>
      </c>
      <c r="E99" s="21">
        <v>3059995</v>
      </c>
      <c r="F99" s="21">
        <v>12996911</v>
      </c>
      <c r="G99" s="21">
        <v>4644166</v>
      </c>
      <c r="H99" s="21">
        <v>1644486</v>
      </c>
      <c r="I99" s="17"/>
      <c r="J99" s="17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ht="15" customHeight="1">
      <c r="A100" s="19"/>
      <c r="B100" s="19" t="s">
        <v>32</v>
      </c>
      <c r="C100" s="23">
        <v>44049081</v>
      </c>
      <c r="D100" s="21">
        <v>22889334</v>
      </c>
      <c r="E100" s="21">
        <v>3055729</v>
      </c>
      <c r="F100" s="21">
        <v>12213748</v>
      </c>
      <c r="G100" s="21">
        <v>4509646</v>
      </c>
      <c r="H100" s="21">
        <v>1380624</v>
      </c>
      <c r="I100" s="17"/>
      <c r="J100" s="17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ht="15" customHeight="1">
      <c r="A101" s="19"/>
      <c r="B101" s="19" t="s">
        <v>33</v>
      </c>
      <c r="C101" s="23">
        <v>42642876</v>
      </c>
      <c r="D101" s="21">
        <v>21437857</v>
      </c>
      <c r="E101" s="21">
        <v>2970153</v>
      </c>
      <c r="F101" s="21">
        <v>12574510</v>
      </c>
      <c r="G101" s="21">
        <v>4594290</v>
      </c>
      <c r="H101" s="21">
        <v>1066066</v>
      </c>
      <c r="I101" s="17"/>
      <c r="J101" s="17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ht="15" customHeight="1">
      <c r="A102" s="19"/>
      <c r="B102" s="19" t="s">
        <v>34</v>
      </c>
      <c r="C102" s="23">
        <v>36617872</v>
      </c>
      <c r="D102" s="21">
        <v>19094711</v>
      </c>
      <c r="E102" s="21">
        <v>2554318</v>
      </c>
      <c r="F102" s="21">
        <v>11576594</v>
      </c>
      <c r="G102" s="21">
        <v>2493081</v>
      </c>
      <c r="H102" s="21">
        <v>899168</v>
      </c>
      <c r="I102" s="17"/>
      <c r="J102" s="17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ht="15" customHeight="1">
      <c r="A103" s="18">
        <v>2018</v>
      </c>
      <c r="B103" s="19" t="s">
        <v>23</v>
      </c>
      <c r="C103" s="23">
        <v>38059348</v>
      </c>
      <c r="D103" s="21">
        <v>19052595</v>
      </c>
      <c r="E103" s="21">
        <v>2622684</v>
      </c>
      <c r="F103" s="21">
        <v>11098872</v>
      </c>
      <c r="G103" s="21">
        <v>4289731</v>
      </c>
      <c r="H103" s="21">
        <v>995466</v>
      </c>
      <c r="I103" s="17"/>
      <c r="J103" s="17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ht="15" customHeight="1">
      <c r="A104" s="19"/>
      <c r="B104" s="19" t="s">
        <v>24</v>
      </c>
      <c r="C104" s="23">
        <v>36769978</v>
      </c>
      <c r="D104" s="21">
        <v>18323571</v>
      </c>
      <c r="E104" s="21">
        <v>2497601</v>
      </c>
      <c r="F104" s="21">
        <v>10759329</v>
      </c>
      <c r="G104" s="21">
        <v>4078183</v>
      </c>
      <c r="H104" s="21">
        <v>1111294</v>
      </c>
      <c r="I104" s="17"/>
      <c r="J104" s="17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 ht="15" customHeight="1">
      <c r="A105" s="19"/>
      <c r="B105" s="19" t="s">
        <v>25</v>
      </c>
      <c r="C105" s="23">
        <v>40203579</v>
      </c>
      <c r="D105" s="21">
        <v>21537895</v>
      </c>
      <c r="E105" s="21">
        <v>2653167</v>
      </c>
      <c r="F105" s="21">
        <v>10527112</v>
      </c>
      <c r="G105" s="21">
        <v>4010863</v>
      </c>
      <c r="H105" s="21">
        <v>1474542</v>
      </c>
      <c r="I105" s="17"/>
      <c r="J105" s="17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 ht="15" customHeight="1">
      <c r="A106" s="19"/>
      <c r="B106" s="19" t="s">
        <v>26</v>
      </c>
      <c r="C106" s="23">
        <v>42665327</v>
      </c>
      <c r="D106" s="21">
        <v>22110692</v>
      </c>
      <c r="E106" s="21">
        <v>2890455</v>
      </c>
      <c r="F106" s="21">
        <v>11632777</v>
      </c>
      <c r="G106" s="21">
        <v>4301556</v>
      </c>
      <c r="H106" s="21">
        <v>1729847</v>
      </c>
      <c r="I106" s="17"/>
      <c r="J106" s="17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5" customHeight="1">
      <c r="A107" s="19"/>
      <c r="B107" s="19" t="s">
        <v>27</v>
      </c>
      <c r="C107" s="23">
        <v>47872232</v>
      </c>
      <c r="D107" s="21">
        <v>25769389</v>
      </c>
      <c r="E107" s="21">
        <v>3217603</v>
      </c>
      <c r="F107" s="21">
        <v>12304678</v>
      </c>
      <c r="G107" s="21">
        <v>4499794</v>
      </c>
      <c r="H107" s="21">
        <v>2080768</v>
      </c>
      <c r="I107" s="17"/>
      <c r="J107" s="17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 ht="15" customHeight="1">
      <c r="A108" s="19"/>
      <c r="B108" s="19" t="s">
        <v>28</v>
      </c>
      <c r="C108" s="23">
        <v>43189304</v>
      </c>
      <c r="D108" s="21">
        <v>19941290</v>
      </c>
      <c r="E108" s="21">
        <v>2968131</v>
      </c>
      <c r="F108" s="21">
        <v>13346734</v>
      </c>
      <c r="G108" s="21">
        <v>4667293</v>
      </c>
      <c r="H108" s="21">
        <v>2265856</v>
      </c>
      <c r="I108" s="17"/>
      <c r="J108" s="17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 ht="15" customHeight="1">
      <c r="A109" s="19"/>
      <c r="B109" s="19" t="s">
        <v>29</v>
      </c>
      <c r="C109" s="23">
        <v>47761171</v>
      </c>
      <c r="D109" s="21">
        <v>23877924</v>
      </c>
      <c r="E109" s="21">
        <v>3179653</v>
      </c>
      <c r="F109" s="21">
        <v>13685278</v>
      </c>
      <c r="G109" s="21">
        <v>4726770</v>
      </c>
      <c r="H109" s="21">
        <v>2291546</v>
      </c>
      <c r="I109" s="17"/>
      <c r="J109" s="17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ht="15" customHeight="1">
      <c r="A110" s="19"/>
      <c r="B110" s="19" t="s">
        <v>30</v>
      </c>
      <c r="C110" s="23">
        <v>47723110</v>
      </c>
      <c r="D110" s="21">
        <v>23421584</v>
      </c>
      <c r="E110" s="21">
        <v>3351213</v>
      </c>
      <c r="F110" s="21">
        <v>13951421</v>
      </c>
      <c r="G110" s="21">
        <v>4985667</v>
      </c>
      <c r="H110" s="21">
        <v>2013225</v>
      </c>
      <c r="I110" s="17"/>
      <c r="J110" s="17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ht="15" customHeight="1">
      <c r="A111" s="19"/>
      <c r="B111" s="19" t="s">
        <v>31</v>
      </c>
      <c r="C111" s="23">
        <v>47077271</v>
      </c>
      <c r="D111" s="21">
        <v>24396776</v>
      </c>
      <c r="E111" s="21">
        <v>3022539</v>
      </c>
      <c r="F111" s="21">
        <v>13232894</v>
      </c>
      <c r="G111" s="21">
        <v>4775638</v>
      </c>
      <c r="H111" s="21">
        <v>1649424</v>
      </c>
      <c r="I111" s="17"/>
      <c r="J111" s="17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ht="15" customHeight="1">
      <c r="A112" s="19"/>
      <c r="B112" s="19" t="s">
        <v>32</v>
      </c>
      <c r="C112" s="23">
        <v>45911146</v>
      </c>
      <c r="D112" s="21">
        <v>24350347</v>
      </c>
      <c r="E112" s="21">
        <v>2941851</v>
      </c>
      <c r="F112" s="21">
        <v>12584026</v>
      </c>
      <c r="G112" s="21">
        <v>4649505</v>
      </c>
      <c r="H112" s="21">
        <v>1385417</v>
      </c>
      <c r="I112" s="17"/>
      <c r="J112" s="17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5" customHeight="1">
      <c r="A113" s="19"/>
      <c r="B113" s="19" t="s">
        <v>33</v>
      </c>
      <c r="C113" s="23">
        <v>43895571</v>
      </c>
      <c r="D113" s="21">
        <v>22799065</v>
      </c>
      <c r="E113" s="21">
        <v>2763044</v>
      </c>
      <c r="F113" s="21">
        <v>12656126</v>
      </c>
      <c r="G113" s="21">
        <v>4607211</v>
      </c>
      <c r="H113" s="21">
        <v>1070125</v>
      </c>
      <c r="I113" s="17"/>
      <c r="J113" s="17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ht="15" customHeight="1">
      <c r="A114" s="19"/>
      <c r="B114" s="19" t="s">
        <v>34</v>
      </c>
      <c r="C114" s="23">
        <v>37313337</v>
      </c>
      <c r="D114" s="21">
        <v>18223324</v>
      </c>
      <c r="E114" s="21">
        <v>2422726</v>
      </c>
      <c r="F114" s="21">
        <v>11551823</v>
      </c>
      <c r="G114" s="21">
        <v>4172369</v>
      </c>
      <c r="H114" s="21">
        <v>943095</v>
      </c>
      <c r="I114" s="17"/>
      <c r="J114" s="17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ht="15" customHeight="1">
      <c r="A115" s="18">
        <v>2019</v>
      </c>
      <c r="B115" s="19" t="s">
        <v>23</v>
      </c>
      <c r="C115" s="23">
        <v>38474258</v>
      </c>
      <c r="D115" s="21">
        <v>19741926</v>
      </c>
      <c r="E115" s="21">
        <v>2412129</v>
      </c>
      <c r="F115" s="21">
        <v>11219370</v>
      </c>
      <c r="G115" s="21">
        <v>4104026</v>
      </c>
      <c r="H115" s="21">
        <v>996807</v>
      </c>
      <c r="I115" s="17"/>
      <c r="J115" s="17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 ht="15" customHeight="1">
      <c r="A116" s="19"/>
      <c r="B116" s="19" t="s">
        <v>24</v>
      </c>
      <c r="C116" s="23">
        <v>39084106</v>
      </c>
      <c r="D116" s="21">
        <v>21057229</v>
      </c>
      <c r="E116" s="21">
        <v>2327794</v>
      </c>
      <c r="F116" s="21">
        <v>10736746</v>
      </c>
      <c r="G116" s="21">
        <v>3915636</v>
      </c>
      <c r="H116" s="21">
        <v>1046701</v>
      </c>
      <c r="I116" s="17"/>
      <c r="J116" s="17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ht="15" customHeight="1">
      <c r="A117" s="19"/>
      <c r="B117" s="19" t="s">
        <v>25</v>
      </c>
      <c r="C117" s="23">
        <v>40766826</v>
      </c>
      <c r="D117" s="21">
        <v>21795471</v>
      </c>
      <c r="E117" s="21">
        <v>2565671</v>
      </c>
      <c r="F117" s="21">
        <v>10928875</v>
      </c>
      <c r="G117" s="21">
        <v>3989877</v>
      </c>
      <c r="H117" s="21">
        <v>1486932</v>
      </c>
      <c r="I117" s="17"/>
      <c r="J117" s="17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 ht="15" customHeight="1">
      <c r="A118" s="19"/>
      <c r="B118" s="19" t="s">
        <v>26</v>
      </c>
      <c r="C118" s="23">
        <v>44625377</v>
      </c>
      <c r="D118" s="21">
        <v>23635569</v>
      </c>
      <c r="E118" s="21">
        <v>2845402</v>
      </c>
      <c r="F118" s="21">
        <v>11999112</v>
      </c>
      <c r="G118" s="21">
        <v>4401538</v>
      </c>
      <c r="H118" s="21">
        <v>1743756</v>
      </c>
      <c r="I118" s="17"/>
      <c r="J118" s="17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 ht="15" customHeight="1">
      <c r="A119" s="19"/>
      <c r="B119" s="19" t="s">
        <v>27</v>
      </c>
      <c r="C119" s="23">
        <v>45161720</v>
      </c>
      <c r="D119" s="21">
        <v>23901994</v>
      </c>
      <c r="E119" s="21">
        <v>2846659</v>
      </c>
      <c r="F119" s="21">
        <v>12006726</v>
      </c>
      <c r="G119" s="21">
        <v>4308785</v>
      </c>
      <c r="H119" s="21">
        <v>2097556</v>
      </c>
      <c r="I119" s="17"/>
      <c r="J119" s="17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 ht="15" customHeight="1">
      <c r="A120" s="19"/>
      <c r="B120" s="19" t="s">
        <v>35</v>
      </c>
      <c r="C120" s="23">
        <v>46381458</v>
      </c>
      <c r="D120" s="21">
        <v>23166344</v>
      </c>
      <c r="E120" s="21">
        <v>3021453</v>
      </c>
      <c r="F120" s="21">
        <v>13146441</v>
      </c>
      <c r="G120" s="21">
        <v>4688078</v>
      </c>
      <c r="H120" s="21">
        <v>2359142</v>
      </c>
      <c r="I120" s="17"/>
      <c r="J120" s="17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ht="15" customHeight="1">
      <c r="A121" s="19"/>
      <c r="B121" s="19" t="s">
        <v>29</v>
      </c>
      <c r="C121" s="23">
        <v>49319387</v>
      </c>
      <c r="D121" s="21">
        <v>25820644</v>
      </c>
      <c r="E121" s="21">
        <v>2979421</v>
      </c>
      <c r="F121" s="21">
        <v>13384188</v>
      </c>
      <c r="G121" s="21">
        <v>4750170</v>
      </c>
      <c r="H121" s="21">
        <v>2384964</v>
      </c>
      <c r="I121" s="17"/>
      <c r="J121" s="17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ht="15" customHeight="1">
      <c r="A122" s="19"/>
      <c r="B122" s="19" t="s">
        <v>30</v>
      </c>
      <c r="C122" s="23">
        <v>49491992</v>
      </c>
      <c r="D122" s="21">
        <v>26154088</v>
      </c>
      <c r="E122" s="21">
        <v>2987335</v>
      </c>
      <c r="F122" s="21">
        <v>13517672</v>
      </c>
      <c r="G122" s="21">
        <v>4738668</v>
      </c>
      <c r="H122" s="21">
        <v>2094229</v>
      </c>
      <c r="I122" s="17"/>
      <c r="J122" s="17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 ht="15" customHeight="1">
      <c r="A123" s="19"/>
      <c r="B123" s="19" t="s">
        <v>36</v>
      </c>
      <c r="C123" s="23">
        <v>46921347</v>
      </c>
      <c r="D123" s="21">
        <v>25111384</v>
      </c>
      <c r="E123" s="21">
        <v>2676747</v>
      </c>
      <c r="F123" s="21">
        <v>12932799</v>
      </c>
      <c r="G123" s="21">
        <v>4483663</v>
      </c>
      <c r="H123" s="21">
        <v>1716754</v>
      </c>
      <c r="I123" s="17"/>
      <c r="J123" s="17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 ht="15" customHeight="1">
      <c r="A124" s="19"/>
      <c r="B124" s="19" t="s">
        <v>32</v>
      </c>
      <c r="C124" s="23">
        <v>47246079</v>
      </c>
      <c r="D124" s="21">
        <v>25946822</v>
      </c>
      <c r="E124" s="21">
        <v>2737682</v>
      </c>
      <c r="F124" s="21">
        <v>12516265</v>
      </c>
      <c r="G124" s="21">
        <v>4603565</v>
      </c>
      <c r="H124" s="21">
        <v>1441745</v>
      </c>
      <c r="I124" s="17"/>
      <c r="J124" s="17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 ht="15" customHeight="1">
      <c r="A125" s="19"/>
      <c r="B125" s="19" t="s">
        <v>33</v>
      </c>
      <c r="C125" s="23">
        <v>44329106</v>
      </c>
      <c r="D125" s="21">
        <v>23675866</v>
      </c>
      <c r="E125" s="21">
        <v>2528260</v>
      </c>
      <c r="F125" s="21">
        <v>12459209</v>
      </c>
      <c r="G125" s="21">
        <v>4553202</v>
      </c>
      <c r="H125" s="21">
        <v>1112569</v>
      </c>
      <c r="I125" s="17"/>
      <c r="J125" s="17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 ht="15" customHeight="1">
      <c r="A126" s="19"/>
      <c r="B126" s="19" t="s">
        <v>34</v>
      </c>
      <c r="C126" s="23">
        <v>40385944</v>
      </c>
      <c r="D126" s="21">
        <v>21629617</v>
      </c>
      <c r="E126" s="21">
        <v>2317728</v>
      </c>
      <c r="F126" s="21">
        <v>11309298</v>
      </c>
      <c r="G126" s="21">
        <v>4148653</v>
      </c>
      <c r="H126" s="21">
        <v>980648</v>
      </c>
      <c r="I126" s="17"/>
      <c r="J126" s="17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 ht="15" customHeight="1">
      <c r="A127" s="18">
        <v>2020</v>
      </c>
      <c r="B127" s="19" t="s">
        <v>23</v>
      </c>
      <c r="C127" s="23">
        <v>42118601</v>
      </c>
      <c r="D127" s="21">
        <v>23156301</v>
      </c>
      <c r="E127" s="21">
        <v>2312236</v>
      </c>
      <c r="F127" s="21">
        <v>11508318</v>
      </c>
      <c r="G127" s="21">
        <v>4144574</v>
      </c>
      <c r="H127" s="21">
        <v>997172</v>
      </c>
      <c r="I127" s="17"/>
      <c r="J127" s="17"/>
      <c r="K127" s="25"/>
      <c r="L127" s="25"/>
      <c r="M127" s="25"/>
      <c r="N127" s="25"/>
      <c r="O127" s="25"/>
      <c r="P127" s="25"/>
      <c r="Q127" s="25"/>
      <c r="R127" s="25"/>
      <c r="S127" s="25"/>
      <c r="T127" s="25"/>
    </row>
    <row r="128" spans="1:20" ht="15" customHeight="1">
      <c r="A128" s="19"/>
      <c r="B128" s="19" t="s">
        <v>24</v>
      </c>
      <c r="C128" s="23">
        <v>41814234</v>
      </c>
      <c r="D128" s="21">
        <v>24077853</v>
      </c>
      <c r="E128" s="21">
        <v>2158282</v>
      </c>
      <c r="F128" s="21">
        <v>10512530</v>
      </c>
      <c r="G128" s="21">
        <v>3951335</v>
      </c>
      <c r="H128" s="21">
        <v>1114234</v>
      </c>
      <c r="I128" s="17"/>
      <c r="J128" s="17"/>
      <c r="K128" s="25"/>
      <c r="L128" s="25"/>
      <c r="M128" s="25"/>
      <c r="N128" s="25"/>
      <c r="O128" s="25"/>
      <c r="P128" s="25"/>
      <c r="Q128" s="25"/>
      <c r="R128" s="25"/>
      <c r="S128" s="25"/>
      <c r="T128" s="25"/>
    </row>
    <row r="129" spans="1:20" ht="15" customHeight="1">
      <c r="A129" s="19"/>
      <c r="B129" s="19" t="s">
        <v>25</v>
      </c>
      <c r="C129" s="23">
        <v>41254155</v>
      </c>
      <c r="D129" s="21">
        <v>22813448</v>
      </c>
      <c r="E129" s="21">
        <v>2549723</v>
      </c>
      <c r="F129" s="21">
        <v>10515534</v>
      </c>
      <c r="G129" s="21">
        <v>3841791</v>
      </c>
      <c r="H129" s="21">
        <v>1533659</v>
      </c>
      <c r="I129" s="17"/>
      <c r="J129" s="17"/>
      <c r="K129" s="25"/>
      <c r="L129" s="25"/>
      <c r="M129" s="25"/>
      <c r="N129" s="25"/>
      <c r="O129" s="25"/>
      <c r="P129" s="25"/>
      <c r="Q129" s="25"/>
      <c r="R129" s="25"/>
      <c r="S129" s="25"/>
      <c r="T129" s="25"/>
    </row>
    <row r="130" spans="1:20" ht="15" customHeight="1">
      <c r="A130" s="19"/>
      <c r="B130" s="19" t="s">
        <v>26</v>
      </c>
      <c r="C130" s="23">
        <v>36603876</v>
      </c>
      <c r="D130" s="21">
        <v>19919991</v>
      </c>
      <c r="E130" s="21">
        <v>2097775</v>
      </c>
      <c r="F130" s="21">
        <v>10415322</v>
      </c>
      <c r="G130" s="21">
        <v>2373129</v>
      </c>
      <c r="H130" s="21">
        <v>1797659</v>
      </c>
      <c r="I130" s="17"/>
      <c r="J130" s="17"/>
      <c r="K130" s="25"/>
      <c r="L130" s="25"/>
      <c r="M130" s="25"/>
      <c r="N130" s="25"/>
      <c r="O130" s="25"/>
      <c r="P130" s="25"/>
      <c r="Q130" s="25"/>
      <c r="R130" s="25"/>
      <c r="S130" s="25"/>
      <c r="T130" s="25"/>
    </row>
    <row r="131" spans="1:20" ht="15" customHeight="1">
      <c r="A131" s="19"/>
      <c r="B131" s="19" t="s">
        <v>27</v>
      </c>
      <c r="C131" s="23">
        <v>44211968</v>
      </c>
      <c r="D131" s="21">
        <v>21482092</v>
      </c>
      <c r="E131" s="21">
        <v>2194019</v>
      </c>
      <c r="F131" s="21">
        <v>14397049</v>
      </c>
      <c r="G131" s="21">
        <v>3972995</v>
      </c>
      <c r="H131" s="21">
        <v>2165813</v>
      </c>
      <c r="I131" s="17"/>
      <c r="J131" s="17"/>
      <c r="K131" s="25"/>
      <c r="L131" s="25"/>
      <c r="M131" s="25"/>
      <c r="N131" s="25"/>
      <c r="O131" s="25"/>
      <c r="P131" s="25"/>
      <c r="Q131" s="25"/>
      <c r="R131" s="25"/>
      <c r="S131" s="25"/>
      <c r="T131" s="25"/>
    </row>
    <row r="132" spans="1:20" ht="15" customHeight="1">
      <c r="A132" s="19"/>
      <c r="B132" s="19" t="s">
        <v>28</v>
      </c>
      <c r="C132" s="23">
        <v>45798696</v>
      </c>
      <c r="D132" s="21">
        <v>23258433</v>
      </c>
      <c r="E132" s="21">
        <v>2325389</v>
      </c>
      <c r="F132" s="21">
        <v>13630254</v>
      </c>
      <c r="G132" s="21">
        <v>4225035</v>
      </c>
      <c r="H132" s="21">
        <v>2359585</v>
      </c>
      <c r="I132" s="17"/>
      <c r="J132" s="17"/>
      <c r="K132" s="25"/>
      <c r="L132" s="25"/>
      <c r="M132" s="25"/>
      <c r="N132" s="25"/>
      <c r="O132" s="25"/>
      <c r="P132" s="25"/>
      <c r="Q132" s="25"/>
      <c r="R132" s="25"/>
      <c r="S132" s="25"/>
      <c r="T132" s="25"/>
    </row>
    <row r="133" spans="1:20" ht="15" customHeight="1">
      <c r="A133" s="19"/>
      <c r="B133" s="19" t="s">
        <v>29</v>
      </c>
      <c r="C133" s="23">
        <v>49734005.230999999</v>
      </c>
      <c r="D133" s="21">
        <v>25047760</v>
      </c>
      <c r="E133" s="21">
        <v>2698292</v>
      </c>
      <c r="F133" s="21">
        <v>15063676</v>
      </c>
      <c r="G133" s="21">
        <v>4537005</v>
      </c>
      <c r="H133" s="21">
        <v>2387272.2310000001</v>
      </c>
      <c r="I133" s="17"/>
      <c r="J133" s="17"/>
      <c r="K133" s="25"/>
      <c r="L133" s="25"/>
      <c r="M133" s="25"/>
      <c r="N133" s="25"/>
      <c r="O133" s="25"/>
      <c r="P133" s="25"/>
      <c r="Q133" s="25"/>
      <c r="R133" s="25"/>
      <c r="S133" s="25"/>
      <c r="T133" s="25"/>
    </row>
    <row r="134" spans="1:20" ht="15" customHeight="1">
      <c r="A134" s="19"/>
      <c r="B134" s="19" t="s">
        <v>30</v>
      </c>
      <c r="C134" s="23">
        <v>45806754.913999997</v>
      </c>
      <c r="D134" s="21">
        <v>21782135</v>
      </c>
      <c r="E134" s="21">
        <v>2380879</v>
      </c>
      <c r="F134" s="21">
        <v>15392804</v>
      </c>
      <c r="G134" s="21">
        <v>4150701</v>
      </c>
      <c r="H134" s="21">
        <v>2100235.9139999999</v>
      </c>
      <c r="I134" s="17"/>
      <c r="J134" s="17"/>
      <c r="K134" s="25"/>
      <c r="L134" s="25"/>
      <c r="M134" s="25"/>
      <c r="N134" s="25"/>
      <c r="O134" s="25"/>
      <c r="P134" s="25"/>
      <c r="Q134" s="25"/>
      <c r="R134" s="25"/>
      <c r="S134" s="25"/>
      <c r="T134" s="25"/>
    </row>
    <row r="135" spans="1:20" ht="15" customHeight="1">
      <c r="A135" s="19"/>
      <c r="B135" s="19" t="s">
        <v>31</v>
      </c>
      <c r="C135" s="23">
        <v>48307405</v>
      </c>
      <c r="D135" s="21">
        <v>25987916</v>
      </c>
      <c r="E135" s="21">
        <v>2492204</v>
      </c>
      <c r="F135" s="21">
        <v>13955769</v>
      </c>
      <c r="G135" s="21">
        <v>4150076</v>
      </c>
      <c r="H135" s="21">
        <v>1721440</v>
      </c>
      <c r="I135" s="17"/>
      <c r="J135" s="17"/>
      <c r="K135" s="25"/>
      <c r="L135" s="25"/>
      <c r="M135" s="25"/>
      <c r="N135" s="25"/>
      <c r="O135" s="25"/>
      <c r="P135" s="25"/>
      <c r="Q135" s="25"/>
      <c r="R135" s="25"/>
      <c r="S135" s="25"/>
      <c r="T135" s="25"/>
    </row>
    <row r="136" spans="1:20" ht="15" customHeight="1">
      <c r="A136" s="19"/>
      <c r="B136" s="19" t="s">
        <v>32</v>
      </c>
      <c r="C136" s="23">
        <v>46070068</v>
      </c>
      <c r="D136" s="21">
        <v>24922328</v>
      </c>
      <c r="E136" s="21">
        <v>2257162</v>
      </c>
      <c r="F136" s="21">
        <v>13489580</v>
      </c>
      <c r="G136" s="21">
        <v>3957179</v>
      </c>
      <c r="H136" s="21">
        <v>1443819</v>
      </c>
      <c r="I136" s="17"/>
      <c r="J136" s="17"/>
      <c r="K136" s="25"/>
      <c r="L136" s="25"/>
      <c r="M136" s="25"/>
      <c r="N136" s="25"/>
      <c r="O136" s="25"/>
      <c r="P136" s="25"/>
      <c r="Q136" s="25"/>
      <c r="R136" s="25"/>
      <c r="S136" s="25"/>
      <c r="T136" s="25"/>
    </row>
    <row r="137" spans="1:20" ht="15" customHeight="1">
      <c r="A137" s="19"/>
      <c r="B137" s="19" t="s">
        <v>33</v>
      </c>
      <c r="C137" s="23">
        <v>46829491</v>
      </c>
      <c r="D137" s="21">
        <v>26495188</v>
      </c>
      <c r="E137" s="21">
        <v>2155350</v>
      </c>
      <c r="F137" s="21">
        <v>13112677</v>
      </c>
      <c r="G137" s="21">
        <v>3954257</v>
      </c>
      <c r="H137" s="21">
        <v>1112019</v>
      </c>
      <c r="I137" s="17"/>
      <c r="J137" s="17"/>
      <c r="K137" s="25"/>
      <c r="L137" s="25"/>
      <c r="M137" s="25"/>
      <c r="N137" s="25"/>
      <c r="O137" s="25"/>
      <c r="P137" s="25"/>
      <c r="Q137" s="25"/>
      <c r="R137" s="25"/>
      <c r="S137" s="25"/>
      <c r="T137" s="25"/>
    </row>
    <row r="138" spans="1:20" ht="15" customHeight="1">
      <c r="A138" s="19"/>
      <c r="B138" s="19" t="s">
        <v>34</v>
      </c>
      <c r="C138" s="23">
        <v>44283525</v>
      </c>
      <c r="D138" s="21">
        <v>25420878</v>
      </c>
      <c r="E138" s="21">
        <v>2083308</v>
      </c>
      <c r="F138" s="21">
        <v>11997317</v>
      </c>
      <c r="G138" s="21">
        <v>3802104</v>
      </c>
      <c r="H138" s="21">
        <v>979918</v>
      </c>
      <c r="I138" s="17"/>
      <c r="J138" s="17"/>
      <c r="K138" s="25"/>
      <c r="L138" s="25"/>
      <c r="M138" s="25"/>
      <c r="N138" s="25"/>
      <c r="O138" s="25"/>
      <c r="P138" s="25"/>
      <c r="Q138" s="25"/>
      <c r="R138" s="25"/>
      <c r="S138" s="25"/>
      <c r="T138" s="25"/>
    </row>
    <row r="139" spans="1:20" ht="15" customHeight="1">
      <c r="A139" s="18">
        <v>2021</v>
      </c>
      <c r="B139" s="19" t="s">
        <v>23</v>
      </c>
      <c r="C139" s="23">
        <v>45637000</v>
      </c>
      <c r="D139" s="21">
        <v>25201297</v>
      </c>
      <c r="E139" s="21">
        <v>2182014</v>
      </c>
      <c r="F139" s="21">
        <v>13000302</v>
      </c>
      <c r="G139" s="21">
        <v>4217516</v>
      </c>
      <c r="H139" s="21">
        <v>1035871</v>
      </c>
      <c r="I139" s="17"/>
      <c r="J139" s="17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 ht="15" customHeight="1">
      <c r="A140" s="19"/>
      <c r="B140" s="19" t="s">
        <v>24</v>
      </c>
      <c r="C140" s="23">
        <v>44561515</v>
      </c>
      <c r="D140" s="21">
        <v>26339359</v>
      </c>
      <c r="E140" s="21">
        <v>2020565</v>
      </c>
      <c r="F140" s="21">
        <v>11332351</v>
      </c>
      <c r="G140" s="21">
        <v>3713011</v>
      </c>
      <c r="H140" s="21">
        <v>1156229</v>
      </c>
      <c r="I140" s="17"/>
      <c r="J140" s="17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 ht="15" customHeight="1">
      <c r="A141" s="19"/>
      <c r="B141" s="19" t="s">
        <v>25</v>
      </c>
      <c r="C141" s="23">
        <v>47493258</v>
      </c>
      <c r="D141" s="21">
        <v>28051940</v>
      </c>
      <c r="E141" s="21">
        <v>2596234</v>
      </c>
      <c r="F141" s="21">
        <v>12045381</v>
      </c>
      <c r="G141" s="21">
        <v>4085774</v>
      </c>
      <c r="H141" s="21">
        <v>713929</v>
      </c>
      <c r="I141" s="17"/>
      <c r="J141" s="17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 ht="15" customHeight="1">
      <c r="A142" s="19"/>
      <c r="B142" s="19" t="s">
        <v>26</v>
      </c>
      <c r="C142" s="23">
        <v>47832388</v>
      </c>
      <c r="D142" s="21">
        <v>26760272</v>
      </c>
      <c r="E142" s="21">
        <v>2554648</v>
      </c>
      <c r="F142" s="21">
        <v>12400133</v>
      </c>
      <c r="G142" s="21">
        <v>4317246</v>
      </c>
      <c r="H142" s="21">
        <v>1800089</v>
      </c>
      <c r="I142" s="17"/>
      <c r="J142" s="17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 ht="15" customHeight="1">
      <c r="A143" s="19"/>
      <c r="B143" s="19" t="s">
        <v>27</v>
      </c>
      <c r="C143" s="23">
        <v>49552483</v>
      </c>
      <c r="D143" s="21">
        <v>27835274</v>
      </c>
      <c r="E143" s="21">
        <v>2762399</v>
      </c>
      <c r="F143" s="21">
        <v>12915883</v>
      </c>
      <c r="G143" s="21">
        <v>4419177</v>
      </c>
      <c r="H143" s="21">
        <v>1619750</v>
      </c>
      <c r="I143" s="17"/>
      <c r="J143" s="17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 ht="15" customHeight="1">
      <c r="A144" s="19"/>
      <c r="B144" s="19" t="s">
        <v>28</v>
      </c>
      <c r="C144" s="23">
        <v>50973877</v>
      </c>
      <c r="D144" s="21">
        <v>26316934</v>
      </c>
      <c r="E144" s="21">
        <v>3054678</v>
      </c>
      <c r="F144" s="21">
        <v>14448930</v>
      </c>
      <c r="G144" s="21">
        <v>4789425</v>
      </c>
      <c r="H144" s="21">
        <v>2363910</v>
      </c>
      <c r="I144" s="17"/>
      <c r="J144" s="17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 ht="15" customHeight="1">
      <c r="A145" s="19"/>
      <c r="B145" s="19" t="s">
        <v>29</v>
      </c>
      <c r="C145" s="23">
        <v>54792591</v>
      </c>
      <c r="D145" s="21">
        <v>28680799</v>
      </c>
      <c r="E145" s="21">
        <v>3162630</v>
      </c>
      <c r="F145" s="21">
        <v>15357776</v>
      </c>
      <c r="G145" s="21">
        <v>5200168</v>
      </c>
      <c r="H145" s="21">
        <v>2391218</v>
      </c>
      <c r="I145" s="17"/>
      <c r="J145" s="17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 ht="15" customHeight="1">
      <c r="A146" s="19"/>
      <c r="B146" s="19" t="s">
        <v>30</v>
      </c>
      <c r="C146" s="23">
        <v>55591998</v>
      </c>
      <c r="D146" s="21">
        <v>30691098</v>
      </c>
      <c r="E146" s="21">
        <v>2816889</v>
      </c>
      <c r="F146" s="21">
        <v>14818730</v>
      </c>
      <c r="G146" s="21">
        <v>5175101</v>
      </c>
      <c r="H146" s="21">
        <v>2090180</v>
      </c>
      <c r="I146" s="17"/>
      <c r="J146" s="17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 ht="15" customHeight="1">
      <c r="A147" s="19"/>
      <c r="B147" s="19" t="s">
        <v>31</v>
      </c>
      <c r="C147" s="23">
        <v>52473322</v>
      </c>
      <c r="D147" s="21">
        <v>29295139</v>
      </c>
      <c r="E147" s="21">
        <v>2590529</v>
      </c>
      <c r="F147" s="21">
        <v>13732955</v>
      </c>
      <c r="G147" s="21">
        <v>5141295</v>
      </c>
      <c r="H147" s="21">
        <v>1713404</v>
      </c>
      <c r="I147" s="17"/>
      <c r="J147" s="17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 ht="15" customHeight="1">
      <c r="A148" s="19"/>
      <c r="B148" s="19" t="s">
        <v>32</v>
      </c>
      <c r="C148" s="23">
        <v>51827109</v>
      </c>
      <c r="D148" s="21">
        <v>28590087</v>
      </c>
      <c r="E148" s="21">
        <v>2598531</v>
      </c>
      <c r="F148" s="21">
        <v>14001458</v>
      </c>
      <c r="G148" s="21">
        <v>5197394</v>
      </c>
      <c r="H148" s="21">
        <v>1439639</v>
      </c>
      <c r="I148" s="17"/>
      <c r="J148" s="17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 ht="15" customHeight="1">
      <c r="A149" s="19"/>
      <c r="B149" s="19" t="s">
        <v>33</v>
      </c>
      <c r="C149" s="23">
        <v>51174289</v>
      </c>
      <c r="D149" s="21">
        <v>29307503</v>
      </c>
      <c r="E149" s="21">
        <v>2485741</v>
      </c>
      <c r="F149" s="21">
        <v>13226209</v>
      </c>
      <c r="G149" s="21">
        <v>5046643</v>
      </c>
      <c r="H149" s="21">
        <v>1108193</v>
      </c>
      <c r="I149" s="17"/>
      <c r="J149" s="17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 ht="15" customHeight="1">
      <c r="A150" s="19"/>
      <c r="B150" s="19" t="s">
        <v>34</v>
      </c>
      <c r="C150" s="23">
        <v>47109177</v>
      </c>
      <c r="D150" s="21">
        <v>26093667</v>
      </c>
      <c r="E150" s="21">
        <v>2521649</v>
      </c>
      <c r="F150" s="21">
        <v>12678796</v>
      </c>
      <c r="G150" s="21">
        <v>4838528</v>
      </c>
      <c r="H150" s="21">
        <v>976537</v>
      </c>
      <c r="I150" s="17"/>
      <c r="J150" s="17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 ht="15" customHeight="1">
      <c r="A151" s="18">
        <v>2022</v>
      </c>
      <c r="B151" s="19" t="s">
        <v>23</v>
      </c>
      <c r="C151" s="23">
        <v>47711786</v>
      </c>
      <c r="D151" s="21">
        <v>26469420</v>
      </c>
      <c r="E151" s="21">
        <v>2500246</v>
      </c>
      <c r="F151" s="21">
        <v>12807304</v>
      </c>
      <c r="G151" s="21">
        <v>4898945</v>
      </c>
      <c r="H151" s="21">
        <v>1035871</v>
      </c>
      <c r="I151" s="17"/>
      <c r="J151" s="17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 ht="15" customHeight="1">
      <c r="A152" s="19"/>
      <c r="B152" s="19" t="s">
        <v>24</v>
      </c>
      <c r="C152" s="23">
        <v>44984747</v>
      </c>
      <c r="D152" s="21">
        <v>24600515</v>
      </c>
      <c r="E152" s="21">
        <v>2253424</v>
      </c>
      <c r="F152" s="21">
        <v>12139698</v>
      </c>
      <c r="G152" s="21">
        <v>4834881</v>
      </c>
      <c r="H152" s="21">
        <v>1156229</v>
      </c>
      <c r="I152" s="17"/>
      <c r="J152" s="17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 ht="15" customHeight="1">
      <c r="A153" s="19"/>
      <c r="B153" s="19" t="s">
        <v>25</v>
      </c>
      <c r="C153" s="23">
        <v>52794308</v>
      </c>
      <c r="D153" s="21">
        <v>30249579</v>
      </c>
      <c r="E153" s="21">
        <v>2925098</v>
      </c>
      <c r="F153" s="21">
        <v>12874586</v>
      </c>
      <c r="G153" s="21">
        <v>5210296</v>
      </c>
      <c r="H153" s="21">
        <v>1534749</v>
      </c>
      <c r="I153" s="17"/>
      <c r="J153" s="17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ht="15" customHeight="1">
      <c r="A154" s="19"/>
      <c r="B154" s="19" t="s">
        <v>26</v>
      </c>
      <c r="C154" s="23">
        <v>51053151</v>
      </c>
      <c r="D154" s="21">
        <v>27603062</v>
      </c>
      <c r="E154" s="21">
        <v>2904998</v>
      </c>
      <c r="F154" s="21">
        <v>13349752</v>
      </c>
      <c r="G154" s="21">
        <v>5395250</v>
      </c>
      <c r="H154" s="21">
        <v>1800089</v>
      </c>
      <c r="I154" s="17"/>
      <c r="J154" s="17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 ht="15" customHeight="1">
      <c r="A155" s="19"/>
      <c r="B155" s="19" t="s">
        <v>27</v>
      </c>
      <c r="C155" s="23">
        <v>56155492</v>
      </c>
      <c r="D155" s="21">
        <v>31603449</v>
      </c>
      <c r="E155" s="21">
        <v>3116933</v>
      </c>
      <c r="F155" s="21">
        <v>13887786</v>
      </c>
      <c r="G155" s="21">
        <v>5381574</v>
      </c>
      <c r="H155" s="21">
        <v>2165750</v>
      </c>
      <c r="I155" s="17"/>
      <c r="J155" s="17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 ht="15" customHeight="1">
      <c r="A156" s="19"/>
      <c r="B156" s="19" t="s">
        <v>28</v>
      </c>
      <c r="C156" s="23">
        <v>57631254</v>
      </c>
      <c r="D156" s="21">
        <v>29986573</v>
      </c>
      <c r="E156" s="21">
        <v>3339195</v>
      </c>
      <c r="F156" s="21">
        <v>15990984</v>
      </c>
      <c r="G156" s="21">
        <v>5950592</v>
      </c>
      <c r="H156" s="21">
        <v>2363910</v>
      </c>
      <c r="I156" s="17"/>
      <c r="J156" s="17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 ht="15" customHeight="1">
      <c r="A157" s="19"/>
      <c r="B157" s="19" t="s">
        <v>29</v>
      </c>
      <c r="C157" s="23">
        <v>55026321</v>
      </c>
      <c r="D157" s="21">
        <v>29063042</v>
      </c>
      <c r="E157" s="21">
        <v>3122031</v>
      </c>
      <c r="F157" s="21">
        <v>14889387</v>
      </c>
      <c r="G157" s="21">
        <v>5560743</v>
      </c>
      <c r="H157" s="21">
        <v>2391118</v>
      </c>
      <c r="I157" s="17"/>
      <c r="J157" s="17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 ht="15" customHeight="1">
      <c r="A158" s="19"/>
      <c r="B158" s="19" t="s">
        <v>30</v>
      </c>
      <c r="C158" s="23">
        <v>59171657</v>
      </c>
      <c r="D158" s="21">
        <v>31902331</v>
      </c>
      <c r="E158" s="21">
        <v>3234165</v>
      </c>
      <c r="F158" s="21">
        <v>16050290</v>
      </c>
      <c r="G158" s="21">
        <v>5880908</v>
      </c>
      <c r="H158" s="21">
        <v>2103963</v>
      </c>
      <c r="I158" s="17"/>
      <c r="J158" s="17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 ht="15" customHeight="1">
      <c r="A159" s="19"/>
      <c r="B159" s="19" t="s">
        <v>36</v>
      </c>
      <c r="C159" s="23">
        <v>54051360</v>
      </c>
      <c r="D159" s="21">
        <v>28111640</v>
      </c>
      <c r="E159" s="21">
        <v>2917276</v>
      </c>
      <c r="F159" s="21">
        <v>15633761</v>
      </c>
      <c r="G159" s="21">
        <v>5662387</v>
      </c>
      <c r="H159" s="21">
        <v>1726296</v>
      </c>
      <c r="I159" s="17"/>
      <c r="J159" s="17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 ht="15" customHeight="1">
      <c r="A160" s="19"/>
      <c r="B160" s="19" t="s">
        <v>37</v>
      </c>
      <c r="C160" s="23">
        <v>51309722</v>
      </c>
      <c r="D160" s="21">
        <v>27795395</v>
      </c>
      <c r="E160" s="21">
        <v>2556590</v>
      </c>
      <c r="F160" s="21">
        <v>14291759</v>
      </c>
      <c r="G160" s="21">
        <v>5217197</v>
      </c>
      <c r="H160" s="21">
        <v>1448781</v>
      </c>
      <c r="I160" s="17"/>
      <c r="J160" s="17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 ht="15" customHeight="1">
      <c r="A161" s="19"/>
      <c r="B161" s="19" t="s">
        <v>38</v>
      </c>
      <c r="C161" s="23">
        <v>50790952</v>
      </c>
      <c r="D161" s="21">
        <v>28693105</v>
      </c>
      <c r="E161" s="21">
        <v>2595122</v>
      </c>
      <c r="F161" s="21">
        <v>13362842</v>
      </c>
      <c r="G161" s="21">
        <v>4991106</v>
      </c>
      <c r="H161" s="21">
        <v>1148777</v>
      </c>
      <c r="I161" s="17"/>
      <c r="J161" s="17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 ht="15" customHeight="1">
      <c r="A162" s="19"/>
      <c r="B162" s="19" t="s">
        <v>39</v>
      </c>
      <c r="C162" s="23">
        <v>45775029</v>
      </c>
      <c r="D162" s="21">
        <v>23577044</v>
      </c>
      <c r="E162" s="21">
        <v>2571971</v>
      </c>
      <c r="F162" s="21">
        <v>13692102</v>
      </c>
      <c r="G162" s="21">
        <v>4949183</v>
      </c>
      <c r="H162" s="21">
        <v>984729</v>
      </c>
      <c r="I162" s="17"/>
      <c r="J162" s="17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 ht="15" customHeight="1">
      <c r="A163" s="18">
        <v>2023</v>
      </c>
      <c r="B163" s="19" t="s">
        <v>40</v>
      </c>
      <c r="C163" s="26">
        <v>45300108</v>
      </c>
      <c r="D163" s="21">
        <v>24571491</v>
      </c>
      <c r="E163" s="21">
        <v>2385684</v>
      </c>
      <c r="F163" s="21">
        <v>12616115</v>
      </c>
      <c r="G163" s="21">
        <v>4676215</v>
      </c>
      <c r="H163" s="27">
        <v>1050603</v>
      </c>
      <c r="I163" s="17"/>
      <c r="J163" s="17"/>
      <c r="K163" s="17"/>
      <c r="L163" s="17"/>
      <c r="M163" s="17"/>
      <c r="N163" s="17"/>
      <c r="O163" s="17"/>
      <c r="P163" s="13"/>
      <c r="Q163" s="13"/>
      <c r="R163" s="13"/>
      <c r="S163" s="13"/>
      <c r="T163" s="13"/>
    </row>
    <row r="164" spans="1:20" ht="15" customHeight="1">
      <c r="A164" s="19"/>
      <c r="B164" s="19" t="s">
        <v>41</v>
      </c>
      <c r="C164" s="26">
        <v>45741082</v>
      </c>
      <c r="D164" s="21">
        <v>25120160</v>
      </c>
      <c r="E164" s="21">
        <v>2568595</v>
      </c>
      <c r="F164" s="21">
        <v>12226269</v>
      </c>
      <c r="G164" s="21">
        <v>4654391</v>
      </c>
      <c r="H164" s="27">
        <v>1171667</v>
      </c>
      <c r="I164" s="17"/>
      <c r="J164" s="17"/>
      <c r="K164" s="17"/>
      <c r="L164" s="17"/>
      <c r="M164" s="17"/>
      <c r="N164" s="17"/>
      <c r="O164" s="17"/>
      <c r="P164" s="13"/>
      <c r="Q164" s="13"/>
      <c r="R164" s="13"/>
      <c r="S164" s="13"/>
      <c r="T164" s="13"/>
    </row>
    <row r="165" spans="1:20" ht="15" customHeight="1">
      <c r="A165" s="19"/>
      <c r="B165" s="19" t="s">
        <v>42</v>
      </c>
      <c r="C165" s="26">
        <v>46909232</v>
      </c>
      <c r="D165" s="21">
        <v>25985594</v>
      </c>
      <c r="E165" s="21">
        <v>2548668</v>
      </c>
      <c r="F165" s="21">
        <v>12182311</v>
      </c>
      <c r="G165" s="21">
        <v>4628469</v>
      </c>
      <c r="H165" s="27">
        <v>1564190</v>
      </c>
      <c r="I165" s="17"/>
      <c r="J165" s="17"/>
      <c r="K165" s="17"/>
      <c r="L165" s="17"/>
      <c r="M165" s="17"/>
      <c r="N165" s="17"/>
      <c r="O165" s="17"/>
      <c r="P165" s="13"/>
      <c r="Q165" s="13"/>
      <c r="R165" s="13"/>
      <c r="S165" s="13"/>
      <c r="T165" s="13"/>
    </row>
    <row r="166" spans="1:20" ht="15" customHeight="1">
      <c r="A166" s="19"/>
      <c r="B166" s="19" t="s">
        <v>43</v>
      </c>
      <c r="C166" s="26">
        <v>46961439</v>
      </c>
      <c r="D166" s="21">
        <v>23769592</v>
      </c>
      <c r="E166" s="21">
        <v>2619716</v>
      </c>
      <c r="F166" s="21">
        <v>13511177</v>
      </c>
      <c r="G166" s="21">
        <v>5226563</v>
      </c>
      <c r="H166" s="27">
        <v>1834391</v>
      </c>
      <c r="I166" s="17"/>
      <c r="J166" s="17"/>
      <c r="K166" s="17"/>
      <c r="L166" s="17"/>
      <c r="M166" s="17"/>
      <c r="N166" s="17"/>
      <c r="O166" s="17"/>
      <c r="P166" s="13"/>
      <c r="Q166" s="13"/>
      <c r="R166" s="13"/>
      <c r="S166" s="13"/>
      <c r="T166" s="13"/>
    </row>
    <row r="167" spans="1:20" ht="13.5" customHeight="1">
      <c r="A167" s="19"/>
      <c r="B167" s="28" t="s">
        <v>27</v>
      </c>
      <c r="C167" s="26">
        <v>50513819</v>
      </c>
      <c r="D167" s="21">
        <v>26186666</v>
      </c>
      <c r="E167" s="21">
        <v>2661968</v>
      </c>
      <c r="F167" s="21">
        <v>14218319</v>
      </c>
      <c r="G167" s="21">
        <v>5238433</v>
      </c>
      <c r="H167" s="27">
        <v>2208433</v>
      </c>
      <c r="I167" s="17"/>
      <c r="J167" s="17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 ht="14.25" customHeight="1">
      <c r="A168" s="4"/>
      <c r="B168" s="29" t="s">
        <v>28</v>
      </c>
      <c r="C168" s="26">
        <v>50102861</v>
      </c>
      <c r="D168" s="21">
        <v>24966965</v>
      </c>
      <c r="E168" s="21">
        <v>2606859</v>
      </c>
      <c r="F168" s="21">
        <v>15009875</v>
      </c>
      <c r="G168" s="21">
        <v>5108987</v>
      </c>
      <c r="H168" s="27">
        <v>2410175</v>
      </c>
      <c r="I168" s="17"/>
      <c r="J168" s="17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 ht="13.5" customHeight="1">
      <c r="A169" s="4"/>
      <c r="B169" s="29" t="s">
        <v>29</v>
      </c>
      <c r="C169" s="26">
        <v>52718257</v>
      </c>
      <c r="D169" s="21">
        <v>26480583</v>
      </c>
      <c r="E169" s="21">
        <v>2467564</v>
      </c>
      <c r="F169" s="21">
        <v>15875373</v>
      </c>
      <c r="G169" s="21">
        <v>5618536</v>
      </c>
      <c r="H169" s="27">
        <v>2276201</v>
      </c>
      <c r="I169" s="17"/>
      <c r="J169" s="17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 ht="14.25" customHeight="1">
      <c r="A170" s="4"/>
      <c r="B170" s="29" t="s">
        <v>30</v>
      </c>
      <c r="C170" s="26">
        <v>55565138</v>
      </c>
      <c r="D170" s="21">
        <v>29150375</v>
      </c>
      <c r="E170" s="21">
        <v>2547150</v>
      </c>
      <c r="F170" s="21">
        <v>16055349</v>
      </c>
      <c r="G170" s="21">
        <v>5643297</v>
      </c>
      <c r="H170" s="27">
        <v>2168967</v>
      </c>
      <c r="I170" s="17"/>
      <c r="J170" s="17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 ht="15" customHeight="1">
      <c r="A171" s="4"/>
      <c r="B171" s="29" t="s">
        <v>31</v>
      </c>
      <c r="C171" s="26">
        <v>53131168</v>
      </c>
      <c r="D171" s="21">
        <v>27381417</v>
      </c>
      <c r="E171" s="21">
        <v>2329107</v>
      </c>
      <c r="F171" s="21">
        <v>15890458</v>
      </c>
      <c r="G171" s="21">
        <v>5749599</v>
      </c>
      <c r="H171" s="27">
        <v>1780587</v>
      </c>
      <c r="I171" s="17"/>
      <c r="J171" s="17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>
      <c r="A172" s="30"/>
      <c r="B172" s="29" t="s">
        <v>32</v>
      </c>
      <c r="C172" s="26">
        <v>53456609</v>
      </c>
      <c r="D172" s="21">
        <v>28806156</v>
      </c>
      <c r="E172" s="27">
        <v>2254003</v>
      </c>
      <c r="F172" s="27">
        <v>15350071</v>
      </c>
      <c r="G172" s="27">
        <v>5544849</v>
      </c>
      <c r="H172" s="27">
        <v>1501530</v>
      </c>
      <c r="I172" s="17"/>
      <c r="J172" s="17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>
      <c r="A173" s="4"/>
      <c r="B173" s="29" t="s">
        <v>33</v>
      </c>
      <c r="C173" s="31">
        <v>51014503</v>
      </c>
      <c r="D173" s="21">
        <v>28053274</v>
      </c>
      <c r="E173" s="21">
        <v>2133362</v>
      </c>
      <c r="F173" s="21">
        <v>14375627</v>
      </c>
      <c r="G173" s="21">
        <v>5300809</v>
      </c>
      <c r="H173" s="21">
        <v>1151431</v>
      </c>
      <c r="I173" s="17"/>
      <c r="J173" s="17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>
      <c r="A174" s="4"/>
      <c r="B174" s="29" t="s">
        <v>34</v>
      </c>
      <c r="C174" s="31">
        <v>48049641</v>
      </c>
      <c r="D174" s="21">
        <v>26154097</v>
      </c>
      <c r="E174" s="21">
        <v>2067561</v>
      </c>
      <c r="F174" s="21">
        <v>13660901</v>
      </c>
      <c r="G174" s="21">
        <v>5153730</v>
      </c>
      <c r="H174" s="21">
        <v>1013352</v>
      </c>
      <c r="I174" s="17"/>
      <c r="J174" s="17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>
      <c r="A175" s="18">
        <v>2024</v>
      </c>
      <c r="B175" s="19" t="s">
        <v>40</v>
      </c>
      <c r="C175" s="31">
        <v>46687308</v>
      </c>
      <c r="D175" s="32">
        <v>25344984</v>
      </c>
      <c r="E175" s="32">
        <v>1887815</v>
      </c>
      <c r="F175" s="32">
        <v>13371868</v>
      </c>
      <c r="G175" s="32">
        <v>5016723</v>
      </c>
      <c r="H175" s="32">
        <v>1065918</v>
      </c>
      <c r="I175" s="17"/>
      <c r="J175" s="17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>
      <c r="A176" s="4"/>
      <c r="B176" s="19" t="s">
        <v>41</v>
      </c>
      <c r="C176" s="31">
        <v>46500423</v>
      </c>
      <c r="D176" s="32">
        <v>25781741</v>
      </c>
      <c r="E176" s="32">
        <v>1795497</v>
      </c>
      <c r="F176" s="32">
        <v>13114749</v>
      </c>
      <c r="G176" s="32">
        <v>4620134</v>
      </c>
      <c r="H176" s="32">
        <v>1188302</v>
      </c>
      <c r="I176" s="17"/>
      <c r="J176" s="17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>
      <c r="A177" s="4"/>
      <c r="B177" s="19" t="s">
        <v>42</v>
      </c>
      <c r="C177" s="31">
        <v>48269416</v>
      </c>
      <c r="D177" s="32">
        <v>26930224</v>
      </c>
      <c r="E177" s="32">
        <v>2053222</v>
      </c>
      <c r="F177" s="32">
        <v>12749526</v>
      </c>
      <c r="G177" s="32">
        <v>4959403</v>
      </c>
      <c r="H177" s="32">
        <v>1577041</v>
      </c>
      <c r="I177" s="17"/>
      <c r="J177" s="17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>
      <c r="A178" s="4"/>
      <c r="B178" s="19" t="s">
        <v>43</v>
      </c>
      <c r="C178" s="31">
        <v>47635040</v>
      </c>
      <c r="D178" s="32">
        <v>25205654</v>
      </c>
      <c r="E178" s="32">
        <v>2161431</v>
      </c>
      <c r="F178" s="32">
        <v>13403957</v>
      </c>
      <c r="G178" s="32">
        <v>5018518</v>
      </c>
      <c r="H178" s="32">
        <v>1845480</v>
      </c>
      <c r="I178" s="17"/>
      <c r="J178" s="17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 ht="13.5" customHeight="1">
      <c r="A179" s="30"/>
      <c r="B179" s="29" t="s">
        <v>27</v>
      </c>
      <c r="C179" s="31">
        <v>44487164</v>
      </c>
      <c r="D179" s="32">
        <v>21004277</v>
      </c>
      <c r="E179" s="32">
        <v>2168505</v>
      </c>
      <c r="F179" s="32">
        <v>13938016</v>
      </c>
      <c r="G179" s="32">
        <v>5150972</v>
      </c>
      <c r="H179" s="32">
        <v>2225394</v>
      </c>
      <c r="I179" s="17"/>
      <c r="J179" s="17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 ht="13.5" customHeight="1">
      <c r="A180" s="4"/>
      <c r="B180" s="29" t="s">
        <v>28</v>
      </c>
      <c r="C180" s="31">
        <v>48258662</v>
      </c>
      <c r="D180" s="32">
        <v>23682002</v>
      </c>
      <c r="E180" s="32">
        <v>2142324</v>
      </c>
      <c r="F180" s="32">
        <v>14684406</v>
      </c>
      <c r="G180" s="32">
        <v>5328099</v>
      </c>
      <c r="H180" s="32">
        <v>2421831</v>
      </c>
      <c r="I180" s="17"/>
      <c r="J180" s="17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 ht="13.5" customHeight="1">
      <c r="A181" s="4"/>
      <c r="B181" s="29" t="s">
        <v>29</v>
      </c>
      <c r="C181" s="31">
        <v>52638027</v>
      </c>
      <c r="D181" s="32">
        <v>25292884</v>
      </c>
      <c r="E181" s="32">
        <v>2268137</v>
      </c>
      <c r="F181" s="32">
        <v>16830380</v>
      </c>
      <c r="G181" s="32">
        <v>5799776</v>
      </c>
      <c r="H181" s="32">
        <v>2446850</v>
      </c>
      <c r="I181" s="17"/>
      <c r="J181" s="17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 ht="13.5" customHeight="1">
      <c r="A182" s="4"/>
      <c r="B182" s="29" t="s">
        <v>30</v>
      </c>
      <c r="C182" s="31">
        <v>50899297</v>
      </c>
      <c r="D182" s="32">
        <v>25604695</v>
      </c>
      <c r="E182" s="32">
        <v>2133784</v>
      </c>
      <c r="F182" s="32">
        <v>15693589</v>
      </c>
      <c r="G182" s="32">
        <v>5315504</v>
      </c>
      <c r="H182" s="32">
        <v>2151725</v>
      </c>
      <c r="I182" s="17"/>
      <c r="J182" s="17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 ht="13.5" customHeight="1">
      <c r="A183" s="4"/>
      <c r="B183" s="29" t="s">
        <v>31</v>
      </c>
      <c r="C183" s="31">
        <v>49660333</v>
      </c>
      <c r="D183" s="32">
        <v>26188157</v>
      </c>
      <c r="E183" s="32">
        <v>2048857</v>
      </c>
      <c r="F183" s="32">
        <v>14526494</v>
      </c>
      <c r="G183" s="32">
        <v>5131052</v>
      </c>
      <c r="H183" s="32">
        <v>1765773</v>
      </c>
      <c r="I183" s="17"/>
      <c r="J183" s="17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 ht="13.5" customHeight="1">
      <c r="A184" s="4"/>
      <c r="B184" s="29" t="s">
        <v>32</v>
      </c>
      <c r="C184" s="26">
        <v>49910495</v>
      </c>
      <c r="D184" s="32">
        <v>26481784</v>
      </c>
      <c r="E184" s="32">
        <v>2027245</v>
      </c>
      <c r="F184" s="32">
        <v>14591035</v>
      </c>
      <c r="G184" s="32">
        <v>5324607</v>
      </c>
      <c r="H184" s="32">
        <v>1485824</v>
      </c>
      <c r="I184" s="17"/>
      <c r="J184" s="17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 ht="13.5" customHeight="1">
      <c r="A185" s="4"/>
      <c r="B185" s="29" t="s">
        <v>44</v>
      </c>
      <c r="C185" s="26">
        <v>46816185</v>
      </c>
      <c r="D185" s="32">
        <v>24507548</v>
      </c>
      <c r="E185" s="32">
        <v>1937909</v>
      </c>
      <c r="F185" s="32">
        <v>14073273</v>
      </c>
      <c r="G185" s="32">
        <v>5149095</v>
      </c>
      <c r="H185" s="32">
        <v>1148360</v>
      </c>
      <c r="I185" s="17"/>
      <c r="J185" s="17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ht="13.5" customHeight="1">
      <c r="A186" s="4"/>
      <c r="B186" s="29" t="s">
        <v>45</v>
      </c>
      <c r="C186" s="26">
        <v>43836643</v>
      </c>
      <c r="D186" s="32">
        <v>23338638</v>
      </c>
      <c r="E186" s="32">
        <v>1820698</v>
      </c>
      <c r="F186" s="32">
        <v>12961826</v>
      </c>
      <c r="G186" s="32">
        <v>4704556</v>
      </c>
      <c r="H186" s="32">
        <v>1010925</v>
      </c>
      <c r="I186" s="17"/>
      <c r="J186" s="17"/>
      <c r="K186" s="13"/>
      <c r="L186" s="13"/>
      <c r="M186" s="17"/>
      <c r="N186" s="13"/>
      <c r="O186" s="13"/>
      <c r="P186" s="13"/>
      <c r="Q186" s="13"/>
      <c r="R186" s="13"/>
      <c r="S186" s="13"/>
      <c r="T186" s="13"/>
    </row>
    <row r="187" spans="1:20" ht="13.5" customHeight="1">
      <c r="A187" s="77">
        <v>2025</v>
      </c>
      <c r="B187" s="29" t="s">
        <v>46</v>
      </c>
      <c r="C187" s="26">
        <v>44184420</v>
      </c>
      <c r="D187" s="32">
        <v>22830925</v>
      </c>
      <c r="E187" s="32">
        <v>1820591</v>
      </c>
      <c r="F187" s="32">
        <v>13527324</v>
      </c>
      <c r="G187" s="32">
        <v>4940337</v>
      </c>
      <c r="H187" s="32">
        <v>1065243</v>
      </c>
      <c r="I187" s="17"/>
      <c r="J187" s="105"/>
      <c r="K187" s="105"/>
      <c r="L187" s="105"/>
      <c r="M187" s="105"/>
      <c r="N187" s="105"/>
      <c r="O187" s="105"/>
      <c r="P187" s="13"/>
      <c r="Q187" s="13"/>
      <c r="R187" s="13"/>
      <c r="S187" s="13"/>
      <c r="T187" s="13"/>
    </row>
    <row r="188" spans="1:20" ht="13.5" customHeight="1">
      <c r="A188" s="4"/>
      <c r="B188" s="29" t="s">
        <v>47</v>
      </c>
      <c r="C188" s="26">
        <v>42296545</v>
      </c>
      <c r="D188" s="32">
        <v>22823846</v>
      </c>
      <c r="E188" s="32">
        <v>1666035</v>
      </c>
      <c r="F188" s="32">
        <v>12053531</v>
      </c>
      <c r="G188" s="32">
        <v>4565933</v>
      </c>
      <c r="H188" s="32">
        <v>1187200</v>
      </c>
      <c r="I188" s="17"/>
      <c r="J188" s="105"/>
      <c r="K188" s="105"/>
      <c r="L188" s="105"/>
      <c r="M188" s="105"/>
      <c r="N188" s="105"/>
      <c r="O188" s="105"/>
      <c r="P188" s="13"/>
      <c r="Q188" s="13"/>
      <c r="R188" s="13"/>
      <c r="S188" s="13"/>
      <c r="T188" s="13"/>
    </row>
    <row r="189" spans="1:20" ht="13.5" customHeight="1">
      <c r="A189" s="4"/>
      <c r="B189" s="29" t="s">
        <v>25</v>
      </c>
      <c r="C189" s="26">
        <v>44908128</v>
      </c>
      <c r="D189" s="32">
        <v>23929748</v>
      </c>
      <c r="E189" s="32">
        <v>1968234</v>
      </c>
      <c r="F189" s="32">
        <v>12700997</v>
      </c>
      <c r="G189" s="32">
        <v>4736908</v>
      </c>
      <c r="H189" s="32">
        <v>1572241</v>
      </c>
      <c r="I189" s="17"/>
      <c r="J189" s="105"/>
      <c r="K189" s="105"/>
      <c r="L189" s="105"/>
      <c r="M189" s="105"/>
      <c r="N189" s="105"/>
      <c r="O189" s="105"/>
      <c r="P189" s="13"/>
      <c r="Q189" s="13"/>
      <c r="R189" s="13"/>
      <c r="S189" s="13"/>
      <c r="T189" s="13"/>
    </row>
    <row r="190" spans="1:20" ht="13.5" customHeight="1">
      <c r="A190" s="4"/>
      <c r="B190" s="29" t="s">
        <v>26</v>
      </c>
      <c r="C190" s="26">
        <v>48948486</v>
      </c>
      <c r="D190" s="32">
        <v>26161149</v>
      </c>
      <c r="E190" s="32">
        <v>2982173</v>
      </c>
      <c r="F190" s="32">
        <v>13159878</v>
      </c>
      <c r="G190" s="32">
        <v>4803368</v>
      </c>
      <c r="H190" s="32">
        <v>1841918</v>
      </c>
      <c r="I190" s="17"/>
      <c r="J190" s="105"/>
      <c r="K190" s="105"/>
      <c r="L190" s="105"/>
      <c r="M190" s="105"/>
      <c r="N190" s="105"/>
      <c r="O190" s="105"/>
      <c r="P190" s="13"/>
      <c r="Q190" s="13"/>
      <c r="R190" s="13"/>
      <c r="S190" s="13"/>
      <c r="T190" s="13"/>
    </row>
    <row r="191" spans="1:20" ht="13.5" customHeight="1">
      <c r="A191" s="4"/>
      <c r="B191" s="29" t="s">
        <v>27</v>
      </c>
      <c r="C191" s="26">
        <v>47886487</v>
      </c>
      <c r="D191" s="32">
        <v>24584063</v>
      </c>
      <c r="E191" s="32">
        <v>2195001</v>
      </c>
      <c r="F191" s="32">
        <v>13868774</v>
      </c>
      <c r="G191" s="32">
        <v>5021423</v>
      </c>
      <c r="H191" s="32">
        <v>2217226</v>
      </c>
      <c r="I191" s="17"/>
      <c r="J191" s="17"/>
      <c r="K191" s="17"/>
      <c r="L191" s="17"/>
      <c r="M191" s="17"/>
      <c r="N191" s="17"/>
      <c r="O191" s="17"/>
      <c r="P191" s="13"/>
      <c r="Q191" s="13"/>
      <c r="R191" s="13"/>
      <c r="S191" s="13"/>
      <c r="T191" s="13"/>
    </row>
    <row r="192" spans="1:20" ht="13.5" customHeight="1">
      <c r="A192" s="79"/>
      <c r="B192" s="82" t="s">
        <v>28</v>
      </c>
      <c r="C192" s="80">
        <v>48812657</v>
      </c>
      <c r="D192" s="81">
        <v>25060345</v>
      </c>
      <c r="E192" s="81">
        <v>2175824</v>
      </c>
      <c r="F192" s="81">
        <v>14094984</v>
      </c>
      <c r="G192" s="81">
        <v>5054869</v>
      </c>
      <c r="H192" s="81">
        <v>2426635</v>
      </c>
      <c r="I192" s="17"/>
      <c r="J192" s="17"/>
      <c r="K192" s="17"/>
      <c r="L192" s="17"/>
      <c r="M192" s="17"/>
      <c r="N192" s="17"/>
      <c r="O192" s="17"/>
      <c r="P192" s="13"/>
      <c r="Q192" s="13"/>
      <c r="R192" s="13"/>
      <c r="S192" s="13"/>
      <c r="T192" s="13"/>
    </row>
    <row r="193" spans="1:20" ht="13.5" customHeight="1">
      <c r="A193" s="4"/>
      <c r="B193" s="82" t="s">
        <v>29</v>
      </c>
      <c r="C193" s="80">
        <v>53922075</v>
      </c>
      <c r="D193" s="81">
        <v>27991587</v>
      </c>
      <c r="E193" s="81">
        <v>2195248</v>
      </c>
      <c r="F193" s="81">
        <v>15289253</v>
      </c>
      <c r="G193" s="81">
        <v>5995520</v>
      </c>
      <c r="H193" s="81">
        <v>2450467</v>
      </c>
      <c r="I193" s="17"/>
      <c r="J193" s="17"/>
      <c r="K193" s="17"/>
      <c r="L193" s="17"/>
      <c r="M193" s="17"/>
      <c r="N193" s="17"/>
      <c r="O193" s="17"/>
      <c r="P193" s="13"/>
      <c r="Q193" s="13"/>
      <c r="R193" s="13"/>
      <c r="S193" s="13"/>
      <c r="T193" s="13"/>
    </row>
    <row r="194" spans="1:20" ht="13.5" customHeight="1">
      <c r="A194" s="4"/>
      <c r="B194" s="84" t="s">
        <v>30</v>
      </c>
      <c r="C194" s="80">
        <v>53604174</v>
      </c>
      <c r="D194" s="81">
        <v>27460010</v>
      </c>
      <c r="E194" s="81">
        <v>2244220</v>
      </c>
      <c r="F194" s="81">
        <v>15961263</v>
      </c>
      <c r="G194" s="81">
        <v>5778882</v>
      </c>
      <c r="H194" s="81">
        <v>2159799</v>
      </c>
      <c r="I194" s="17"/>
      <c r="J194" s="17"/>
      <c r="K194" s="17"/>
      <c r="L194" s="17"/>
      <c r="M194" s="17"/>
      <c r="N194" s="17"/>
      <c r="O194" s="17"/>
      <c r="P194" s="13"/>
      <c r="Q194" s="13"/>
      <c r="R194" s="13"/>
      <c r="S194" s="13"/>
      <c r="T194" s="13"/>
    </row>
    <row r="195" spans="1:20" ht="13.5" customHeight="1">
      <c r="A195" s="4"/>
      <c r="B195" s="29" t="s">
        <v>31</v>
      </c>
      <c r="C195" s="80">
        <v>52120903</v>
      </c>
      <c r="D195" s="81">
        <v>26769768</v>
      </c>
      <c r="E195" s="81">
        <v>2163068</v>
      </c>
      <c r="F195" s="81">
        <v>15642328</v>
      </c>
      <c r="G195" s="81">
        <v>5769857</v>
      </c>
      <c r="H195" s="81">
        <v>1775882</v>
      </c>
      <c r="I195" s="17"/>
      <c r="J195" s="17"/>
      <c r="K195" s="17"/>
      <c r="L195" s="17"/>
      <c r="M195" s="17"/>
      <c r="N195" s="17"/>
      <c r="O195" s="17"/>
      <c r="P195" s="13"/>
      <c r="Q195" s="13"/>
      <c r="R195" s="13"/>
      <c r="S195" s="13"/>
      <c r="T195" s="13"/>
    </row>
    <row r="196" spans="1:20" ht="13.5" customHeight="1">
      <c r="A196" s="4"/>
      <c r="B196" s="29" t="s">
        <v>32</v>
      </c>
      <c r="C196" s="80">
        <v>49831619</v>
      </c>
      <c r="D196" s="81">
        <v>26016911</v>
      </c>
      <c r="E196" s="81">
        <v>2207446</v>
      </c>
      <c r="F196" s="81">
        <v>14784967</v>
      </c>
      <c r="G196" s="81">
        <v>5329672</v>
      </c>
      <c r="H196" s="81">
        <v>1492623</v>
      </c>
      <c r="I196" s="17"/>
      <c r="J196" s="17"/>
      <c r="K196" s="17"/>
      <c r="L196" s="17"/>
      <c r="M196" s="17"/>
      <c r="N196" s="17"/>
      <c r="O196" s="17"/>
      <c r="P196" s="13"/>
      <c r="Q196" s="13"/>
      <c r="R196" s="13"/>
      <c r="S196" s="13"/>
      <c r="T196" s="13"/>
    </row>
    <row r="197" spans="1:20" ht="13.5" customHeight="1">
      <c r="A197" s="4"/>
      <c r="B197" s="87" t="s">
        <v>33</v>
      </c>
      <c r="C197" s="80">
        <v>46725069</v>
      </c>
      <c r="D197" s="81">
        <v>24430565</v>
      </c>
      <c r="E197" s="81">
        <v>2009737</v>
      </c>
      <c r="F197" s="81">
        <v>13991787</v>
      </c>
      <c r="G197" s="81">
        <v>5142084</v>
      </c>
      <c r="H197" s="81">
        <v>1150896</v>
      </c>
      <c r="I197" s="17"/>
      <c r="J197" s="24"/>
      <c r="K197" s="17"/>
      <c r="L197" s="17"/>
      <c r="M197" s="17"/>
      <c r="N197" s="17"/>
      <c r="O197" s="17"/>
      <c r="P197" s="17"/>
      <c r="Q197" s="13"/>
      <c r="R197" s="13"/>
      <c r="S197" s="13"/>
      <c r="T197" s="13"/>
    </row>
    <row r="198" spans="1:20" ht="13.5" customHeight="1">
      <c r="A198" s="4"/>
      <c r="B198" s="87" t="s">
        <v>34</v>
      </c>
      <c r="C198" s="80">
        <v>44172443</v>
      </c>
      <c r="D198" s="81">
        <v>23101717</v>
      </c>
      <c r="E198" s="81">
        <v>1956242</v>
      </c>
      <c r="F198" s="81">
        <v>13232283</v>
      </c>
      <c r="G198" s="81">
        <v>4868119</v>
      </c>
      <c r="H198" s="81">
        <v>1014082</v>
      </c>
      <c r="I198" s="17"/>
      <c r="J198" s="17"/>
      <c r="K198" s="17"/>
      <c r="L198" s="17"/>
      <c r="M198" s="17"/>
      <c r="N198" s="17"/>
      <c r="O198" s="17"/>
      <c r="P198" s="13"/>
      <c r="Q198" s="13"/>
      <c r="R198" s="13"/>
      <c r="S198" s="13"/>
      <c r="T198" s="13"/>
    </row>
    <row r="199" spans="1:20" ht="13.5" customHeight="1">
      <c r="A199" s="111">
        <v>2026</v>
      </c>
      <c r="B199" s="29" t="s">
        <v>23</v>
      </c>
      <c r="C199" s="80">
        <v>38768346.769999996</v>
      </c>
      <c r="D199" s="81">
        <v>16625617.5</v>
      </c>
      <c r="E199" s="81">
        <v>1862476.6400000001</v>
      </c>
      <c r="F199" s="81">
        <v>14084358.640000001</v>
      </c>
      <c r="G199" s="81">
        <v>5126937.8900000006</v>
      </c>
      <c r="H199" s="81">
        <v>1068956.1000000001</v>
      </c>
      <c r="I199" s="17"/>
      <c r="J199" s="17"/>
      <c r="K199" s="17"/>
      <c r="L199" s="17"/>
      <c r="M199" s="17"/>
      <c r="N199" s="17"/>
      <c r="O199" s="17"/>
      <c r="P199" s="13"/>
      <c r="Q199" s="13"/>
      <c r="R199" s="13"/>
      <c r="S199" s="13"/>
      <c r="T199" s="13"/>
    </row>
    <row r="200" spans="1:20" ht="13.5" customHeight="1">
      <c r="A200" s="4"/>
      <c r="B200" s="29" t="s">
        <v>24</v>
      </c>
      <c r="C200" s="119">
        <v>39347177.990000002</v>
      </c>
      <c r="D200" s="120">
        <v>18646813.399999999</v>
      </c>
      <c r="E200" s="120">
        <v>1818103.57</v>
      </c>
      <c r="F200" s="120">
        <v>12950690.07</v>
      </c>
      <c r="G200" s="120">
        <v>4740296.3499999996</v>
      </c>
      <c r="H200" s="120">
        <v>1191274.6000000001</v>
      </c>
      <c r="I200" s="17"/>
      <c r="J200" s="17"/>
      <c r="K200" s="13"/>
      <c r="L200" s="13"/>
      <c r="M200" s="17"/>
      <c r="N200" s="17"/>
      <c r="O200" s="17"/>
      <c r="P200" s="17"/>
      <c r="Q200" s="17"/>
      <c r="R200" s="17"/>
      <c r="S200" s="13"/>
      <c r="T200" s="13"/>
    </row>
    <row r="201" spans="1:20" ht="13.5" customHeight="1">
      <c r="A201" s="168"/>
      <c r="B201" s="169" t="s">
        <v>25</v>
      </c>
      <c r="C201" s="170">
        <v>40583735.210000001</v>
      </c>
      <c r="D201" s="171">
        <v>19921277.129999999</v>
      </c>
      <c r="E201" s="171">
        <v>1945476.31</v>
      </c>
      <c r="F201" s="171">
        <v>12508757.85</v>
      </c>
      <c r="G201" s="171">
        <v>4631404.82</v>
      </c>
      <c r="H201" s="171">
        <v>1576819.1</v>
      </c>
      <c r="I201" s="17"/>
      <c r="J201" s="17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pans="1:20" ht="13.5" customHeight="1">
      <c r="A202" s="106"/>
      <c r="B202" s="117" t="s">
        <v>26</v>
      </c>
      <c r="C202" s="115">
        <v>19106716.840000004</v>
      </c>
      <c r="D202" s="116">
        <v>8281715.6500000013</v>
      </c>
      <c r="E202" s="116">
        <v>877323.79</v>
      </c>
      <c r="F202" s="116">
        <v>6654421.6600000001</v>
      </c>
      <c r="G202" s="116">
        <v>2481442.14</v>
      </c>
      <c r="H202" s="116">
        <v>811813.6</v>
      </c>
      <c r="I202" s="17"/>
      <c r="J202" s="17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1:20" ht="13.5" customHeight="1">
      <c r="A203" s="4"/>
      <c r="B203" s="4"/>
      <c r="C203" s="80"/>
      <c r="D203" s="78"/>
      <c r="E203" s="78"/>
      <c r="F203" s="78"/>
      <c r="G203" s="33"/>
      <c r="H203" s="33"/>
      <c r="I203" s="17"/>
      <c r="J203" s="17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 ht="15" customHeight="1">
      <c r="A204" s="152" t="s">
        <v>48</v>
      </c>
      <c r="B204" s="153"/>
      <c r="C204" s="153"/>
      <c r="D204" s="153"/>
      <c r="E204" s="153"/>
      <c r="F204" s="153"/>
      <c r="G204" s="153"/>
      <c r="H204" s="153"/>
      <c r="I204" s="17"/>
      <c r="J204" s="17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spans="1:20" ht="15" customHeight="1">
      <c r="A205" s="154" t="s">
        <v>49</v>
      </c>
      <c r="B205" s="153"/>
      <c r="C205" s="153"/>
      <c r="D205" s="153"/>
      <c r="E205" s="153"/>
      <c r="F205" s="153"/>
      <c r="G205" s="153"/>
      <c r="H205" s="153"/>
      <c r="I205" s="17"/>
      <c r="J205" s="17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spans="1:20" ht="15" customHeight="1">
      <c r="A206" s="13"/>
      <c r="B206" s="17"/>
      <c r="C206" s="34"/>
      <c r="D206" s="34"/>
      <c r="E206" s="34"/>
      <c r="F206" s="34"/>
      <c r="G206" s="34"/>
      <c r="H206" s="34"/>
      <c r="I206" s="13"/>
      <c r="J206" s="17"/>
      <c r="K206" s="17"/>
      <c r="L206" s="17"/>
      <c r="M206" s="17"/>
      <c r="N206" s="17"/>
      <c r="O206" s="17"/>
      <c r="P206" s="13"/>
      <c r="Q206" s="13"/>
      <c r="R206" s="13"/>
      <c r="S206" s="13"/>
      <c r="T206" s="13"/>
    </row>
    <row r="207" spans="1:20" ht="15" customHeight="1">
      <c r="A207" s="13"/>
      <c r="B207" s="17"/>
      <c r="C207" s="34"/>
      <c r="D207" s="34"/>
      <c r="E207" s="34"/>
      <c r="F207" s="34"/>
      <c r="G207" s="34"/>
      <c r="H207" s="34"/>
      <c r="I207" s="13"/>
      <c r="J207" s="17"/>
      <c r="K207" s="17"/>
      <c r="L207" s="17"/>
      <c r="M207" s="17"/>
      <c r="N207" s="17"/>
      <c r="O207" s="17"/>
      <c r="P207" s="13"/>
      <c r="Q207" s="13"/>
      <c r="R207" s="13"/>
      <c r="S207" s="13"/>
      <c r="T207" s="13"/>
    </row>
    <row r="208" spans="1:20" ht="15" customHeight="1">
      <c r="A208" s="13"/>
      <c r="B208" s="17"/>
      <c r="C208" s="34"/>
      <c r="D208" s="34"/>
      <c r="E208" s="34"/>
      <c r="F208" s="34"/>
      <c r="G208" s="34"/>
      <c r="H208" s="34"/>
      <c r="I208" s="13"/>
      <c r="J208" s="17"/>
      <c r="K208" s="17"/>
      <c r="L208" s="17"/>
      <c r="M208" s="17"/>
      <c r="N208" s="17"/>
      <c r="O208" s="17"/>
      <c r="P208" s="13"/>
      <c r="Q208" s="13"/>
      <c r="R208" s="13"/>
      <c r="S208" s="13"/>
      <c r="T208" s="13"/>
    </row>
    <row r="209" spans="1:20" ht="15" customHeight="1">
      <c r="A209" s="13"/>
      <c r="B209" s="17"/>
      <c r="C209" s="34"/>
      <c r="D209" s="34"/>
      <c r="E209" s="34"/>
      <c r="F209" s="34"/>
      <c r="G209" s="34"/>
      <c r="H209" s="34"/>
      <c r="I209" s="13"/>
      <c r="J209" s="17"/>
      <c r="K209" s="17"/>
      <c r="L209" s="17"/>
      <c r="M209" s="17"/>
      <c r="N209" s="17"/>
      <c r="O209" s="17"/>
      <c r="P209" s="13"/>
      <c r="Q209" s="13"/>
      <c r="R209" s="13"/>
      <c r="S209" s="13"/>
      <c r="T209" s="13"/>
    </row>
    <row r="210" spans="1:20" ht="15" customHeight="1">
      <c r="A210" s="13"/>
      <c r="B210" s="17"/>
      <c r="C210" s="34"/>
      <c r="D210" s="34"/>
      <c r="E210" s="34"/>
      <c r="F210" s="34"/>
      <c r="G210" s="34"/>
      <c r="H210" s="34"/>
      <c r="I210" s="13"/>
      <c r="J210" s="17"/>
      <c r="K210" s="17"/>
      <c r="L210" s="17"/>
      <c r="M210" s="17"/>
      <c r="N210" s="17"/>
      <c r="O210" s="17"/>
      <c r="P210" s="13"/>
      <c r="Q210" s="13"/>
      <c r="R210" s="13"/>
      <c r="S210" s="13"/>
      <c r="T210" s="13"/>
    </row>
    <row r="211" spans="1:20" ht="15" customHeight="1">
      <c r="A211" s="13"/>
      <c r="B211" s="17"/>
      <c r="C211" s="34"/>
      <c r="D211" s="34"/>
      <c r="E211" s="34"/>
      <c r="F211" s="34"/>
      <c r="G211" s="34"/>
      <c r="H211" s="34"/>
      <c r="I211" s="13"/>
      <c r="J211" s="17"/>
      <c r="K211" s="17"/>
      <c r="L211" s="17"/>
      <c r="M211" s="17"/>
      <c r="N211" s="17"/>
      <c r="O211" s="17"/>
      <c r="P211" s="13"/>
      <c r="Q211" s="13"/>
      <c r="R211" s="13"/>
      <c r="S211" s="13"/>
      <c r="T211" s="13"/>
    </row>
    <row r="212" spans="1:20" ht="15" customHeight="1">
      <c r="A212" s="13"/>
      <c r="B212" s="17"/>
      <c r="C212" s="34"/>
      <c r="D212" s="34"/>
      <c r="E212" s="34"/>
      <c r="F212" s="34"/>
      <c r="G212" s="34"/>
      <c r="H212" s="34"/>
      <c r="I212" s="13"/>
      <c r="J212" s="17"/>
      <c r="K212" s="17"/>
      <c r="L212" s="17"/>
      <c r="M212" s="17"/>
      <c r="N212" s="17"/>
      <c r="O212" s="17"/>
      <c r="P212" s="13"/>
      <c r="Q212" s="13"/>
      <c r="R212" s="13"/>
      <c r="S212" s="13"/>
      <c r="T212" s="13"/>
    </row>
    <row r="213" spans="1:20" ht="15" customHeight="1">
      <c r="A213" s="13"/>
      <c r="B213" s="17"/>
      <c r="C213" s="34"/>
      <c r="D213" s="34"/>
      <c r="E213" s="34"/>
      <c r="F213" s="34"/>
      <c r="G213" s="34"/>
      <c r="H213" s="34"/>
      <c r="I213" s="13"/>
      <c r="J213" s="17"/>
      <c r="K213" s="17"/>
      <c r="L213" s="17"/>
      <c r="M213" s="17"/>
      <c r="N213" s="17"/>
      <c r="O213" s="17"/>
      <c r="P213" s="13"/>
      <c r="Q213" s="13"/>
      <c r="R213" s="13"/>
      <c r="S213" s="13"/>
      <c r="T213" s="13"/>
    </row>
    <row r="214" spans="1:20" ht="15" customHeight="1">
      <c r="A214" s="13"/>
      <c r="B214" s="17"/>
      <c r="C214" s="34"/>
      <c r="D214" s="34"/>
      <c r="E214" s="34"/>
      <c r="F214" s="34"/>
      <c r="G214" s="34"/>
      <c r="H214" s="34"/>
      <c r="I214" s="13"/>
      <c r="J214" s="17"/>
      <c r="K214" s="17"/>
      <c r="L214" s="17"/>
      <c r="M214" s="17"/>
      <c r="N214" s="17"/>
      <c r="O214" s="17"/>
      <c r="P214" s="13"/>
      <c r="Q214" s="13"/>
      <c r="R214" s="13"/>
      <c r="S214" s="13"/>
      <c r="T214" s="13"/>
    </row>
    <row r="215" spans="1:20" ht="15" customHeight="1">
      <c r="A215" s="13"/>
      <c r="B215" s="17"/>
      <c r="C215" s="34"/>
      <c r="D215" s="34"/>
      <c r="E215" s="34"/>
      <c r="F215" s="34"/>
      <c r="G215" s="34"/>
      <c r="H215" s="34"/>
      <c r="I215" s="13"/>
      <c r="J215" s="17"/>
      <c r="K215" s="17"/>
      <c r="L215" s="17"/>
      <c r="M215" s="17"/>
      <c r="N215" s="17"/>
      <c r="O215" s="17"/>
      <c r="P215" s="13"/>
      <c r="Q215" s="13"/>
      <c r="R215" s="13"/>
      <c r="S215" s="13"/>
      <c r="T215" s="13"/>
    </row>
    <row r="216" spans="1:20" ht="15" customHeight="1">
      <c r="A216" s="13"/>
      <c r="B216" s="17"/>
      <c r="C216" s="34"/>
      <c r="D216" s="35"/>
      <c r="E216" s="35"/>
      <c r="F216" s="35"/>
      <c r="G216" s="35"/>
      <c r="H216" s="35"/>
      <c r="I216" s="13"/>
      <c r="J216" s="17"/>
      <c r="K216" s="17"/>
      <c r="L216" s="17"/>
      <c r="M216" s="17"/>
      <c r="N216" s="17"/>
      <c r="O216" s="17"/>
      <c r="P216" s="13"/>
      <c r="Q216" s="13"/>
      <c r="R216" s="13"/>
      <c r="S216" s="13"/>
      <c r="T216" s="13"/>
    </row>
    <row r="217" spans="1:20" ht="15" customHeight="1">
      <c r="A217" s="13"/>
      <c r="B217" s="17"/>
      <c r="C217" s="34"/>
      <c r="D217" s="34"/>
      <c r="E217" s="34"/>
      <c r="F217" s="34"/>
      <c r="G217" s="34"/>
      <c r="H217" s="34"/>
      <c r="I217" s="13"/>
      <c r="J217" s="17"/>
      <c r="K217" s="17"/>
      <c r="L217" s="17"/>
      <c r="M217" s="17"/>
      <c r="N217" s="17"/>
      <c r="O217" s="17"/>
      <c r="P217" s="13"/>
      <c r="Q217" s="13"/>
      <c r="R217" s="13"/>
      <c r="S217" s="13"/>
      <c r="T217" s="13"/>
    </row>
    <row r="218" spans="1:20" ht="15" customHeight="1">
      <c r="A218" s="13"/>
      <c r="B218" s="17"/>
      <c r="C218" s="34"/>
      <c r="D218" s="35"/>
      <c r="E218" s="35"/>
      <c r="F218" s="35"/>
      <c r="G218" s="35"/>
      <c r="H218" s="35"/>
      <c r="I218" s="13"/>
      <c r="J218" s="17"/>
      <c r="K218" s="17"/>
      <c r="L218" s="17"/>
      <c r="M218" s="17"/>
      <c r="N218" s="17"/>
      <c r="O218" s="17"/>
      <c r="P218" s="13"/>
      <c r="Q218" s="13"/>
      <c r="R218" s="13"/>
      <c r="S218" s="13"/>
      <c r="T218" s="13"/>
    </row>
    <row r="219" spans="1:20" ht="15" customHeight="1">
      <c r="A219" s="13"/>
      <c r="B219" s="13"/>
      <c r="C219" s="35"/>
      <c r="D219" s="35"/>
      <c r="E219" s="35"/>
      <c r="F219" s="35"/>
      <c r="G219" s="35"/>
      <c r="H219" s="35"/>
      <c r="I219" s="13"/>
      <c r="J219" s="17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spans="1:20" ht="15" customHeight="1">
      <c r="A220" s="13"/>
      <c r="B220" s="13"/>
      <c r="C220" s="35"/>
      <c r="D220" s="35"/>
      <c r="E220" s="35"/>
      <c r="F220" s="35"/>
      <c r="G220" s="35"/>
      <c r="H220" s="35"/>
      <c r="I220" s="13"/>
      <c r="J220" s="17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spans="1:20" ht="15" customHeight="1">
      <c r="A221" s="13"/>
      <c r="B221" s="13"/>
      <c r="C221" s="35"/>
      <c r="D221" s="35"/>
      <c r="E221" s="35"/>
      <c r="F221" s="35"/>
      <c r="G221" s="35"/>
      <c r="H221" s="35"/>
      <c r="I221" s="13"/>
      <c r="J221" s="17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spans="1:20" ht="15" customHeight="1">
      <c r="A222" s="13"/>
      <c r="B222" s="13"/>
      <c r="C222" s="35"/>
      <c r="D222" s="35"/>
      <c r="E222" s="35"/>
      <c r="F222" s="35"/>
      <c r="G222" s="35"/>
      <c r="H222" s="35"/>
      <c r="I222" s="13"/>
      <c r="J222" s="17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spans="1:20" ht="15" customHeight="1">
      <c r="A223" s="13"/>
      <c r="B223" s="13"/>
      <c r="C223" s="35"/>
      <c r="D223" s="35"/>
      <c r="E223" s="35"/>
      <c r="F223" s="35"/>
      <c r="G223" s="35"/>
      <c r="H223" s="35"/>
      <c r="I223" s="13"/>
      <c r="J223" s="17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spans="1:20" ht="15" customHeight="1">
      <c r="A224" s="13"/>
      <c r="B224" s="13"/>
      <c r="C224" s="35"/>
      <c r="D224" s="35"/>
      <c r="E224" s="35"/>
      <c r="F224" s="35"/>
      <c r="G224" s="35"/>
      <c r="H224" s="35"/>
      <c r="I224" s="13"/>
      <c r="J224" s="17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spans="1:20" ht="15" customHeight="1">
      <c r="A225" s="13"/>
      <c r="B225" s="13"/>
      <c r="C225" s="35"/>
      <c r="D225" s="35"/>
      <c r="E225" s="35"/>
      <c r="F225" s="35"/>
      <c r="G225" s="35"/>
      <c r="H225" s="35"/>
      <c r="I225" s="13"/>
      <c r="J225" s="17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spans="1:20" ht="15" customHeight="1">
      <c r="A226" s="13"/>
      <c r="B226" s="13"/>
      <c r="C226" s="35"/>
      <c r="D226" s="35"/>
      <c r="E226" s="35"/>
      <c r="F226" s="35"/>
      <c r="G226" s="35"/>
      <c r="H226" s="35"/>
      <c r="I226" s="13"/>
      <c r="J226" s="17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spans="1:20" ht="15" customHeight="1">
      <c r="A227" s="13"/>
      <c r="B227" s="13"/>
      <c r="C227" s="35"/>
      <c r="D227" s="35"/>
      <c r="E227" s="35"/>
      <c r="F227" s="35"/>
      <c r="G227" s="35"/>
      <c r="H227" s="35"/>
      <c r="I227" s="13"/>
      <c r="J227" s="17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spans="1:20" ht="15" customHeight="1">
      <c r="A228" s="13"/>
      <c r="B228" s="13"/>
      <c r="C228" s="35"/>
      <c r="D228" s="35"/>
      <c r="E228" s="35"/>
      <c r="F228" s="35"/>
      <c r="G228" s="35"/>
      <c r="H228" s="35"/>
      <c r="I228" s="13"/>
      <c r="J228" s="17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spans="1:20" ht="15" customHeight="1">
      <c r="A229" s="13"/>
      <c r="B229" s="13"/>
      <c r="C229" s="35"/>
      <c r="D229" s="35"/>
      <c r="E229" s="35"/>
      <c r="F229" s="35"/>
      <c r="G229" s="35"/>
      <c r="H229" s="35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spans="1:20" ht="15" customHeight="1">
      <c r="A230" s="13"/>
      <c r="B230" s="13"/>
      <c r="C230" s="35"/>
      <c r="D230" s="35"/>
      <c r="E230" s="35"/>
      <c r="F230" s="35"/>
      <c r="G230" s="35"/>
      <c r="H230" s="35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spans="1:20" ht="15" customHeight="1">
      <c r="A231" s="13"/>
      <c r="B231" s="13"/>
      <c r="C231" s="35"/>
      <c r="D231" s="35"/>
      <c r="E231" s="35"/>
      <c r="F231" s="35"/>
      <c r="G231" s="35"/>
      <c r="H231" s="35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spans="1:20" ht="15" customHeight="1">
      <c r="A232" s="13"/>
      <c r="B232" s="13"/>
      <c r="C232" s="35"/>
      <c r="D232" s="35"/>
      <c r="E232" s="35"/>
      <c r="F232" s="35"/>
      <c r="G232" s="35"/>
      <c r="H232" s="35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spans="1:20" ht="15" customHeight="1">
      <c r="A233" s="13"/>
      <c r="B233" s="13"/>
      <c r="C233" s="35"/>
      <c r="D233" s="35"/>
      <c r="E233" s="35"/>
      <c r="F233" s="35"/>
      <c r="G233" s="35"/>
      <c r="H233" s="35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spans="1:20" ht="15" customHeight="1">
      <c r="A234" s="13"/>
      <c r="B234" s="13"/>
      <c r="C234" s="35"/>
      <c r="D234" s="35"/>
      <c r="E234" s="35"/>
      <c r="F234" s="35"/>
      <c r="G234" s="35"/>
      <c r="H234" s="35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spans="1:20" ht="15" customHeight="1">
      <c r="A235" s="13"/>
      <c r="B235" s="13"/>
      <c r="C235" s="35"/>
      <c r="D235" s="35"/>
      <c r="E235" s="35"/>
      <c r="F235" s="35"/>
      <c r="G235" s="35"/>
      <c r="H235" s="35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spans="1:20" ht="15" customHeight="1">
      <c r="A236" s="13"/>
      <c r="B236" s="13"/>
      <c r="C236" s="35"/>
      <c r="D236" s="35"/>
      <c r="E236" s="35"/>
      <c r="F236" s="35"/>
      <c r="G236" s="35"/>
      <c r="H236" s="35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spans="1:20" ht="15" customHeight="1">
      <c r="A237" s="13"/>
      <c r="B237" s="13"/>
      <c r="C237" s="35"/>
      <c r="D237" s="35"/>
      <c r="E237" s="35"/>
      <c r="F237" s="35"/>
      <c r="G237" s="35"/>
      <c r="H237" s="35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0" ht="15" customHeight="1">
      <c r="A238" s="13"/>
      <c r="B238" s="13"/>
      <c r="C238" s="35"/>
      <c r="D238" s="35"/>
      <c r="E238" s="35"/>
      <c r="F238" s="35"/>
      <c r="G238" s="35"/>
      <c r="H238" s="35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spans="1:20" ht="15" customHeight="1">
      <c r="A239" s="13"/>
      <c r="B239" s="13"/>
      <c r="C239" s="35"/>
      <c r="D239" s="35"/>
      <c r="E239" s="35"/>
      <c r="F239" s="35"/>
      <c r="G239" s="35"/>
      <c r="H239" s="35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spans="1:20" ht="15" customHeight="1">
      <c r="A240" s="13"/>
      <c r="B240" s="13"/>
      <c r="C240" s="35"/>
      <c r="D240" s="35"/>
      <c r="E240" s="35"/>
      <c r="F240" s="35"/>
      <c r="G240" s="35"/>
      <c r="H240" s="35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spans="1:20" ht="15" customHeight="1">
      <c r="A241" s="13"/>
      <c r="B241" s="13"/>
      <c r="C241" s="35"/>
      <c r="D241" s="35"/>
      <c r="E241" s="35"/>
      <c r="F241" s="35"/>
      <c r="G241" s="35"/>
      <c r="H241" s="35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spans="1:20" ht="15" customHeight="1">
      <c r="A242" s="13"/>
      <c r="B242" s="13"/>
      <c r="C242" s="35"/>
      <c r="D242" s="35"/>
      <c r="E242" s="35"/>
      <c r="F242" s="35"/>
      <c r="G242" s="35"/>
      <c r="H242" s="35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spans="1:20" ht="15" customHeight="1">
      <c r="A243" s="13"/>
      <c r="B243" s="13"/>
      <c r="C243" s="35"/>
      <c r="D243" s="35"/>
      <c r="E243" s="35"/>
      <c r="F243" s="35"/>
      <c r="G243" s="35"/>
      <c r="H243" s="35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spans="1:20" ht="15" customHeight="1">
      <c r="A244" s="13"/>
      <c r="B244" s="13"/>
      <c r="C244" s="35"/>
      <c r="D244" s="35"/>
      <c r="E244" s="35"/>
      <c r="F244" s="35"/>
      <c r="G244" s="35"/>
      <c r="H244" s="35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spans="1:20" ht="15" customHeight="1">
      <c r="A245" s="13"/>
      <c r="B245" s="13"/>
      <c r="C245" s="35"/>
      <c r="D245" s="35"/>
      <c r="E245" s="35"/>
      <c r="F245" s="35"/>
      <c r="G245" s="35"/>
      <c r="H245" s="35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1:20" ht="15" customHeight="1">
      <c r="A246" s="13"/>
      <c r="B246" s="13"/>
      <c r="C246" s="35"/>
      <c r="D246" s="35"/>
      <c r="E246" s="35"/>
      <c r="F246" s="35"/>
      <c r="G246" s="35"/>
      <c r="H246" s="35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spans="1:20" ht="15" customHeight="1">
      <c r="A247" s="13"/>
      <c r="B247" s="13"/>
      <c r="C247" s="35"/>
      <c r="D247" s="35"/>
      <c r="E247" s="35"/>
      <c r="F247" s="35"/>
      <c r="G247" s="35"/>
      <c r="H247" s="35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spans="1:20" ht="15" customHeight="1">
      <c r="A248" s="13"/>
      <c r="B248" s="13"/>
      <c r="C248" s="35"/>
      <c r="D248" s="35"/>
      <c r="E248" s="35"/>
      <c r="F248" s="35"/>
      <c r="G248" s="35"/>
      <c r="H248" s="35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spans="1:20" ht="15" customHeight="1">
      <c r="A249" s="13"/>
      <c r="B249" s="13"/>
      <c r="C249" s="35"/>
      <c r="D249" s="35"/>
      <c r="E249" s="35"/>
      <c r="F249" s="35"/>
      <c r="G249" s="35"/>
      <c r="H249" s="35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spans="1:20" ht="15" customHeight="1">
      <c r="A250" s="13"/>
      <c r="B250" s="13"/>
      <c r="C250" s="35"/>
      <c r="D250" s="35"/>
      <c r="E250" s="35"/>
      <c r="F250" s="35"/>
      <c r="G250" s="35"/>
      <c r="H250" s="35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spans="1:20" ht="15" customHeight="1">
      <c r="A251" s="13"/>
      <c r="B251" s="13"/>
      <c r="C251" s="35"/>
      <c r="D251" s="35"/>
      <c r="E251" s="35"/>
      <c r="F251" s="35"/>
      <c r="G251" s="35"/>
      <c r="H251" s="35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spans="1:20" ht="15" customHeight="1">
      <c r="A252" s="13"/>
      <c r="B252" s="13"/>
      <c r="C252" s="35"/>
      <c r="D252" s="35"/>
      <c r="E252" s="35"/>
      <c r="F252" s="35"/>
      <c r="G252" s="35"/>
      <c r="H252" s="35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spans="1:20" ht="15" customHeight="1">
      <c r="A253" s="13"/>
      <c r="B253" s="13"/>
      <c r="C253" s="35"/>
      <c r="D253" s="35"/>
      <c r="E253" s="35"/>
      <c r="F253" s="35"/>
      <c r="G253" s="35"/>
      <c r="H253" s="35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spans="1:20" ht="15" customHeight="1">
      <c r="A254" s="13"/>
      <c r="B254" s="13"/>
      <c r="C254" s="35"/>
      <c r="D254" s="35"/>
      <c r="E254" s="35"/>
      <c r="F254" s="35"/>
      <c r="G254" s="35"/>
      <c r="H254" s="35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spans="1:20" ht="15" customHeight="1">
      <c r="A255" s="13"/>
      <c r="B255" s="13"/>
      <c r="C255" s="35"/>
      <c r="D255" s="35"/>
      <c r="E255" s="35"/>
      <c r="F255" s="35"/>
      <c r="G255" s="35"/>
      <c r="H255" s="35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spans="1:20" ht="15" customHeight="1">
      <c r="A256" s="13"/>
      <c r="B256" s="13"/>
      <c r="C256" s="35"/>
      <c r="D256" s="35"/>
      <c r="E256" s="35"/>
      <c r="F256" s="35"/>
      <c r="G256" s="35"/>
      <c r="H256" s="35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spans="1:20" ht="15" customHeight="1">
      <c r="A257" s="13"/>
      <c r="B257" s="13"/>
      <c r="C257" s="35"/>
      <c r="D257" s="35"/>
      <c r="E257" s="35"/>
      <c r="F257" s="35"/>
      <c r="G257" s="35"/>
      <c r="H257" s="35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spans="1:20" ht="15" customHeight="1">
      <c r="A258" s="13"/>
      <c r="B258" s="13"/>
      <c r="C258" s="35"/>
      <c r="D258" s="35"/>
      <c r="E258" s="35"/>
      <c r="F258" s="35"/>
      <c r="G258" s="35"/>
      <c r="H258" s="35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spans="1:20" ht="15" customHeight="1">
      <c r="A259" s="13"/>
      <c r="B259" s="13"/>
      <c r="C259" s="35"/>
      <c r="D259" s="35"/>
      <c r="E259" s="35"/>
      <c r="F259" s="35"/>
      <c r="G259" s="35"/>
      <c r="H259" s="35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spans="1:20" ht="15" customHeight="1">
      <c r="A260" s="13"/>
      <c r="B260" s="13"/>
      <c r="C260" s="35"/>
      <c r="D260" s="35"/>
      <c r="E260" s="35"/>
      <c r="F260" s="35"/>
      <c r="G260" s="35"/>
      <c r="H260" s="35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spans="1:20" ht="15" customHeight="1">
      <c r="A261" s="13"/>
      <c r="B261" s="13"/>
      <c r="C261" s="35"/>
      <c r="D261" s="35"/>
      <c r="E261" s="35"/>
      <c r="F261" s="35"/>
      <c r="G261" s="35"/>
      <c r="H261" s="35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spans="1:20" ht="15" customHeight="1">
      <c r="A262" s="13"/>
      <c r="B262" s="13"/>
      <c r="C262" s="35"/>
      <c r="D262" s="35"/>
      <c r="E262" s="35"/>
      <c r="F262" s="35"/>
      <c r="G262" s="35"/>
      <c r="H262" s="35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spans="1:20" ht="15" customHeight="1">
      <c r="A263" s="13"/>
      <c r="B263" s="13"/>
      <c r="C263" s="35"/>
      <c r="D263" s="35"/>
      <c r="E263" s="35"/>
      <c r="F263" s="35"/>
      <c r="G263" s="35"/>
      <c r="H263" s="35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spans="1:20" ht="15" customHeight="1">
      <c r="A264" s="13"/>
      <c r="B264" s="13"/>
      <c r="C264" s="35"/>
      <c r="D264" s="35"/>
      <c r="E264" s="35"/>
      <c r="F264" s="35"/>
      <c r="G264" s="35"/>
      <c r="H264" s="35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spans="1:20" ht="15" customHeight="1">
      <c r="A265" s="13"/>
      <c r="B265" s="13"/>
      <c r="C265" s="35"/>
      <c r="D265" s="35"/>
      <c r="E265" s="35"/>
      <c r="F265" s="35"/>
      <c r="G265" s="35"/>
      <c r="H265" s="35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spans="1:20" ht="15" customHeight="1">
      <c r="A266" s="13"/>
      <c r="B266" s="13"/>
      <c r="C266" s="35"/>
      <c r="D266" s="35"/>
      <c r="E266" s="35"/>
      <c r="F266" s="35"/>
      <c r="G266" s="35"/>
      <c r="H266" s="35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spans="1:20" ht="15" customHeight="1">
      <c r="A267" s="13"/>
      <c r="B267" s="13"/>
      <c r="C267" s="35"/>
      <c r="D267" s="35"/>
      <c r="E267" s="35"/>
      <c r="F267" s="35"/>
      <c r="G267" s="35"/>
      <c r="H267" s="35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spans="1:20" ht="15" customHeight="1">
      <c r="A268" s="13"/>
      <c r="B268" s="13"/>
      <c r="C268" s="35"/>
      <c r="D268" s="35"/>
      <c r="E268" s="35"/>
      <c r="F268" s="35"/>
      <c r="G268" s="35"/>
      <c r="H268" s="35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spans="1:20" ht="15" customHeight="1">
      <c r="A269" s="13"/>
      <c r="B269" s="13"/>
      <c r="C269" s="35"/>
      <c r="D269" s="35"/>
      <c r="E269" s="35"/>
      <c r="F269" s="35"/>
      <c r="G269" s="35"/>
      <c r="H269" s="35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spans="1:20" ht="15" customHeight="1">
      <c r="A270" s="13"/>
      <c r="B270" s="13"/>
      <c r="C270" s="35"/>
      <c r="D270" s="35"/>
      <c r="E270" s="35"/>
      <c r="F270" s="35"/>
      <c r="G270" s="35"/>
      <c r="H270" s="35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1:20" ht="15" customHeight="1">
      <c r="A271" s="13"/>
      <c r="B271" s="13"/>
      <c r="C271" s="35"/>
      <c r="D271" s="35"/>
      <c r="E271" s="35"/>
      <c r="F271" s="35"/>
      <c r="G271" s="35"/>
      <c r="H271" s="35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ht="15" customHeight="1">
      <c r="A272" s="13"/>
      <c r="B272" s="13"/>
      <c r="C272" s="35"/>
      <c r="D272" s="35"/>
      <c r="E272" s="35"/>
      <c r="F272" s="35"/>
      <c r="G272" s="35"/>
      <c r="H272" s="35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spans="1:20" ht="15" customHeight="1">
      <c r="A273" s="13"/>
      <c r="B273" s="13"/>
      <c r="C273" s="35"/>
      <c r="D273" s="35"/>
      <c r="E273" s="35"/>
      <c r="F273" s="35"/>
      <c r="G273" s="35"/>
      <c r="H273" s="35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spans="1:20" ht="15" customHeight="1">
      <c r="A274" s="13"/>
      <c r="B274" s="13"/>
      <c r="C274" s="35"/>
      <c r="D274" s="35"/>
      <c r="E274" s="35"/>
      <c r="F274" s="35"/>
      <c r="G274" s="35"/>
      <c r="H274" s="35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ht="15" customHeight="1">
      <c r="A275" s="13"/>
      <c r="B275" s="13"/>
      <c r="C275" s="35"/>
      <c r="D275" s="35"/>
      <c r="E275" s="35"/>
      <c r="F275" s="35"/>
      <c r="G275" s="35"/>
      <c r="H275" s="35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ht="15" customHeight="1">
      <c r="A276" s="13"/>
      <c r="B276" s="13"/>
      <c r="C276" s="35"/>
      <c r="D276" s="35"/>
      <c r="E276" s="35"/>
      <c r="F276" s="35"/>
      <c r="G276" s="35"/>
      <c r="H276" s="35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ht="15" customHeight="1">
      <c r="A277" s="13"/>
      <c r="B277" s="13"/>
      <c r="C277" s="35"/>
      <c r="D277" s="35"/>
      <c r="E277" s="35"/>
      <c r="F277" s="35"/>
      <c r="G277" s="35"/>
      <c r="H277" s="35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ht="15" customHeight="1">
      <c r="A278" s="13"/>
      <c r="B278" s="13"/>
      <c r="C278" s="35"/>
      <c r="D278" s="35"/>
      <c r="E278" s="35"/>
      <c r="F278" s="35"/>
      <c r="G278" s="35"/>
      <c r="H278" s="35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ht="15" customHeight="1">
      <c r="A279" s="13"/>
      <c r="B279" s="13"/>
      <c r="C279" s="35"/>
      <c r="D279" s="35"/>
      <c r="E279" s="35"/>
      <c r="F279" s="35"/>
      <c r="G279" s="35"/>
      <c r="H279" s="35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ht="15" customHeight="1">
      <c r="A280" s="13"/>
      <c r="B280" s="13"/>
      <c r="C280" s="35"/>
      <c r="D280" s="35"/>
      <c r="E280" s="35"/>
      <c r="F280" s="35"/>
      <c r="G280" s="35"/>
      <c r="H280" s="35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ht="15" customHeight="1">
      <c r="A281" s="13"/>
      <c r="B281" s="13"/>
      <c r="C281" s="35"/>
      <c r="D281" s="35"/>
      <c r="E281" s="35"/>
      <c r="F281" s="35"/>
      <c r="G281" s="35"/>
      <c r="H281" s="35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ht="15" customHeight="1">
      <c r="A282" s="13"/>
      <c r="B282" s="13"/>
      <c r="C282" s="35"/>
      <c r="D282" s="35"/>
      <c r="E282" s="35"/>
      <c r="F282" s="35"/>
      <c r="G282" s="35"/>
      <c r="H282" s="35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ht="15" customHeight="1">
      <c r="A283" s="13"/>
      <c r="B283" s="13"/>
      <c r="C283" s="35"/>
      <c r="D283" s="35"/>
      <c r="E283" s="35"/>
      <c r="F283" s="35"/>
      <c r="G283" s="35"/>
      <c r="H283" s="35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ht="15" customHeight="1">
      <c r="A284" s="13"/>
      <c r="B284" s="13"/>
      <c r="C284" s="35"/>
      <c r="D284" s="35"/>
      <c r="E284" s="35"/>
      <c r="F284" s="35"/>
      <c r="G284" s="35"/>
      <c r="H284" s="35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ht="15" customHeight="1">
      <c r="A285" s="13"/>
      <c r="B285" s="13"/>
      <c r="C285" s="35"/>
      <c r="D285" s="35"/>
      <c r="E285" s="35"/>
      <c r="F285" s="35"/>
      <c r="G285" s="35"/>
      <c r="H285" s="35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ht="15" customHeight="1">
      <c r="A286" s="13"/>
      <c r="B286" s="13"/>
      <c r="C286" s="35"/>
      <c r="D286" s="35"/>
      <c r="E286" s="35"/>
      <c r="F286" s="35"/>
      <c r="G286" s="35"/>
      <c r="H286" s="35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ht="15" customHeight="1">
      <c r="A287" s="13"/>
      <c r="B287" s="13"/>
      <c r="C287" s="35"/>
      <c r="D287" s="35"/>
      <c r="E287" s="35"/>
      <c r="F287" s="35"/>
      <c r="G287" s="35"/>
      <c r="H287" s="35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ht="15" customHeight="1">
      <c r="A288" s="13"/>
      <c r="B288" s="13"/>
      <c r="C288" s="35"/>
      <c r="D288" s="35"/>
      <c r="E288" s="35"/>
      <c r="F288" s="35"/>
      <c r="G288" s="35"/>
      <c r="H288" s="35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ht="15" customHeight="1">
      <c r="A289" s="13"/>
      <c r="B289" s="13"/>
      <c r="C289" s="35"/>
      <c r="D289" s="35"/>
      <c r="E289" s="35"/>
      <c r="F289" s="35"/>
      <c r="G289" s="35"/>
      <c r="H289" s="35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ht="15" customHeight="1">
      <c r="A290" s="13"/>
      <c r="B290" s="13"/>
      <c r="C290" s="35"/>
      <c r="D290" s="35"/>
      <c r="E290" s="35"/>
      <c r="F290" s="35"/>
      <c r="G290" s="35"/>
      <c r="H290" s="35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ht="15" customHeight="1">
      <c r="A291" s="13"/>
      <c r="B291" s="13"/>
      <c r="C291" s="35"/>
      <c r="D291" s="35"/>
      <c r="E291" s="35"/>
      <c r="F291" s="35"/>
      <c r="G291" s="35"/>
      <c r="H291" s="35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ht="15" customHeight="1">
      <c r="A292" s="13"/>
      <c r="B292" s="13"/>
      <c r="C292" s="35"/>
      <c r="D292" s="35"/>
      <c r="E292" s="35"/>
      <c r="F292" s="35"/>
      <c r="G292" s="35"/>
      <c r="H292" s="35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ht="15" customHeight="1">
      <c r="A293" s="13"/>
      <c r="B293" s="13"/>
      <c r="C293" s="35"/>
      <c r="D293" s="35"/>
      <c r="E293" s="35"/>
      <c r="F293" s="35"/>
      <c r="G293" s="35"/>
      <c r="H293" s="35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ht="15" customHeight="1">
      <c r="A294" s="13"/>
      <c r="B294" s="13"/>
      <c r="C294" s="35"/>
      <c r="D294" s="35"/>
      <c r="E294" s="35"/>
      <c r="F294" s="35"/>
      <c r="G294" s="35"/>
      <c r="H294" s="35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ht="15" customHeight="1">
      <c r="A295" s="13"/>
      <c r="B295" s="13"/>
      <c r="C295" s="35"/>
      <c r="D295" s="35"/>
      <c r="E295" s="35"/>
      <c r="F295" s="35"/>
      <c r="G295" s="35"/>
      <c r="H295" s="35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ht="15" customHeight="1">
      <c r="A296" s="13"/>
      <c r="B296" s="13"/>
      <c r="C296" s="35"/>
      <c r="D296" s="35"/>
      <c r="E296" s="35"/>
      <c r="F296" s="35"/>
      <c r="G296" s="35"/>
      <c r="H296" s="35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ht="15" customHeight="1">
      <c r="A297" s="13"/>
      <c r="B297" s="13"/>
      <c r="C297" s="35"/>
      <c r="D297" s="35"/>
      <c r="E297" s="35"/>
      <c r="F297" s="35"/>
      <c r="G297" s="35"/>
      <c r="H297" s="35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ht="15" customHeight="1">
      <c r="A298" s="13"/>
      <c r="B298" s="13"/>
      <c r="C298" s="35"/>
      <c r="D298" s="35"/>
      <c r="E298" s="35"/>
      <c r="F298" s="35"/>
      <c r="G298" s="35"/>
      <c r="H298" s="35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ht="15" customHeight="1">
      <c r="A299" s="13"/>
      <c r="B299" s="13"/>
      <c r="C299" s="35"/>
      <c r="D299" s="35"/>
      <c r="E299" s="35"/>
      <c r="F299" s="35"/>
      <c r="G299" s="35"/>
      <c r="H299" s="35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ht="15" customHeight="1">
      <c r="A300" s="13"/>
      <c r="B300" s="13"/>
      <c r="C300" s="35"/>
      <c r="D300" s="35"/>
      <c r="E300" s="35"/>
      <c r="F300" s="35"/>
      <c r="G300" s="35"/>
      <c r="H300" s="35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ht="15" customHeight="1">
      <c r="A301" s="13"/>
      <c r="B301" s="13"/>
      <c r="C301" s="35"/>
      <c r="D301" s="35"/>
      <c r="E301" s="35"/>
      <c r="F301" s="35"/>
      <c r="G301" s="35"/>
      <c r="H301" s="35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ht="15" customHeight="1">
      <c r="A302" s="13"/>
      <c r="B302" s="13"/>
      <c r="C302" s="35"/>
      <c r="D302" s="35"/>
      <c r="E302" s="35"/>
      <c r="F302" s="35"/>
      <c r="G302" s="35"/>
      <c r="H302" s="35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ht="15" customHeight="1">
      <c r="A303" s="13"/>
      <c r="B303" s="13"/>
      <c r="C303" s="35"/>
      <c r="D303" s="35"/>
      <c r="E303" s="35"/>
      <c r="F303" s="35"/>
      <c r="G303" s="35"/>
      <c r="H303" s="35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ht="15" customHeight="1">
      <c r="A304" s="13"/>
      <c r="B304" s="13"/>
      <c r="C304" s="35"/>
      <c r="D304" s="35"/>
      <c r="E304" s="35"/>
      <c r="F304" s="35"/>
      <c r="G304" s="35"/>
      <c r="H304" s="35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ht="15" customHeight="1">
      <c r="A305" s="13"/>
      <c r="B305" s="13"/>
      <c r="C305" s="35"/>
      <c r="D305" s="35"/>
      <c r="E305" s="35"/>
      <c r="F305" s="35"/>
      <c r="G305" s="35"/>
      <c r="H305" s="35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ht="15" customHeight="1">
      <c r="A306" s="13"/>
      <c r="B306" s="13"/>
      <c r="C306" s="35"/>
      <c r="D306" s="35"/>
      <c r="E306" s="35"/>
      <c r="F306" s="35"/>
      <c r="G306" s="35"/>
      <c r="H306" s="35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ht="15" customHeight="1">
      <c r="A307" s="13"/>
      <c r="B307" s="13"/>
      <c r="C307" s="35"/>
      <c r="D307" s="35"/>
      <c r="E307" s="35"/>
      <c r="F307" s="35"/>
      <c r="G307" s="35"/>
      <c r="H307" s="35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ht="15" customHeight="1">
      <c r="A308" s="13"/>
      <c r="B308" s="13"/>
      <c r="C308" s="35"/>
      <c r="D308" s="35"/>
      <c r="E308" s="35"/>
      <c r="F308" s="35"/>
      <c r="G308" s="35"/>
      <c r="H308" s="35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ht="15" customHeight="1">
      <c r="A309" s="13"/>
      <c r="B309" s="13"/>
      <c r="C309" s="35"/>
      <c r="D309" s="35"/>
      <c r="E309" s="35"/>
      <c r="F309" s="35"/>
      <c r="G309" s="35"/>
      <c r="H309" s="35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ht="15" customHeight="1">
      <c r="A310" s="13"/>
      <c r="B310" s="13"/>
      <c r="C310" s="35"/>
      <c r="D310" s="35"/>
      <c r="E310" s="35"/>
      <c r="F310" s="35"/>
      <c r="G310" s="35"/>
      <c r="H310" s="35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ht="15" customHeight="1">
      <c r="A311" s="13"/>
      <c r="B311" s="13"/>
      <c r="C311" s="35"/>
      <c r="D311" s="35"/>
      <c r="E311" s="35"/>
      <c r="F311" s="35"/>
      <c r="G311" s="35"/>
      <c r="H311" s="35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ht="15" customHeight="1">
      <c r="A312" s="13"/>
      <c r="B312" s="13"/>
      <c r="C312" s="35"/>
      <c r="D312" s="35"/>
      <c r="E312" s="35"/>
      <c r="F312" s="35"/>
      <c r="G312" s="35"/>
      <c r="H312" s="35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ht="15" customHeight="1">
      <c r="A313" s="13"/>
      <c r="B313" s="13"/>
      <c r="C313" s="35"/>
      <c r="D313" s="35"/>
      <c r="E313" s="35"/>
      <c r="F313" s="35"/>
      <c r="G313" s="35"/>
      <c r="H313" s="35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ht="15" customHeight="1">
      <c r="A314" s="13"/>
      <c r="B314" s="13"/>
      <c r="C314" s="35"/>
      <c r="D314" s="35"/>
      <c r="E314" s="35"/>
      <c r="F314" s="35"/>
      <c r="G314" s="35"/>
      <c r="H314" s="35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ht="15" customHeight="1">
      <c r="A315" s="13"/>
      <c r="B315" s="13"/>
      <c r="C315" s="35"/>
      <c r="D315" s="35"/>
      <c r="E315" s="35"/>
      <c r="F315" s="35"/>
      <c r="G315" s="35"/>
      <c r="H315" s="35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ht="15" customHeight="1">
      <c r="A316" s="13"/>
      <c r="B316" s="13"/>
      <c r="C316" s="35"/>
      <c r="D316" s="35"/>
      <c r="E316" s="35"/>
      <c r="F316" s="35"/>
      <c r="G316" s="35"/>
      <c r="H316" s="35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ht="15" customHeight="1">
      <c r="A317" s="13"/>
      <c r="B317" s="13"/>
      <c r="C317" s="35"/>
      <c r="D317" s="35"/>
      <c r="E317" s="35"/>
      <c r="F317" s="35"/>
      <c r="G317" s="35"/>
      <c r="H317" s="35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ht="15" customHeight="1">
      <c r="A318" s="13"/>
      <c r="B318" s="13"/>
      <c r="C318" s="35"/>
      <c r="D318" s="35"/>
      <c r="E318" s="35"/>
      <c r="F318" s="35"/>
      <c r="G318" s="35"/>
      <c r="H318" s="35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ht="15" customHeight="1">
      <c r="A319" s="13"/>
      <c r="B319" s="13"/>
      <c r="C319" s="35"/>
      <c r="D319" s="35"/>
      <c r="E319" s="35"/>
      <c r="F319" s="35"/>
      <c r="G319" s="35"/>
      <c r="H319" s="35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ht="15" customHeight="1">
      <c r="A320" s="13"/>
      <c r="B320" s="13"/>
      <c r="C320" s="35"/>
      <c r="D320" s="35"/>
      <c r="E320" s="35"/>
      <c r="F320" s="35"/>
      <c r="G320" s="35"/>
      <c r="H320" s="35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ht="15" customHeight="1">
      <c r="A321" s="13"/>
      <c r="B321" s="13"/>
      <c r="C321" s="35"/>
      <c r="D321" s="35"/>
      <c r="E321" s="35"/>
      <c r="F321" s="35"/>
      <c r="G321" s="35"/>
      <c r="H321" s="35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ht="15" customHeight="1">
      <c r="A322" s="13"/>
      <c r="B322" s="13"/>
      <c r="C322" s="35"/>
      <c r="D322" s="35"/>
      <c r="E322" s="35"/>
      <c r="F322" s="35"/>
      <c r="G322" s="35"/>
      <c r="H322" s="35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ht="15" customHeight="1">
      <c r="A323" s="13"/>
      <c r="B323" s="13"/>
      <c r="C323" s="35"/>
      <c r="D323" s="35"/>
      <c r="E323" s="35"/>
      <c r="F323" s="35"/>
      <c r="G323" s="35"/>
      <c r="H323" s="35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ht="15" customHeight="1">
      <c r="A324" s="13"/>
      <c r="B324" s="13"/>
      <c r="C324" s="35"/>
      <c r="D324" s="35"/>
      <c r="E324" s="35"/>
      <c r="F324" s="35"/>
      <c r="G324" s="35"/>
      <c r="H324" s="35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ht="15" customHeight="1">
      <c r="A325" s="13"/>
      <c r="B325" s="13"/>
      <c r="C325" s="35"/>
      <c r="D325" s="35"/>
      <c r="E325" s="35"/>
      <c r="F325" s="35"/>
      <c r="G325" s="35"/>
      <c r="H325" s="35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ht="15" customHeight="1">
      <c r="A326" s="13"/>
      <c r="B326" s="13"/>
      <c r="C326" s="35"/>
      <c r="D326" s="35"/>
      <c r="E326" s="35"/>
      <c r="F326" s="35"/>
      <c r="G326" s="35"/>
      <c r="H326" s="35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ht="15" customHeight="1">
      <c r="A327" s="13"/>
      <c r="B327" s="13"/>
      <c r="C327" s="35"/>
      <c r="D327" s="35"/>
      <c r="E327" s="35"/>
      <c r="F327" s="35"/>
      <c r="G327" s="35"/>
      <c r="H327" s="35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ht="15" customHeight="1">
      <c r="A328" s="13"/>
      <c r="B328" s="13"/>
      <c r="C328" s="35"/>
      <c r="D328" s="35"/>
      <c r="E328" s="35"/>
      <c r="F328" s="35"/>
      <c r="G328" s="35"/>
      <c r="H328" s="35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ht="15" customHeight="1">
      <c r="A329" s="13"/>
      <c r="B329" s="13"/>
      <c r="C329" s="35"/>
      <c r="D329" s="35"/>
      <c r="E329" s="35"/>
      <c r="F329" s="35"/>
      <c r="G329" s="35"/>
      <c r="H329" s="35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ht="15" customHeight="1">
      <c r="A330" s="13"/>
      <c r="B330" s="13"/>
      <c r="C330" s="35"/>
      <c r="D330" s="35"/>
      <c r="E330" s="35"/>
      <c r="F330" s="35"/>
      <c r="G330" s="35"/>
      <c r="H330" s="35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ht="15" customHeight="1">
      <c r="A331" s="13"/>
      <c r="B331" s="13"/>
      <c r="C331" s="35"/>
      <c r="D331" s="35"/>
      <c r="E331" s="35"/>
      <c r="F331" s="35"/>
      <c r="G331" s="35"/>
      <c r="H331" s="35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ht="15" customHeight="1">
      <c r="A332" s="13"/>
      <c r="B332" s="13"/>
      <c r="C332" s="35"/>
      <c r="D332" s="35"/>
      <c r="E332" s="35"/>
      <c r="F332" s="35"/>
      <c r="G332" s="35"/>
      <c r="H332" s="35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ht="15" customHeight="1">
      <c r="A333" s="13"/>
      <c r="B333" s="13"/>
      <c r="C333" s="35"/>
      <c r="D333" s="35"/>
      <c r="E333" s="35"/>
      <c r="F333" s="35"/>
      <c r="G333" s="35"/>
      <c r="H333" s="35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ht="15" customHeight="1">
      <c r="A334" s="13"/>
      <c r="B334" s="13"/>
      <c r="C334" s="35"/>
      <c r="D334" s="35"/>
      <c r="E334" s="35"/>
      <c r="F334" s="35"/>
      <c r="G334" s="35"/>
      <c r="H334" s="35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ht="15" customHeight="1">
      <c r="A335" s="13"/>
      <c r="B335" s="13"/>
      <c r="C335" s="35"/>
      <c r="D335" s="35"/>
      <c r="E335" s="35"/>
      <c r="F335" s="35"/>
      <c r="G335" s="35"/>
      <c r="H335" s="35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ht="15" customHeight="1">
      <c r="A336" s="13"/>
      <c r="B336" s="13"/>
      <c r="C336" s="35"/>
      <c r="D336" s="35"/>
      <c r="E336" s="35"/>
      <c r="F336" s="35"/>
      <c r="G336" s="35"/>
      <c r="H336" s="35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ht="15" customHeight="1">
      <c r="A337" s="13"/>
      <c r="B337" s="13"/>
      <c r="C337" s="35"/>
      <c r="D337" s="35"/>
      <c r="E337" s="35"/>
      <c r="F337" s="35"/>
      <c r="G337" s="35"/>
      <c r="H337" s="35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ht="15" customHeight="1">
      <c r="A338" s="13"/>
      <c r="B338" s="13"/>
      <c r="C338" s="35"/>
      <c r="D338" s="35"/>
      <c r="E338" s="35"/>
      <c r="F338" s="35"/>
      <c r="G338" s="35"/>
      <c r="H338" s="35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ht="15" customHeight="1">
      <c r="A339" s="13"/>
      <c r="B339" s="13"/>
      <c r="C339" s="35"/>
      <c r="D339" s="35"/>
      <c r="E339" s="35"/>
      <c r="F339" s="35"/>
      <c r="G339" s="35"/>
      <c r="H339" s="35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ht="15" customHeight="1">
      <c r="A340" s="13"/>
      <c r="B340" s="13"/>
      <c r="C340" s="35"/>
      <c r="D340" s="35"/>
      <c r="E340" s="35"/>
      <c r="F340" s="35"/>
      <c r="G340" s="35"/>
      <c r="H340" s="35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ht="15" customHeight="1">
      <c r="A341" s="13"/>
      <c r="B341" s="13"/>
      <c r="C341" s="35"/>
      <c r="D341" s="35"/>
      <c r="E341" s="35"/>
      <c r="F341" s="35"/>
      <c r="G341" s="35"/>
      <c r="H341" s="35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ht="15" customHeight="1">
      <c r="A342" s="13"/>
      <c r="B342" s="13"/>
      <c r="C342" s="35"/>
      <c r="D342" s="35"/>
      <c r="E342" s="35"/>
      <c r="F342" s="35"/>
      <c r="G342" s="35"/>
      <c r="H342" s="35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ht="15" customHeight="1">
      <c r="A343" s="13"/>
      <c r="B343" s="13"/>
      <c r="C343" s="35"/>
      <c r="D343" s="35"/>
      <c r="E343" s="35"/>
      <c r="F343" s="35"/>
      <c r="G343" s="35"/>
      <c r="H343" s="35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ht="15" customHeight="1">
      <c r="A344" s="13"/>
      <c r="B344" s="13"/>
      <c r="C344" s="35"/>
      <c r="D344" s="35"/>
      <c r="E344" s="35"/>
      <c r="F344" s="35"/>
      <c r="G344" s="35"/>
      <c r="H344" s="35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ht="15" customHeight="1">
      <c r="A345" s="13"/>
      <c r="B345" s="13"/>
      <c r="C345" s="35"/>
      <c r="D345" s="35"/>
      <c r="E345" s="35"/>
      <c r="F345" s="35"/>
      <c r="G345" s="35"/>
      <c r="H345" s="35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ht="15" customHeight="1">
      <c r="A346" s="13"/>
      <c r="B346" s="13"/>
      <c r="C346" s="35"/>
      <c r="D346" s="35"/>
      <c r="E346" s="35"/>
      <c r="F346" s="35"/>
      <c r="G346" s="35"/>
      <c r="H346" s="35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ht="15" customHeight="1">
      <c r="A347" s="13"/>
      <c r="B347" s="13"/>
      <c r="C347" s="35"/>
      <c r="D347" s="35"/>
      <c r="E347" s="35"/>
      <c r="F347" s="35"/>
      <c r="G347" s="35"/>
      <c r="H347" s="35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ht="15" customHeight="1">
      <c r="A348" s="13"/>
      <c r="B348" s="13"/>
      <c r="C348" s="35"/>
      <c r="D348" s="35"/>
      <c r="E348" s="35"/>
      <c r="F348" s="35"/>
      <c r="G348" s="35"/>
      <c r="H348" s="35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ht="15" customHeight="1">
      <c r="A349" s="13"/>
      <c r="B349" s="13"/>
      <c r="C349" s="35"/>
      <c r="D349" s="35"/>
      <c r="E349" s="35"/>
      <c r="F349" s="35"/>
      <c r="G349" s="35"/>
      <c r="H349" s="35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ht="15" customHeight="1">
      <c r="A350" s="13"/>
      <c r="B350" s="13"/>
      <c r="C350" s="35"/>
      <c r="D350" s="35"/>
      <c r="E350" s="35"/>
      <c r="F350" s="35"/>
      <c r="G350" s="35"/>
      <c r="H350" s="35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ht="15" customHeight="1">
      <c r="A351" s="13"/>
      <c r="B351" s="13"/>
      <c r="C351" s="35"/>
      <c r="D351" s="35"/>
      <c r="E351" s="35"/>
      <c r="F351" s="35"/>
      <c r="G351" s="35"/>
      <c r="H351" s="35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ht="15" customHeight="1">
      <c r="A352" s="13"/>
      <c r="B352" s="13"/>
      <c r="C352" s="35"/>
      <c r="D352" s="35"/>
      <c r="E352" s="35"/>
      <c r="F352" s="35"/>
      <c r="G352" s="35"/>
      <c r="H352" s="35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ht="15" customHeight="1">
      <c r="A353" s="13"/>
      <c r="B353" s="13"/>
      <c r="C353" s="35"/>
      <c r="D353" s="35"/>
      <c r="E353" s="35"/>
      <c r="F353" s="35"/>
      <c r="G353" s="35"/>
      <c r="H353" s="35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ht="15" customHeight="1">
      <c r="A354" s="13"/>
      <c r="B354" s="13"/>
      <c r="C354" s="35"/>
      <c r="D354" s="35"/>
      <c r="E354" s="35"/>
      <c r="F354" s="35"/>
      <c r="G354" s="35"/>
      <c r="H354" s="35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ht="15" customHeight="1">
      <c r="A355" s="13"/>
      <c r="B355" s="13"/>
      <c r="C355" s="35"/>
      <c r="D355" s="35"/>
      <c r="E355" s="35"/>
      <c r="F355" s="35"/>
      <c r="G355" s="35"/>
      <c r="H355" s="35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ht="15" customHeight="1">
      <c r="A356" s="13"/>
      <c r="B356" s="13"/>
      <c r="C356" s="35"/>
      <c r="D356" s="35"/>
      <c r="E356" s="35"/>
      <c r="F356" s="35"/>
      <c r="G356" s="35"/>
      <c r="H356" s="35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ht="15" customHeight="1">
      <c r="A357" s="13"/>
      <c r="B357" s="13"/>
      <c r="C357" s="35"/>
      <c r="D357" s="35"/>
      <c r="E357" s="35"/>
      <c r="F357" s="35"/>
      <c r="G357" s="35"/>
      <c r="H357" s="35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ht="15" customHeight="1">
      <c r="A358" s="13"/>
      <c r="B358" s="13"/>
      <c r="C358" s="35"/>
      <c r="D358" s="35"/>
      <c r="E358" s="35"/>
      <c r="F358" s="35"/>
      <c r="G358" s="35"/>
      <c r="H358" s="35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ht="15" customHeight="1">
      <c r="A359" s="13"/>
      <c r="B359" s="13"/>
      <c r="C359" s="35"/>
      <c r="D359" s="35"/>
      <c r="E359" s="35"/>
      <c r="F359" s="35"/>
      <c r="G359" s="35"/>
      <c r="H359" s="35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ht="15" customHeight="1">
      <c r="A360" s="13"/>
      <c r="B360" s="13"/>
      <c r="C360" s="35"/>
      <c r="D360" s="35"/>
      <c r="E360" s="35"/>
      <c r="F360" s="35"/>
      <c r="G360" s="35"/>
      <c r="H360" s="35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ht="15" customHeight="1">
      <c r="A361" s="13"/>
      <c r="B361" s="13"/>
      <c r="C361" s="35"/>
      <c r="D361" s="35"/>
      <c r="E361" s="35"/>
      <c r="F361" s="35"/>
      <c r="G361" s="35"/>
      <c r="H361" s="35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ht="15" customHeight="1">
      <c r="A362" s="13"/>
      <c r="B362" s="13"/>
      <c r="C362" s="35"/>
      <c r="D362" s="35"/>
      <c r="E362" s="35"/>
      <c r="F362" s="35"/>
      <c r="G362" s="35"/>
      <c r="H362" s="35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ht="15" customHeight="1">
      <c r="A363" s="13"/>
      <c r="B363" s="13"/>
      <c r="C363" s="35"/>
      <c r="D363" s="35"/>
      <c r="E363" s="35"/>
      <c r="F363" s="35"/>
      <c r="G363" s="35"/>
      <c r="H363" s="35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ht="15" customHeight="1">
      <c r="A364" s="13"/>
      <c r="B364" s="13"/>
      <c r="C364" s="35"/>
      <c r="D364" s="35"/>
      <c r="E364" s="35"/>
      <c r="F364" s="35"/>
      <c r="G364" s="35"/>
      <c r="H364" s="35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ht="15" customHeight="1">
      <c r="A365" s="13"/>
      <c r="B365" s="13"/>
      <c r="C365" s="35"/>
      <c r="D365" s="35"/>
      <c r="E365" s="35"/>
      <c r="F365" s="35"/>
      <c r="G365" s="35"/>
      <c r="H365" s="35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ht="15" customHeight="1">
      <c r="A366" s="13"/>
      <c r="B366" s="13"/>
      <c r="C366" s="35"/>
      <c r="D366" s="35"/>
      <c r="E366" s="35"/>
      <c r="F366" s="35"/>
      <c r="G366" s="35"/>
      <c r="H366" s="35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ht="15" customHeight="1">
      <c r="A367" s="13"/>
      <c r="B367" s="13"/>
      <c r="C367" s="35"/>
      <c r="D367" s="35"/>
      <c r="E367" s="35"/>
      <c r="F367" s="35"/>
      <c r="G367" s="35"/>
      <c r="H367" s="35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ht="15" customHeight="1">
      <c r="A368" s="13"/>
      <c r="B368" s="13"/>
      <c r="C368" s="35"/>
      <c r="D368" s="35"/>
      <c r="E368" s="35"/>
      <c r="F368" s="35"/>
      <c r="G368" s="35"/>
      <c r="H368" s="35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ht="15" customHeight="1">
      <c r="A369" s="13"/>
      <c r="B369" s="13"/>
      <c r="C369" s="35"/>
      <c r="D369" s="35"/>
      <c r="E369" s="35"/>
      <c r="F369" s="35"/>
      <c r="G369" s="35"/>
      <c r="H369" s="35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ht="15" customHeight="1">
      <c r="A370" s="13"/>
      <c r="B370" s="13"/>
      <c r="C370" s="35"/>
      <c r="D370" s="35"/>
      <c r="E370" s="35"/>
      <c r="F370" s="35"/>
      <c r="G370" s="35"/>
      <c r="H370" s="35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ht="15" customHeight="1">
      <c r="A371" s="13"/>
      <c r="B371" s="13"/>
      <c r="C371" s="35"/>
      <c r="D371" s="35"/>
      <c r="E371" s="35"/>
      <c r="F371" s="35"/>
      <c r="G371" s="35"/>
      <c r="H371" s="35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ht="15" customHeight="1">
      <c r="A372" s="13"/>
      <c r="B372" s="13"/>
      <c r="C372" s="35"/>
      <c r="D372" s="35"/>
      <c r="E372" s="35"/>
      <c r="F372" s="35"/>
      <c r="G372" s="35"/>
      <c r="H372" s="35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ht="15" customHeight="1">
      <c r="A373" s="13"/>
      <c r="B373" s="13"/>
      <c r="C373" s="35"/>
      <c r="D373" s="35"/>
      <c r="E373" s="35"/>
      <c r="F373" s="35"/>
      <c r="G373" s="35"/>
      <c r="H373" s="35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ht="15" customHeight="1">
      <c r="A374" s="13"/>
      <c r="B374" s="13"/>
      <c r="C374" s="35"/>
      <c r="D374" s="35"/>
      <c r="E374" s="35"/>
      <c r="F374" s="35"/>
      <c r="G374" s="35"/>
      <c r="H374" s="35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ht="15" customHeight="1">
      <c r="A375" s="13"/>
      <c r="B375" s="13"/>
      <c r="C375" s="35"/>
      <c r="D375" s="35"/>
      <c r="E375" s="35"/>
      <c r="F375" s="35"/>
      <c r="G375" s="35"/>
      <c r="H375" s="35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ht="15" customHeight="1">
      <c r="A376" s="13"/>
      <c r="B376" s="13"/>
      <c r="C376" s="35"/>
      <c r="D376" s="35"/>
      <c r="E376" s="35"/>
      <c r="F376" s="35"/>
      <c r="G376" s="35"/>
      <c r="H376" s="35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ht="15" customHeight="1">
      <c r="A377" s="13"/>
      <c r="B377" s="13"/>
      <c r="C377" s="35"/>
      <c r="D377" s="35"/>
      <c r="E377" s="35"/>
      <c r="F377" s="35"/>
      <c r="G377" s="35"/>
      <c r="H377" s="35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ht="15" customHeight="1">
      <c r="A378" s="13"/>
      <c r="B378" s="13"/>
      <c r="C378" s="35"/>
      <c r="D378" s="35"/>
      <c r="E378" s="35"/>
      <c r="F378" s="35"/>
      <c r="G378" s="35"/>
      <c r="H378" s="35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ht="15" customHeight="1">
      <c r="A379" s="13"/>
      <c r="B379" s="13"/>
      <c r="C379" s="35"/>
      <c r="D379" s="35"/>
      <c r="E379" s="35"/>
      <c r="F379" s="35"/>
      <c r="G379" s="35"/>
      <c r="H379" s="35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ht="15" customHeight="1">
      <c r="A380" s="13"/>
      <c r="B380" s="13"/>
      <c r="C380" s="35"/>
      <c r="D380" s="35"/>
      <c r="E380" s="35"/>
      <c r="F380" s="35"/>
      <c r="G380" s="35"/>
      <c r="H380" s="35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ht="15" customHeight="1">
      <c r="A381" s="13"/>
      <c r="B381" s="13"/>
      <c r="C381" s="35"/>
      <c r="D381" s="35"/>
      <c r="E381" s="35"/>
      <c r="F381" s="35"/>
      <c r="G381" s="35"/>
      <c r="H381" s="35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ht="15" customHeight="1">
      <c r="A382" s="13"/>
      <c r="B382" s="13"/>
      <c r="C382" s="35"/>
      <c r="D382" s="35"/>
      <c r="E382" s="35"/>
      <c r="F382" s="35"/>
      <c r="G382" s="35"/>
      <c r="H382" s="35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ht="15" customHeight="1">
      <c r="A383" s="13"/>
      <c r="B383" s="13"/>
      <c r="C383" s="35"/>
      <c r="D383" s="35"/>
      <c r="E383" s="35"/>
      <c r="F383" s="35"/>
      <c r="G383" s="35"/>
      <c r="H383" s="35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ht="15" customHeight="1">
      <c r="A384" s="13"/>
      <c r="B384" s="13"/>
      <c r="C384" s="35"/>
      <c r="D384" s="35"/>
      <c r="E384" s="35"/>
      <c r="F384" s="35"/>
      <c r="G384" s="35"/>
      <c r="H384" s="35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ht="15" customHeight="1">
      <c r="A385" s="13"/>
      <c r="B385" s="13"/>
      <c r="C385" s="35"/>
      <c r="D385" s="35"/>
      <c r="E385" s="35"/>
      <c r="F385" s="35"/>
      <c r="G385" s="35"/>
      <c r="H385" s="35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ht="15" customHeight="1">
      <c r="A386" s="13"/>
      <c r="B386" s="13"/>
      <c r="C386" s="35"/>
      <c r="D386" s="35"/>
      <c r="E386" s="35"/>
      <c r="F386" s="35"/>
      <c r="G386" s="35"/>
      <c r="H386" s="35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ht="15" customHeight="1">
      <c r="A387" s="13"/>
      <c r="B387" s="13"/>
      <c r="C387" s="35"/>
      <c r="D387" s="35"/>
      <c r="E387" s="35"/>
      <c r="F387" s="35"/>
      <c r="G387" s="35"/>
      <c r="H387" s="35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ht="15" customHeight="1">
      <c r="A388" s="13"/>
      <c r="B388" s="13"/>
      <c r="C388" s="35"/>
      <c r="D388" s="35"/>
      <c r="E388" s="35"/>
      <c r="F388" s="35"/>
      <c r="G388" s="35"/>
      <c r="H388" s="35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ht="15" customHeight="1">
      <c r="A389" s="13"/>
      <c r="B389" s="13"/>
      <c r="C389" s="35"/>
      <c r="D389" s="35"/>
      <c r="E389" s="35"/>
      <c r="F389" s="35"/>
      <c r="G389" s="35"/>
      <c r="H389" s="35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ht="15" customHeight="1">
      <c r="A390" s="13"/>
      <c r="B390" s="13"/>
      <c r="C390" s="35"/>
      <c r="D390" s="35"/>
      <c r="E390" s="35"/>
      <c r="F390" s="35"/>
      <c r="G390" s="35"/>
      <c r="H390" s="35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ht="15" customHeight="1">
      <c r="A391" s="13"/>
      <c r="B391" s="13"/>
      <c r="C391" s="35"/>
      <c r="D391" s="35"/>
      <c r="E391" s="35"/>
      <c r="F391" s="35"/>
      <c r="G391" s="35"/>
      <c r="H391" s="35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ht="15" customHeight="1">
      <c r="A392" s="13"/>
      <c r="B392" s="13"/>
      <c r="C392" s="35"/>
      <c r="D392" s="35"/>
      <c r="E392" s="35"/>
      <c r="F392" s="35"/>
      <c r="G392" s="35"/>
      <c r="H392" s="35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ht="15" customHeight="1">
      <c r="A393" s="13"/>
      <c r="B393" s="13"/>
      <c r="C393" s="35"/>
      <c r="D393" s="35"/>
      <c r="E393" s="35"/>
      <c r="F393" s="35"/>
      <c r="G393" s="35"/>
      <c r="H393" s="35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ht="15" customHeight="1">
      <c r="A394" s="13"/>
      <c r="B394" s="13"/>
      <c r="C394" s="35"/>
      <c r="D394" s="35"/>
      <c r="E394" s="35"/>
      <c r="F394" s="35"/>
      <c r="G394" s="35"/>
      <c r="H394" s="35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ht="15" customHeight="1">
      <c r="A395" s="13"/>
      <c r="B395" s="13"/>
      <c r="C395" s="35"/>
      <c r="D395" s="35"/>
      <c r="E395" s="35"/>
      <c r="F395" s="35"/>
      <c r="G395" s="35"/>
      <c r="H395" s="35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ht="15" customHeight="1">
      <c r="A396" s="13"/>
      <c r="B396" s="13"/>
      <c r="C396" s="35"/>
      <c r="D396" s="35"/>
      <c r="E396" s="35"/>
      <c r="F396" s="35"/>
      <c r="G396" s="35"/>
      <c r="H396" s="35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ht="15" customHeight="1">
      <c r="A397" s="13"/>
      <c r="B397" s="13"/>
      <c r="C397" s="35"/>
      <c r="D397" s="35"/>
      <c r="E397" s="35"/>
      <c r="F397" s="35"/>
      <c r="G397" s="35"/>
      <c r="H397" s="35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ht="15" customHeight="1">
      <c r="A398" s="13"/>
      <c r="B398" s="13"/>
      <c r="C398" s="35"/>
      <c r="D398" s="35"/>
      <c r="E398" s="35"/>
      <c r="F398" s="35"/>
      <c r="G398" s="35"/>
      <c r="H398" s="35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ht="15" customHeight="1">
      <c r="A399" s="13"/>
      <c r="B399" s="13"/>
      <c r="C399" s="35"/>
      <c r="D399" s="35"/>
      <c r="E399" s="35"/>
      <c r="F399" s="35"/>
      <c r="G399" s="35"/>
      <c r="H399" s="35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ht="15" customHeight="1">
      <c r="A400" s="13"/>
      <c r="B400" s="13"/>
      <c r="C400" s="35"/>
      <c r="D400" s="35"/>
      <c r="E400" s="35"/>
      <c r="F400" s="35"/>
      <c r="G400" s="35"/>
      <c r="H400" s="35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ht="15" customHeight="1">
      <c r="A401" s="13"/>
      <c r="B401" s="13"/>
      <c r="C401" s="35"/>
      <c r="D401" s="35"/>
      <c r="E401" s="35"/>
      <c r="F401" s="35"/>
      <c r="G401" s="35"/>
      <c r="H401" s="35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ht="15" customHeight="1">
      <c r="A402" s="13"/>
      <c r="B402" s="13"/>
      <c r="C402" s="35"/>
      <c r="D402" s="35"/>
      <c r="E402" s="35"/>
      <c r="F402" s="35"/>
      <c r="G402" s="35"/>
      <c r="H402" s="35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ht="15" customHeight="1">
      <c r="A403" s="13"/>
      <c r="B403" s="13"/>
      <c r="C403" s="35"/>
      <c r="D403" s="35"/>
      <c r="E403" s="35"/>
      <c r="F403" s="35"/>
      <c r="G403" s="35"/>
      <c r="H403" s="35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ht="15" customHeight="1">
      <c r="A404" s="13"/>
      <c r="B404" s="13"/>
      <c r="C404" s="35"/>
      <c r="D404" s="35"/>
      <c r="E404" s="35"/>
      <c r="F404" s="35"/>
      <c r="G404" s="35"/>
      <c r="H404" s="35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ht="15" customHeight="1">
      <c r="A405" s="13"/>
      <c r="B405" s="13"/>
      <c r="C405" s="35"/>
      <c r="D405" s="35"/>
      <c r="E405" s="35"/>
      <c r="F405" s="35"/>
      <c r="G405" s="35"/>
      <c r="H405" s="35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ht="15" customHeight="1">
      <c r="A406" s="13"/>
      <c r="B406" s="13"/>
      <c r="C406" s="35"/>
      <c r="D406" s="35"/>
      <c r="E406" s="35"/>
      <c r="F406" s="35"/>
      <c r="G406" s="35"/>
      <c r="H406" s="35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ht="15" customHeight="1">
      <c r="A407" s="13"/>
      <c r="B407" s="13"/>
      <c r="C407" s="35"/>
      <c r="D407" s="35"/>
      <c r="E407" s="35"/>
      <c r="F407" s="35"/>
      <c r="G407" s="35"/>
      <c r="H407" s="35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ht="15" customHeight="1">
      <c r="A408" s="13"/>
      <c r="B408" s="13"/>
      <c r="C408" s="35"/>
      <c r="D408" s="35"/>
      <c r="E408" s="35"/>
      <c r="F408" s="35"/>
      <c r="G408" s="35"/>
      <c r="H408" s="35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ht="15" customHeight="1">
      <c r="A409" s="13"/>
      <c r="B409" s="13"/>
      <c r="C409" s="35"/>
      <c r="D409" s="35"/>
      <c r="E409" s="35"/>
      <c r="F409" s="35"/>
      <c r="G409" s="35"/>
      <c r="H409" s="35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ht="15" customHeight="1">
      <c r="A410" s="13"/>
      <c r="B410" s="13"/>
      <c r="C410" s="35"/>
      <c r="D410" s="35"/>
      <c r="E410" s="35"/>
      <c r="F410" s="35"/>
      <c r="G410" s="35"/>
      <c r="H410" s="35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ht="15" customHeight="1">
      <c r="A411" s="13"/>
      <c r="B411" s="13"/>
      <c r="C411" s="35"/>
      <c r="D411" s="35"/>
      <c r="E411" s="35"/>
      <c r="F411" s="35"/>
      <c r="G411" s="35"/>
      <c r="H411" s="35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ht="15" customHeight="1">
      <c r="A412" s="13"/>
      <c r="B412" s="13"/>
      <c r="C412" s="35"/>
      <c r="D412" s="35"/>
      <c r="E412" s="35"/>
      <c r="F412" s="35"/>
      <c r="G412" s="35"/>
      <c r="H412" s="35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ht="15" customHeight="1">
      <c r="A413" s="13"/>
      <c r="B413" s="13"/>
      <c r="C413" s="35"/>
      <c r="D413" s="35"/>
      <c r="E413" s="35"/>
      <c r="F413" s="35"/>
      <c r="G413" s="35"/>
      <c r="H413" s="35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ht="15" customHeight="1">
      <c r="A414" s="13"/>
      <c r="B414" s="13"/>
      <c r="C414" s="35"/>
      <c r="D414" s="35"/>
      <c r="E414" s="35"/>
      <c r="F414" s="35"/>
      <c r="G414" s="35"/>
      <c r="H414" s="35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ht="15" customHeight="1">
      <c r="A415" s="13"/>
      <c r="B415" s="13"/>
      <c r="C415" s="35"/>
      <c r="D415" s="35"/>
      <c r="E415" s="35"/>
      <c r="F415" s="35"/>
      <c r="G415" s="35"/>
      <c r="H415" s="35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ht="15" customHeight="1">
      <c r="A416" s="13"/>
      <c r="B416" s="13"/>
      <c r="C416" s="35"/>
      <c r="D416" s="35"/>
      <c r="E416" s="35"/>
      <c r="F416" s="35"/>
      <c r="G416" s="35"/>
      <c r="H416" s="35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ht="15" customHeight="1">
      <c r="A417" s="13"/>
      <c r="B417" s="13"/>
      <c r="C417" s="35"/>
      <c r="D417" s="35"/>
      <c r="E417" s="35"/>
      <c r="F417" s="35"/>
      <c r="G417" s="35"/>
      <c r="H417" s="35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ht="15" customHeight="1">
      <c r="A418" s="13"/>
      <c r="B418" s="13"/>
      <c r="C418" s="35"/>
      <c r="D418" s="35"/>
      <c r="E418" s="35"/>
      <c r="F418" s="35"/>
      <c r="G418" s="35"/>
      <c r="H418" s="35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ht="15" customHeight="1">
      <c r="A419" s="13"/>
      <c r="B419" s="13"/>
      <c r="C419" s="35"/>
      <c r="D419" s="35"/>
      <c r="E419" s="35"/>
      <c r="F419" s="35"/>
      <c r="G419" s="35"/>
      <c r="H419" s="35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ht="15" customHeight="1">
      <c r="A420" s="13"/>
      <c r="B420" s="13"/>
      <c r="C420" s="35"/>
      <c r="D420" s="35"/>
      <c r="E420" s="35"/>
      <c r="F420" s="35"/>
      <c r="G420" s="35"/>
      <c r="H420" s="35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ht="15" customHeight="1">
      <c r="A421" s="13"/>
      <c r="B421" s="13"/>
      <c r="C421" s="35"/>
      <c r="D421" s="35"/>
      <c r="E421" s="35"/>
      <c r="F421" s="35"/>
      <c r="G421" s="35"/>
      <c r="H421" s="35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ht="15" customHeight="1">
      <c r="A422" s="13"/>
      <c r="B422" s="13"/>
      <c r="C422" s="35"/>
      <c r="D422" s="35"/>
      <c r="E422" s="35"/>
      <c r="F422" s="35"/>
      <c r="G422" s="35"/>
      <c r="H422" s="35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ht="15" customHeight="1">
      <c r="A423" s="13"/>
      <c r="B423" s="13"/>
      <c r="C423" s="35"/>
      <c r="D423" s="35"/>
      <c r="E423" s="35"/>
      <c r="F423" s="35"/>
      <c r="G423" s="35"/>
      <c r="H423" s="35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ht="15" customHeight="1">
      <c r="A424" s="13"/>
      <c r="B424" s="13"/>
      <c r="C424" s="35"/>
      <c r="D424" s="35"/>
      <c r="E424" s="35"/>
      <c r="F424" s="35"/>
      <c r="G424" s="35"/>
      <c r="H424" s="35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ht="15" customHeight="1">
      <c r="A425" s="13"/>
      <c r="B425" s="13"/>
      <c r="C425" s="35"/>
      <c r="D425" s="35"/>
      <c r="E425" s="35"/>
      <c r="F425" s="35"/>
      <c r="G425" s="35"/>
      <c r="H425" s="35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ht="15" customHeight="1">
      <c r="A426" s="13"/>
      <c r="B426" s="13"/>
      <c r="C426" s="35"/>
      <c r="D426" s="35"/>
      <c r="E426" s="35"/>
      <c r="F426" s="35"/>
      <c r="G426" s="35"/>
      <c r="H426" s="35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ht="15" customHeight="1">
      <c r="A427" s="13"/>
      <c r="B427" s="13"/>
      <c r="C427" s="35"/>
      <c r="D427" s="35"/>
      <c r="E427" s="35"/>
      <c r="F427" s="35"/>
      <c r="G427" s="35"/>
      <c r="H427" s="35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ht="15" customHeight="1">
      <c r="A428" s="13"/>
      <c r="B428" s="13"/>
      <c r="C428" s="35"/>
      <c r="D428" s="35"/>
      <c r="E428" s="35"/>
      <c r="F428" s="35"/>
      <c r="G428" s="35"/>
      <c r="H428" s="35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ht="15" customHeight="1">
      <c r="A429" s="13"/>
      <c r="B429" s="13"/>
      <c r="C429" s="35"/>
      <c r="D429" s="35"/>
      <c r="E429" s="35"/>
      <c r="F429" s="35"/>
      <c r="G429" s="35"/>
      <c r="H429" s="35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ht="15" customHeight="1">
      <c r="A430" s="13"/>
      <c r="B430" s="13"/>
      <c r="C430" s="35"/>
      <c r="D430" s="35"/>
      <c r="E430" s="35"/>
      <c r="F430" s="35"/>
      <c r="G430" s="35"/>
      <c r="H430" s="35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ht="15" customHeight="1">
      <c r="A431" s="13"/>
      <c r="B431" s="13"/>
      <c r="C431" s="35"/>
      <c r="D431" s="35"/>
      <c r="E431" s="35"/>
      <c r="F431" s="35"/>
      <c r="G431" s="35"/>
      <c r="H431" s="35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ht="15" customHeight="1">
      <c r="A432" s="13"/>
      <c r="B432" s="13"/>
      <c r="C432" s="35"/>
      <c r="D432" s="35"/>
      <c r="E432" s="35"/>
      <c r="F432" s="35"/>
      <c r="G432" s="35"/>
      <c r="H432" s="35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ht="15" customHeight="1">
      <c r="A433" s="13"/>
      <c r="B433" s="13"/>
      <c r="C433" s="35"/>
      <c r="D433" s="35"/>
      <c r="E433" s="35"/>
      <c r="F433" s="35"/>
      <c r="G433" s="35"/>
      <c r="H433" s="35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ht="15" customHeight="1">
      <c r="A434" s="13"/>
      <c r="B434" s="13"/>
      <c r="C434" s="35"/>
      <c r="D434" s="35"/>
      <c r="E434" s="35"/>
      <c r="F434" s="35"/>
      <c r="G434" s="35"/>
      <c r="H434" s="35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ht="15" customHeight="1">
      <c r="A435" s="13"/>
      <c r="B435" s="13"/>
      <c r="C435" s="35"/>
      <c r="D435" s="35"/>
      <c r="E435" s="35"/>
      <c r="F435" s="35"/>
      <c r="G435" s="35"/>
      <c r="H435" s="35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ht="15" customHeight="1">
      <c r="A436" s="13"/>
      <c r="B436" s="13"/>
      <c r="C436" s="35"/>
      <c r="D436" s="35"/>
      <c r="E436" s="35"/>
      <c r="F436" s="35"/>
      <c r="G436" s="35"/>
      <c r="H436" s="35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ht="15" customHeight="1">
      <c r="A437" s="13"/>
      <c r="B437" s="13"/>
      <c r="C437" s="35"/>
      <c r="D437" s="35"/>
      <c r="E437" s="35"/>
      <c r="F437" s="35"/>
      <c r="G437" s="35"/>
      <c r="H437" s="35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ht="15" customHeight="1">
      <c r="A438" s="13"/>
      <c r="B438" s="13"/>
      <c r="C438" s="35"/>
      <c r="D438" s="35"/>
      <c r="E438" s="35"/>
      <c r="F438" s="35"/>
      <c r="G438" s="35"/>
      <c r="H438" s="35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ht="15" customHeight="1">
      <c r="A439" s="13"/>
      <c r="B439" s="13"/>
      <c r="C439" s="35"/>
      <c r="D439" s="35"/>
      <c r="E439" s="35"/>
      <c r="F439" s="35"/>
      <c r="G439" s="35"/>
      <c r="H439" s="35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ht="15" customHeight="1">
      <c r="A440" s="13"/>
      <c r="B440" s="13"/>
      <c r="C440" s="35"/>
      <c r="D440" s="35"/>
      <c r="E440" s="35"/>
      <c r="F440" s="35"/>
      <c r="G440" s="35"/>
      <c r="H440" s="35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ht="15" customHeight="1">
      <c r="A441" s="13"/>
      <c r="B441" s="13"/>
      <c r="C441" s="35"/>
      <c r="D441" s="35"/>
      <c r="E441" s="35"/>
      <c r="F441" s="35"/>
      <c r="G441" s="35"/>
      <c r="H441" s="35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ht="15" customHeight="1">
      <c r="A442" s="13"/>
      <c r="B442" s="13"/>
      <c r="C442" s="35"/>
      <c r="D442" s="35"/>
      <c r="E442" s="35"/>
      <c r="F442" s="35"/>
      <c r="G442" s="35"/>
      <c r="H442" s="35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ht="15" customHeight="1">
      <c r="A443" s="13"/>
      <c r="B443" s="13"/>
      <c r="C443" s="35"/>
      <c r="D443" s="35"/>
      <c r="E443" s="35"/>
      <c r="F443" s="35"/>
      <c r="G443" s="35"/>
      <c r="H443" s="35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ht="15" customHeight="1">
      <c r="A444" s="13"/>
      <c r="B444" s="13"/>
      <c r="C444" s="35"/>
      <c r="D444" s="35"/>
      <c r="E444" s="35"/>
      <c r="F444" s="35"/>
      <c r="G444" s="35"/>
      <c r="H444" s="35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ht="15" customHeight="1">
      <c r="A445" s="13"/>
      <c r="B445" s="13"/>
      <c r="C445" s="35"/>
      <c r="D445" s="35"/>
      <c r="E445" s="35"/>
      <c r="F445" s="35"/>
      <c r="G445" s="35"/>
      <c r="H445" s="35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ht="15" customHeight="1">
      <c r="A446" s="13"/>
      <c r="B446" s="13"/>
      <c r="C446" s="35"/>
      <c r="D446" s="35"/>
      <c r="E446" s="35"/>
      <c r="F446" s="35"/>
      <c r="G446" s="35"/>
      <c r="H446" s="35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ht="15" customHeight="1">
      <c r="A447" s="13"/>
      <c r="B447" s="13"/>
      <c r="C447" s="35"/>
      <c r="D447" s="35"/>
      <c r="E447" s="35"/>
      <c r="F447" s="35"/>
      <c r="G447" s="35"/>
      <c r="H447" s="35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ht="15" customHeight="1">
      <c r="A448" s="13"/>
      <c r="B448" s="13"/>
      <c r="C448" s="35"/>
      <c r="D448" s="35"/>
      <c r="E448" s="35"/>
      <c r="F448" s="35"/>
      <c r="G448" s="35"/>
      <c r="H448" s="35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ht="15" customHeight="1">
      <c r="A449" s="13"/>
      <c r="B449" s="13"/>
      <c r="C449" s="35"/>
      <c r="D449" s="35"/>
      <c r="E449" s="35"/>
      <c r="F449" s="35"/>
      <c r="G449" s="35"/>
      <c r="H449" s="35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ht="15" customHeight="1">
      <c r="A450" s="13"/>
      <c r="B450" s="13"/>
      <c r="C450" s="35"/>
      <c r="D450" s="35"/>
      <c r="E450" s="35"/>
      <c r="F450" s="35"/>
      <c r="G450" s="35"/>
      <c r="H450" s="35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ht="15" customHeight="1">
      <c r="A451" s="13"/>
      <c r="B451" s="13"/>
      <c r="C451" s="35"/>
      <c r="D451" s="35"/>
      <c r="E451" s="35"/>
      <c r="F451" s="35"/>
      <c r="G451" s="35"/>
      <c r="H451" s="35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ht="15" customHeight="1">
      <c r="A452" s="13"/>
      <c r="B452" s="13"/>
      <c r="C452" s="35"/>
      <c r="D452" s="35"/>
      <c r="E452" s="35"/>
      <c r="F452" s="35"/>
      <c r="G452" s="35"/>
      <c r="H452" s="35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ht="15" customHeight="1">
      <c r="A453" s="13"/>
      <c r="B453" s="13"/>
      <c r="C453" s="35"/>
      <c r="D453" s="35"/>
      <c r="E453" s="35"/>
      <c r="F453" s="35"/>
      <c r="G453" s="35"/>
      <c r="H453" s="35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ht="15" customHeight="1">
      <c r="A454" s="13"/>
      <c r="B454" s="13"/>
      <c r="C454" s="35"/>
      <c r="D454" s="35"/>
      <c r="E454" s="35"/>
      <c r="F454" s="35"/>
      <c r="G454" s="35"/>
      <c r="H454" s="35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ht="15" customHeight="1">
      <c r="A455" s="13"/>
      <c r="B455" s="13"/>
      <c r="C455" s="35"/>
      <c r="D455" s="35"/>
      <c r="E455" s="35"/>
      <c r="F455" s="35"/>
      <c r="G455" s="35"/>
      <c r="H455" s="35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ht="15" customHeight="1">
      <c r="A456" s="13"/>
      <c r="B456" s="13"/>
      <c r="C456" s="35"/>
      <c r="D456" s="35"/>
      <c r="E456" s="35"/>
      <c r="F456" s="35"/>
      <c r="G456" s="35"/>
      <c r="H456" s="35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spans="1:20" ht="15" customHeight="1">
      <c r="A457" s="13"/>
      <c r="B457" s="13"/>
      <c r="C457" s="35"/>
      <c r="D457" s="35"/>
      <c r="E457" s="35"/>
      <c r="F457" s="35"/>
      <c r="G457" s="35"/>
      <c r="H457" s="35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spans="1:20" ht="15" customHeight="1">
      <c r="A458" s="13"/>
      <c r="B458" s="13"/>
      <c r="C458" s="35"/>
      <c r="D458" s="35"/>
      <c r="E458" s="35"/>
      <c r="F458" s="35"/>
      <c r="G458" s="35"/>
      <c r="H458" s="35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spans="1:20" ht="15" customHeight="1">
      <c r="A459" s="13"/>
      <c r="B459" s="13"/>
      <c r="C459" s="35"/>
      <c r="D459" s="35"/>
      <c r="E459" s="35"/>
      <c r="F459" s="35"/>
      <c r="G459" s="35"/>
      <c r="H459" s="35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spans="1:20" ht="15" customHeight="1">
      <c r="A460" s="13"/>
      <c r="B460" s="13"/>
      <c r="C460" s="35"/>
      <c r="D460" s="35"/>
      <c r="E460" s="35"/>
      <c r="F460" s="35"/>
      <c r="G460" s="35"/>
      <c r="H460" s="35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spans="1:20" ht="15" customHeight="1">
      <c r="A461" s="13"/>
      <c r="B461" s="13"/>
      <c r="C461" s="35"/>
      <c r="D461" s="35"/>
      <c r="E461" s="35"/>
      <c r="F461" s="35"/>
      <c r="G461" s="35"/>
      <c r="H461" s="35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spans="1:20" ht="15" customHeight="1">
      <c r="A462" s="13"/>
      <c r="B462" s="13"/>
      <c r="C462" s="35"/>
      <c r="D462" s="35"/>
      <c r="E462" s="35"/>
      <c r="F462" s="35"/>
      <c r="G462" s="35"/>
      <c r="H462" s="35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spans="1:20" ht="15" customHeight="1">
      <c r="A463" s="13"/>
      <c r="B463" s="13"/>
      <c r="C463" s="35"/>
      <c r="D463" s="35"/>
      <c r="E463" s="35"/>
      <c r="F463" s="35"/>
      <c r="G463" s="35"/>
      <c r="H463" s="35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spans="1:20" ht="15" customHeight="1">
      <c r="A464" s="13"/>
      <c r="B464" s="13"/>
      <c r="C464" s="35"/>
      <c r="D464" s="35"/>
      <c r="E464" s="35"/>
      <c r="F464" s="35"/>
      <c r="G464" s="35"/>
      <c r="H464" s="35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spans="1:20" ht="15" customHeight="1">
      <c r="A465" s="13"/>
      <c r="B465" s="13"/>
      <c r="C465" s="35"/>
      <c r="D465" s="35"/>
      <c r="E465" s="35"/>
      <c r="F465" s="35"/>
      <c r="G465" s="35"/>
      <c r="H465" s="35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spans="1:20" ht="15" customHeight="1">
      <c r="A466" s="13"/>
      <c r="B466" s="13"/>
      <c r="C466" s="35"/>
      <c r="D466" s="35"/>
      <c r="E466" s="35"/>
      <c r="F466" s="35"/>
      <c r="G466" s="35"/>
      <c r="H466" s="35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spans="1:20" ht="15" customHeight="1">
      <c r="A467" s="13"/>
      <c r="B467" s="13"/>
      <c r="C467" s="35"/>
      <c r="D467" s="35"/>
      <c r="E467" s="35"/>
      <c r="F467" s="35"/>
      <c r="G467" s="35"/>
      <c r="H467" s="35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spans="1:20" ht="15" customHeight="1">
      <c r="A468" s="13"/>
      <c r="B468" s="13"/>
      <c r="C468" s="35"/>
      <c r="D468" s="35"/>
      <c r="E468" s="35"/>
      <c r="F468" s="35"/>
      <c r="G468" s="35"/>
      <c r="H468" s="35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spans="1:20" ht="15" customHeight="1">
      <c r="A469" s="13"/>
      <c r="B469" s="13"/>
      <c r="C469" s="35"/>
      <c r="D469" s="35"/>
      <c r="E469" s="35"/>
      <c r="F469" s="35"/>
      <c r="G469" s="35"/>
      <c r="H469" s="35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spans="1:20" ht="15" customHeight="1">
      <c r="A470" s="13"/>
      <c r="B470" s="13"/>
      <c r="C470" s="35"/>
      <c r="D470" s="35"/>
      <c r="E470" s="35"/>
      <c r="F470" s="35"/>
      <c r="G470" s="35"/>
      <c r="H470" s="35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spans="1:20" ht="15" customHeight="1">
      <c r="A471" s="13"/>
      <c r="B471" s="13"/>
      <c r="C471" s="35"/>
      <c r="D471" s="35"/>
      <c r="E471" s="35"/>
      <c r="F471" s="35"/>
      <c r="G471" s="35"/>
      <c r="H471" s="35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spans="1:20" ht="15" customHeight="1">
      <c r="A472" s="13"/>
      <c r="B472" s="13"/>
      <c r="C472" s="35"/>
      <c r="D472" s="35"/>
      <c r="E472" s="35"/>
      <c r="F472" s="35"/>
      <c r="G472" s="35"/>
      <c r="H472" s="35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spans="1:20" ht="15" customHeight="1">
      <c r="A473" s="13"/>
      <c r="B473" s="13"/>
      <c r="C473" s="35"/>
      <c r="D473" s="35"/>
      <c r="E473" s="35"/>
      <c r="F473" s="35"/>
      <c r="G473" s="35"/>
      <c r="H473" s="35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spans="1:20" ht="15" customHeight="1">
      <c r="A474" s="13"/>
      <c r="B474" s="13"/>
      <c r="C474" s="35"/>
      <c r="D474" s="35"/>
      <c r="E474" s="35"/>
      <c r="F474" s="35"/>
      <c r="G474" s="35"/>
      <c r="H474" s="35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spans="1:20" ht="15" customHeight="1">
      <c r="A475" s="13"/>
      <c r="B475" s="13"/>
      <c r="C475" s="35"/>
      <c r="D475" s="35"/>
      <c r="E475" s="35"/>
      <c r="F475" s="35"/>
      <c r="G475" s="35"/>
      <c r="H475" s="35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spans="1:20" ht="15" customHeight="1">
      <c r="A476" s="13"/>
      <c r="B476" s="13"/>
      <c r="C476" s="35"/>
      <c r="D476" s="35"/>
      <c r="E476" s="35"/>
      <c r="F476" s="35"/>
      <c r="G476" s="35"/>
      <c r="H476" s="35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spans="1:20" ht="15" customHeight="1">
      <c r="A477" s="13"/>
      <c r="B477" s="13"/>
      <c r="C477" s="35"/>
      <c r="D477" s="35"/>
      <c r="E477" s="35"/>
      <c r="F477" s="35"/>
      <c r="G477" s="35"/>
      <c r="H477" s="35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spans="1:20" ht="15" customHeight="1">
      <c r="A478" s="13"/>
      <c r="B478" s="13"/>
      <c r="C478" s="35"/>
      <c r="D478" s="35"/>
      <c r="E478" s="35"/>
      <c r="F478" s="35"/>
      <c r="G478" s="35"/>
      <c r="H478" s="35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spans="1:20" ht="15" customHeight="1">
      <c r="A479" s="13"/>
      <c r="B479" s="13"/>
      <c r="C479" s="35"/>
      <c r="D479" s="35"/>
      <c r="E479" s="35"/>
      <c r="F479" s="35"/>
      <c r="G479" s="35"/>
      <c r="H479" s="35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spans="1:20" ht="15" customHeight="1">
      <c r="A480" s="13"/>
      <c r="B480" s="13"/>
      <c r="C480" s="35"/>
      <c r="D480" s="35"/>
      <c r="E480" s="35"/>
      <c r="F480" s="35"/>
      <c r="G480" s="35"/>
      <c r="H480" s="35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spans="1:20" ht="15" customHeight="1">
      <c r="A481" s="13"/>
      <c r="B481" s="13"/>
      <c r="C481" s="35"/>
      <c r="D481" s="35"/>
      <c r="E481" s="35"/>
      <c r="F481" s="35"/>
      <c r="G481" s="35"/>
      <c r="H481" s="35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spans="1:20" ht="15" customHeight="1">
      <c r="A482" s="13"/>
      <c r="B482" s="13"/>
      <c r="C482" s="35"/>
      <c r="D482" s="35"/>
      <c r="E482" s="35"/>
      <c r="F482" s="35"/>
      <c r="G482" s="35"/>
      <c r="H482" s="35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spans="1:20" ht="15" customHeight="1">
      <c r="A483" s="13"/>
      <c r="B483" s="13"/>
      <c r="C483" s="35"/>
      <c r="D483" s="35"/>
      <c r="E483" s="35"/>
      <c r="F483" s="35"/>
      <c r="G483" s="35"/>
      <c r="H483" s="35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spans="1:20" ht="15" customHeight="1">
      <c r="A484" s="13"/>
      <c r="B484" s="13"/>
      <c r="C484" s="35"/>
      <c r="D484" s="35"/>
      <c r="E484" s="35"/>
      <c r="F484" s="35"/>
      <c r="G484" s="35"/>
      <c r="H484" s="35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spans="1:20" ht="15" customHeight="1">
      <c r="A485" s="13"/>
      <c r="B485" s="13"/>
      <c r="C485" s="35"/>
      <c r="D485" s="35"/>
      <c r="E485" s="35"/>
      <c r="F485" s="35"/>
      <c r="G485" s="35"/>
      <c r="H485" s="35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spans="1:20" ht="15" customHeight="1">
      <c r="A486" s="13"/>
      <c r="B486" s="13"/>
      <c r="C486" s="35"/>
      <c r="D486" s="35"/>
      <c r="E486" s="35"/>
      <c r="F486" s="35"/>
      <c r="G486" s="35"/>
      <c r="H486" s="35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spans="1:20" ht="15" customHeight="1">
      <c r="A487" s="13"/>
      <c r="B487" s="13"/>
      <c r="C487" s="35"/>
      <c r="D487" s="35"/>
      <c r="E487" s="35"/>
      <c r="F487" s="35"/>
      <c r="G487" s="35"/>
      <c r="H487" s="35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spans="1:20" ht="15" customHeight="1">
      <c r="A488" s="13"/>
      <c r="B488" s="13"/>
      <c r="C488" s="35"/>
      <c r="D488" s="35"/>
      <c r="E488" s="35"/>
      <c r="F488" s="35"/>
      <c r="G488" s="35"/>
      <c r="H488" s="35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spans="1:20" ht="15" customHeight="1">
      <c r="A489" s="13"/>
      <c r="B489" s="13"/>
      <c r="C489" s="35"/>
      <c r="D489" s="35"/>
      <c r="E489" s="35"/>
      <c r="F489" s="35"/>
      <c r="G489" s="35"/>
      <c r="H489" s="35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spans="1:20" ht="15" customHeight="1">
      <c r="A490" s="13"/>
      <c r="B490" s="13"/>
      <c r="C490" s="35"/>
      <c r="D490" s="35"/>
      <c r="E490" s="35"/>
      <c r="F490" s="35"/>
      <c r="G490" s="35"/>
      <c r="H490" s="35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spans="1:20" ht="15" customHeight="1">
      <c r="A491" s="13"/>
      <c r="B491" s="13"/>
      <c r="C491" s="35"/>
      <c r="D491" s="35"/>
      <c r="E491" s="35"/>
      <c r="F491" s="35"/>
      <c r="G491" s="35"/>
      <c r="H491" s="35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spans="1:20" ht="15" customHeight="1">
      <c r="A492" s="13"/>
      <c r="B492" s="13"/>
      <c r="C492" s="35"/>
      <c r="D492" s="35"/>
      <c r="E492" s="35"/>
      <c r="F492" s="35"/>
      <c r="G492" s="35"/>
      <c r="H492" s="35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spans="1:20" ht="15" customHeight="1">
      <c r="A493" s="13"/>
      <c r="B493" s="13"/>
      <c r="C493" s="35"/>
      <c r="D493" s="35"/>
      <c r="E493" s="35"/>
      <c r="F493" s="35"/>
      <c r="G493" s="35"/>
      <c r="H493" s="35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spans="1:20" ht="15" customHeight="1">
      <c r="A494" s="13"/>
      <c r="B494" s="13"/>
      <c r="C494" s="35"/>
      <c r="D494" s="35"/>
      <c r="E494" s="35"/>
      <c r="F494" s="35"/>
      <c r="G494" s="35"/>
      <c r="H494" s="35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spans="1:20" ht="15" customHeight="1">
      <c r="A495" s="13"/>
      <c r="B495" s="13"/>
      <c r="C495" s="35"/>
      <c r="D495" s="35"/>
      <c r="E495" s="35"/>
      <c r="F495" s="35"/>
      <c r="G495" s="35"/>
      <c r="H495" s="35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spans="1:20" ht="15" customHeight="1">
      <c r="A496" s="13"/>
      <c r="B496" s="13"/>
      <c r="C496" s="35"/>
      <c r="D496" s="35"/>
      <c r="E496" s="35"/>
      <c r="F496" s="35"/>
      <c r="G496" s="35"/>
      <c r="H496" s="35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spans="1:20" ht="15" customHeight="1">
      <c r="A497" s="13"/>
      <c r="B497" s="13"/>
      <c r="C497" s="35"/>
      <c r="D497" s="35"/>
      <c r="E497" s="35"/>
      <c r="F497" s="35"/>
      <c r="G497" s="35"/>
      <c r="H497" s="35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spans="1:20" ht="15" customHeight="1">
      <c r="A498" s="13"/>
      <c r="B498" s="13"/>
      <c r="C498" s="35"/>
      <c r="D498" s="35"/>
      <c r="E498" s="35"/>
      <c r="F498" s="35"/>
      <c r="G498" s="35"/>
      <c r="H498" s="35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spans="1:20" ht="15" customHeight="1">
      <c r="A499" s="13"/>
      <c r="B499" s="13"/>
      <c r="C499" s="35"/>
      <c r="D499" s="35"/>
      <c r="E499" s="35"/>
      <c r="F499" s="35"/>
      <c r="G499" s="35"/>
      <c r="H499" s="35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pans="1:20" ht="15" customHeight="1">
      <c r="A500" s="13"/>
      <c r="B500" s="13"/>
      <c r="C500" s="35"/>
      <c r="D500" s="35"/>
      <c r="E500" s="35"/>
      <c r="F500" s="35"/>
      <c r="G500" s="35"/>
      <c r="H500" s="35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spans="1:20" ht="15" customHeight="1">
      <c r="A501" s="13"/>
      <c r="B501" s="13"/>
      <c r="C501" s="35"/>
      <c r="D501" s="35"/>
      <c r="E501" s="35"/>
      <c r="F501" s="35"/>
      <c r="G501" s="35"/>
      <c r="H501" s="35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spans="1:20" ht="15" customHeight="1">
      <c r="A502" s="13"/>
      <c r="B502" s="13"/>
      <c r="C502" s="35"/>
      <c r="D502" s="35"/>
      <c r="E502" s="35"/>
      <c r="F502" s="35"/>
      <c r="G502" s="35"/>
      <c r="H502" s="35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spans="1:20" ht="15" customHeight="1">
      <c r="A503" s="13"/>
      <c r="B503" s="13"/>
      <c r="C503" s="35"/>
      <c r="D503" s="35"/>
      <c r="E503" s="35"/>
      <c r="F503" s="35"/>
      <c r="G503" s="35"/>
      <c r="H503" s="35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spans="1:20" ht="15" customHeight="1">
      <c r="A504" s="13"/>
      <c r="B504" s="13"/>
      <c r="C504" s="35"/>
      <c r="D504" s="35"/>
      <c r="E504" s="35"/>
      <c r="F504" s="35"/>
      <c r="G504" s="35"/>
      <c r="H504" s="35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spans="1:20" ht="15" customHeight="1">
      <c r="A505" s="13"/>
      <c r="B505" s="13"/>
      <c r="C505" s="35"/>
      <c r="D505" s="35"/>
      <c r="E505" s="35"/>
      <c r="F505" s="35"/>
      <c r="G505" s="35"/>
      <c r="H505" s="35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spans="1:20" ht="15" customHeight="1">
      <c r="A506" s="13"/>
      <c r="B506" s="13"/>
      <c r="C506" s="35"/>
      <c r="D506" s="35"/>
      <c r="E506" s="35"/>
      <c r="F506" s="35"/>
      <c r="G506" s="35"/>
      <c r="H506" s="35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spans="1:20" ht="15" customHeight="1">
      <c r="A507" s="13"/>
      <c r="B507" s="13"/>
      <c r="C507" s="35"/>
      <c r="D507" s="35"/>
      <c r="E507" s="35"/>
      <c r="F507" s="35"/>
      <c r="G507" s="35"/>
      <c r="H507" s="35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spans="1:20" ht="15" customHeight="1">
      <c r="A508" s="13"/>
      <c r="B508" s="13"/>
      <c r="C508" s="35"/>
      <c r="D508" s="35"/>
      <c r="E508" s="35"/>
      <c r="F508" s="35"/>
      <c r="G508" s="35"/>
      <c r="H508" s="35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spans="1:20" ht="15" customHeight="1">
      <c r="A509" s="13"/>
      <c r="B509" s="13"/>
      <c r="C509" s="35"/>
      <c r="D509" s="35"/>
      <c r="E509" s="35"/>
      <c r="F509" s="35"/>
      <c r="G509" s="35"/>
      <c r="H509" s="35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spans="1:20" ht="15" customHeight="1">
      <c r="A510" s="13"/>
      <c r="B510" s="13"/>
      <c r="C510" s="35"/>
      <c r="D510" s="35"/>
      <c r="E510" s="35"/>
      <c r="F510" s="35"/>
      <c r="G510" s="35"/>
      <c r="H510" s="35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spans="1:20" ht="15" customHeight="1">
      <c r="A511" s="13"/>
      <c r="B511" s="13"/>
      <c r="C511" s="35"/>
      <c r="D511" s="35"/>
      <c r="E511" s="35"/>
      <c r="F511" s="35"/>
      <c r="G511" s="35"/>
      <c r="H511" s="35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spans="1:20" ht="15" customHeight="1">
      <c r="A512" s="13"/>
      <c r="B512" s="13"/>
      <c r="C512" s="35"/>
      <c r="D512" s="35"/>
      <c r="E512" s="35"/>
      <c r="F512" s="35"/>
      <c r="G512" s="35"/>
      <c r="H512" s="35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spans="1:20" ht="15" customHeight="1">
      <c r="A513" s="13"/>
      <c r="B513" s="13"/>
      <c r="C513" s="35"/>
      <c r="D513" s="35"/>
      <c r="E513" s="35"/>
      <c r="F513" s="35"/>
      <c r="G513" s="35"/>
      <c r="H513" s="35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spans="1:20" ht="15" customHeight="1">
      <c r="A514" s="13"/>
      <c r="B514" s="13"/>
      <c r="C514" s="35"/>
      <c r="D514" s="35"/>
      <c r="E514" s="35"/>
      <c r="F514" s="35"/>
      <c r="G514" s="35"/>
      <c r="H514" s="35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spans="1:20" ht="15" customHeight="1">
      <c r="A515" s="13"/>
      <c r="B515" s="13"/>
      <c r="C515" s="35"/>
      <c r="D515" s="35"/>
      <c r="E515" s="35"/>
      <c r="F515" s="35"/>
      <c r="G515" s="35"/>
      <c r="H515" s="35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spans="1:20" ht="15" customHeight="1">
      <c r="A516" s="13"/>
      <c r="B516" s="13"/>
      <c r="C516" s="35"/>
      <c r="D516" s="35"/>
      <c r="E516" s="35"/>
      <c r="F516" s="35"/>
      <c r="G516" s="35"/>
      <c r="H516" s="35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spans="1:20" ht="15" customHeight="1">
      <c r="A517" s="13"/>
      <c r="B517" s="13"/>
      <c r="C517" s="35"/>
      <c r="D517" s="35"/>
      <c r="E517" s="35"/>
      <c r="F517" s="35"/>
      <c r="G517" s="35"/>
      <c r="H517" s="35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spans="1:20" ht="15" customHeight="1">
      <c r="A518" s="13"/>
      <c r="B518" s="13"/>
      <c r="C518" s="35"/>
      <c r="D518" s="35"/>
      <c r="E518" s="35"/>
      <c r="F518" s="35"/>
      <c r="G518" s="35"/>
      <c r="H518" s="35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spans="1:20" ht="15" customHeight="1">
      <c r="A519" s="13"/>
      <c r="B519" s="13"/>
      <c r="C519" s="35"/>
      <c r="D519" s="35"/>
      <c r="E519" s="35"/>
      <c r="F519" s="35"/>
      <c r="G519" s="35"/>
      <c r="H519" s="35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spans="1:20" ht="15" customHeight="1">
      <c r="A520" s="13"/>
      <c r="B520" s="13"/>
      <c r="C520" s="35"/>
      <c r="D520" s="35"/>
      <c r="E520" s="35"/>
      <c r="F520" s="35"/>
      <c r="G520" s="35"/>
      <c r="H520" s="35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spans="1:20" ht="15" customHeight="1">
      <c r="A521" s="13"/>
      <c r="B521" s="13"/>
      <c r="C521" s="35"/>
      <c r="D521" s="35"/>
      <c r="E521" s="35"/>
      <c r="F521" s="35"/>
      <c r="G521" s="35"/>
      <c r="H521" s="35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spans="1:20" ht="15" customHeight="1">
      <c r="A522" s="13"/>
      <c r="B522" s="13"/>
      <c r="C522" s="35"/>
      <c r="D522" s="35"/>
      <c r="E522" s="35"/>
      <c r="F522" s="35"/>
      <c r="G522" s="35"/>
      <c r="H522" s="35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spans="1:20" ht="15" customHeight="1">
      <c r="A523" s="13"/>
      <c r="B523" s="13"/>
      <c r="C523" s="35"/>
      <c r="D523" s="35"/>
      <c r="E523" s="35"/>
      <c r="F523" s="35"/>
      <c r="G523" s="35"/>
      <c r="H523" s="35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spans="1:20" ht="15" customHeight="1">
      <c r="A524" s="13"/>
      <c r="B524" s="13"/>
      <c r="C524" s="35"/>
      <c r="D524" s="35"/>
      <c r="E524" s="35"/>
      <c r="F524" s="35"/>
      <c r="G524" s="35"/>
      <c r="H524" s="35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spans="1:20" ht="15" customHeight="1">
      <c r="A525" s="13"/>
      <c r="B525" s="13"/>
      <c r="C525" s="35"/>
      <c r="D525" s="35"/>
      <c r="E525" s="35"/>
      <c r="F525" s="35"/>
      <c r="G525" s="35"/>
      <c r="H525" s="35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spans="1:20" ht="15" customHeight="1">
      <c r="A526" s="13"/>
      <c r="B526" s="13"/>
      <c r="C526" s="35"/>
      <c r="D526" s="35"/>
      <c r="E526" s="35"/>
      <c r="F526" s="35"/>
      <c r="G526" s="35"/>
      <c r="H526" s="35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spans="1:20" ht="15" customHeight="1">
      <c r="A527" s="13"/>
      <c r="B527" s="13"/>
      <c r="C527" s="35"/>
      <c r="D527" s="35"/>
      <c r="E527" s="35"/>
      <c r="F527" s="35"/>
      <c r="G527" s="35"/>
      <c r="H527" s="35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spans="1:20" ht="15" customHeight="1">
      <c r="A528" s="13"/>
      <c r="B528" s="13"/>
      <c r="C528" s="35"/>
      <c r="D528" s="35"/>
      <c r="E528" s="35"/>
      <c r="F528" s="35"/>
      <c r="G528" s="35"/>
      <c r="H528" s="35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spans="1:20" ht="15" customHeight="1">
      <c r="A529" s="13"/>
      <c r="B529" s="13"/>
      <c r="C529" s="35"/>
      <c r="D529" s="35"/>
      <c r="E529" s="35"/>
      <c r="F529" s="35"/>
      <c r="G529" s="35"/>
      <c r="H529" s="35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spans="1:20" ht="15" customHeight="1">
      <c r="A530" s="13"/>
      <c r="B530" s="13"/>
      <c r="C530" s="35"/>
      <c r="D530" s="35"/>
      <c r="E530" s="35"/>
      <c r="F530" s="35"/>
      <c r="G530" s="35"/>
      <c r="H530" s="35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spans="1:20" ht="15" customHeight="1">
      <c r="A531" s="13"/>
      <c r="B531" s="13"/>
      <c r="C531" s="35"/>
      <c r="D531" s="35"/>
      <c r="E531" s="35"/>
      <c r="F531" s="35"/>
      <c r="G531" s="35"/>
      <c r="H531" s="35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spans="1:20" ht="15" customHeight="1">
      <c r="A532" s="13"/>
      <c r="B532" s="13"/>
      <c r="C532" s="35"/>
      <c r="D532" s="35"/>
      <c r="E532" s="35"/>
      <c r="F532" s="35"/>
      <c r="G532" s="35"/>
      <c r="H532" s="35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spans="1:20" ht="15" customHeight="1">
      <c r="A533" s="13"/>
      <c r="B533" s="13"/>
      <c r="C533" s="35"/>
      <c r="D533" s="35"/>
      <c r="E533" s="35"/>
      <c r="F533" s="35"/>
      <c r="G533" s="35"/>
      <c r="H533" s="35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spans="1:20" ht="15" customHeight="1">
      <c r="A534" s="13"/>
      <c r="B534" s="13"/>
      <c r="C534" s="35"/>
      <c r="D534" s="35"/>
      <c r="E534" s="35"/>
      <c r="F534" s="35"/>
      <c r="G534" s="35"/>
      <c r="H534" s="35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spans="1:20" ht="15" customHeight="1">
      <c r="A535" s="13"/>
      <c r="B535" s="13"/>
      <c r="C535" s="35"/>
      <c r="D535" s="35"/>
      <c r="E535" s="35"/>
      <c r="F535" s="35"/>
      <c r="G535" s="35"/>
      <c r="H535" s="35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spans="1:20" ht="15" customHeight="1">
      <c r="A536" s="13"/>
      <c r="B536" s="13"/>
      <c r="C536" s="35"/>
      <c r="D536" s="35"/>
      <c r="E536" s="35"/>
      <c r="F536" s="35"/>
      <c r="G536" s="35"/>
      <c r="H536" s="35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spans="1:20" ht="15" customHeight="1">
      <c r="A537" s="13"/>
      <c r="B537" s="13"/>
      <c r="C537" s="35"/>
      <c r="D537" s="35"/>
      <c r="E537" s="35"/>
      <c r="F537" s="35"/>
      <c r="G537" s="35"/>
      <c r="H537" s="35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spans="1:20" ht="15" customHeight="1">
      <c r="A538" s="13"/>
      <c r="B538" s="13"/>
      <c r="C538" s="35"/>
      <c r="D538" s="35"/>
      <c r="E538" s="35"/>
      <c r="F538" s="35"/>
      <c r="G538" s="35"/>
      <c r="H538" s="35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spans="1:20" ht="15" customHeight="1">
      <c r="A539" s="13"/>
      <c r="B539" s="13"/>
      <c r="C539" s="35"/>
      <c r="D539" s="35"/>
      <c r="E539" s="35"/>
      <c r="F539" s="35"/>
      <c r="G539" s="35"/>
      <c r="H539" s="35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spans="1:20" ht="15" customHeight="1">
      <c r="A540" s="13"/>
      <c r="B540" s="13"/>
      <c r="C540" s="35"/>
      <c r="D540" s="35"/>
      <c r="E540" s="35"/>
      <c r="F540" s="35"/>
      <c r="G540" s="35"/>
      <c r="H540" s="35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spans="1:20" ht="15" customHeight="1">
      <c r="A541" s="13"/>
      <c r="B541" s="13"/>
      <c r="C541" s="35"/>
      <c r="D541" s="35"/>
      <c r="E541" s="35"/>
      <c r="F541" s="35"/>
      <c r="G541" s="35"/>
      <c r="H541" s="35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spans="1:20" ht="15" customHeight="1">
      <c r="A542" s="13"/>
      <c r="B542" s="13"/>
      <c r="C542" s="35"/>
      <c r="D542" s="35"/>
      <c r="E542" s="35"/>
      <c r="F542" s="35"/>
      <c r="G542" s="35"/>
      <c r="H542" s="35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spans="1:20" ht="15" customHeight="1">
      <c r="A543" s="13"/>
      <c r="B543" s="13"/>
      <c r="C543" s="35"/>
      <c r="D543" s="35"/>
      <c r="E543" s="35"/>
      <c r="F543" s="35"/>
      <c r="G543" s="35"/>
      <c r="H543" s="35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spans="1:20" ht="15" customHeight="1">
      <c r="A544" s="13"/>
      <c r="B544" s="13"/>
      <c r="C544" s="35"/>
      <c r="D544" s="35"/>
      <c r="E544" s="35"/>
      <c r="F544" s="35"/>
      <c r="G544" s="35"/>
      <c r="H544" s="35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spans="1:20" ht="15" customHeight="1">
      <c r="A545" s="13"/>
      <c r="B545" s="13"/>
      <c r="C545" s="35"/>
      <c r="D545" s="35"/>
      <c r="E545" s="35"/>
      <c r="F545" s="35"/>
      <c r="G545" s="35"/>
      <c r="H545" s="35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spans="1:20" ht="15" customHeight="1">
      <c r="A546" s="13"/>
      <c r="B546" s="13"/>
      <c r="C546" s="35"/>
      <c r="D546" s="35"/>
      <c r="E546" s="35"/>
      <c r="F546" s="35"/>
      <c r="G546" s="35"/>
      <c r="H546" s="35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spans="1:20" ht="15" customHeight="1">
      <c r="A547" s="13"/>
      <c r="B547" s="13"/>
      <c r="C547" s="35"/>
      <c r="D547" s="35"/>
      <c r="E547" s="35"/>
      <c r="F547" s="35"/>
      <c r="G547" s="35"/>
      <c r="H547" s="35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spans="1:20" ht="15" customHeight="1">
      <c r="A548" s="13"/>
      <c r="B548" s="13"/>
      <c r="C548" s="35"/>
      <c r="D548" s="35"/>
      <c r="E548" s="35"/>
      <c r="F548" s="35"/>
      <c r="G548" s="35"/>
      <c r="H548" s="35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spans="1:20" ht="15" customHeight="1">
      <c r="A549" s="13"/>
      <c r="B549" s="13"/>
      <c r="C549" s="35"/>
      <c r="D549" s="35"/>
      <c r="E549" s="35"/>
      <c r="F549" s="35"/>
      <c r="G549" s="35"/>
      <c r="H549" s="35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spans="1:20" ht="15" customHeight="1">
      <c r="A550" s="13"/>
      <c r="B550" s="13"/>
      <c r="C550" s="35"/>
      <c r="D550" s="35"/>
      <c r="E550" s="35"/>
      <c r="F550" s="35"/>
      <c r="G550" s="35"/>
      <c r="H550" s="35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spans="1:20" ht="15" customHeight="1">
      <c r="A551" s="13"/>
      <c r="B551" s="13"/>
      <c r="C551" s="35"/>
      <c r="D551" s="35"/>
      <c r="E551" s="35"/>
      <c r="F551" s="35"/>
      <c r="G551" s="35"/>
      <c r="H551" s="35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spans="1:20" ht="15" customHeight="1">
      <c r="A552" s="13"/>
      <c r="B552" s="13"/>
      <c r="C552" s="35"/>
      <c r="D552" s="35"/>
      <c r="E552" s="35"/>
      <c r="F552" s="35"/>
      <c r="G552" s="35"/>
      <c r="H552" s="35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spans="1:20" ht="15" customHeight="1">
      <c r="A553" s="13"/>
      <c r="B553" s="13"/>
      <c r="C553" s="35"/>
      <c r="D553" s="35"/>
      <c r="E553" s="35"/>
      <c r="F553" s="35"/>
      <c r="G553" s="35"/>
      <c r="H553" s="35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spans="1:20" ht="15" customHeight="1">
      <c r="A554" s="13"/>
      <c r="B554" s="13"/>
      <c r="C554" s="35"/>
      <c r="D554" s="35"/>
      <c r="E554" s="35"/>
      <c r="F554" s="35"/>
      <c r="G554" s="35"/>
      <c r="H554" s="35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spans="1:20" ht="15" customHeight="1">
      <c r="A555" s="13"/>
      <c r="B555" s="13"/>
      <c r="C555" s="35"/>
      <c r="D555" s="35"/>
      <c r="E555" s="35"/>
      <c r="F555" s="35"/>
      <c r="G555" s="35"/>
      <c r="H555" s="35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spans="1:20" ht="15" customHeight="1">
      <c r="A556" s="13"/>
      <c r="B556" s="13"/>
      <c r="C556" s="35"/>
      <c r="D556" s="35"/>
      <c r="E556" s="35"/>
      <c r="F556" s="35"/>
      <c r="G556" s="35"/>
      <c r="H556" s="35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spans="1:20" ht="15" customHeight="1">
      <c r="A557" s="13"/>
      <c r="B557" s="13"/>
      <c r="C557" s="35"/>
      <c r="D557" s="35"/>
      <c r="E557" s="35"/>
      <c r="F557" s="35"/>
      <c r="G557" s="35"/>
      <c r="H557" s="35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spans="1:20" ht="15" customHeight="1">
      <c r="A558" s="13"/>
      <c r="B558" s="13"/>
      <c r="C558" s="35"/>
      <c r="D558" s="35"/>
      <c r="E558" s="35"/>
      <c r="F558" s="35"/>
      <c r="G558" s="35"/>
      <c r="H558" s="35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spans="1:20" ht="15" customHeight="1">
      <c r="A559" s="13"/>
      <c r="B559" s="13"/>
      <c r="C559" s="35"/>
      <c r="D559" s="35"/>
      <c r="E559" s="35"/>
      <c r="F559" s="35"/>
      <c r="G559" s="35"/>
      <c r="H559" s="35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spans="1:20" ht="15" customHeight="1">
      <c r="A560" s="13"/>
      <c r="B560" s="13"/>
      <c r="C560" s="35"/>
      <c r="D560" s="35"/>
      <c r="E560" s="35"/>
      <c r="F560" s="35"/>
      <c r="G560" s="35"/>
      <c r="H560" s="35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spans="1:20" ht="15" customHeight="1">
      <c r="A561" s="13"/>
      <c r="B561" s="13"/>
      <c r="C561" s="35"/>
      <c r="D561" s="35"/>
      <c r="E561" s="35"/>
      <c r="F561" s="35"/>
      <c r="G561" s="35"/>
      <c r="H561" s="35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spans="1:20" ht="15" customHeight="1">
      <c r="A562" s="13"/>
      <c r="B562" s="13"/>
      <c r="C562" s="35"/>
      <c r="D562" s="35"/>
      <c r="E562" s="35"/>
      <c r="F562" s="35"/>
      <c r="G562" s="35"/>
      <c r="H562" s="35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spans="1:20" ht="15" customHeight="1">
      <c r="A563" s="13"/>
      <c r="B563" s="13"/>
      <c r="C563" s="35"/>
      <c r="D563" s="35"/>
      <c r="E563" s="35"/>
      <c r="F563" s="35"/>
      <c r="G563" s="35"/>
      <c r="H563" s="35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spans="1:20" ht="15" customHeight="1">
      <c r="A564" s="13"/>
      <c r="B564" s="13"/>
      <c r="C564" s="35"/>
      <c r="D564" s="35"/>
      <c r="E564" s="35"/>
      <c r="F564" s="35"/>
      <c r="G564" s="35"/>
      <c r="H564" s="35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spans="1:20" ht="15" customHeight="1">
      <c r="A565" s="13"/>
      <c r="B565" s="13"/>
      <c r="C565" s="35"/>
      <c r="D565" s="35"/>
      <c r="E565" s="35"/>
      <c r="F565" s="35"/>
      <c r="G565" s="35"/>
      <c r="H565" s="35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spans="1:20" ht="15" customHeight="1">
      <c r="A566" s="13"/>
      <c r="B566" s="13"/>
      <c r="C566" s="35"/>
      <c r="D566" s="35"/>
      <c r="E566" s="35"/>
      <c r="F566" s="35"/>
      <c r="G566" s="35"/>
      <c r="H566" s="35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spans="1:20" ht="15" customHeight="1">
      <c r="A567" s="13"/>
      <c r="B567" s="13"/>
      <c r="C567" s="35"/>
      <c r="D567" s="35"/>
      <c r="E567" s="35"/>
      <c r="F567" s="35"/>
      <c r="G567" s="35"/>
      <c r="H567" s="35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spans="1:20" ht="15" customHeight="1">
      <c r="A568" s="13"/>
      <c r="B568" s="13"/>
      <c r="C568" s="35"/>
      <c r="D568" s="35"/>
      <c r="E568" s="35"/>
      <c r="F568" s="35"/>
      <c r="G568" s="35"/>
      <c r="H568" s="35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spans="1:20" ht="15" customHeight="1">
      <c r="A569" s="13"/>
      <c r="B569" s="13"/>
      <c r="C569" s="35"/>
      <c r="D569" s="35"/>
      <c r="E569" s="35"/>
      <c r="F569" s="35"/>
      <c r="G569" s="35"/>
      <c r="H569" s="35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spans="1:20" ht="15" customHeight="1">
      <c r="A570" s="13"/>
      <c r="B570" s="13"/>
      <c r="C570" s="35"/>
      <c r="D570" s="35"/>
      <c r="E570" s="35"/>
      <c r="F570" s="35"/>
      <c r="G570" s="35"/>
      <c r="H570" s="35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spans="1:20" ht="15" customHeight="1">
      <c r="A571" s="13"/>
      <c r="B571" s="13"/>
      <c r="C571" s="35"/>
      <c r="D571" s="35"/>
      <c r="E571" s="35"/>
      <c r="F571" s="35"/>
      <c r="G571" s="35"/>
      <c r="H571" s="35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spans="1:20" ht="15" customHeight="1">
      <c r="A572" s="13"/>
      <c r="B572" s="13"/>
      <c r="C572" s="35"/>
      <c r="D572" s="35"/>
      <c r="E572" s="35"/>
      <c r="F572" s="35"/>
      <c r="G572" s="35"/>
      <c r="H572" s="35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spans="1:20" ht="15" customHeight="1">
      <c r="A573" s="13"/>
      <c r="B573" s="13"/>
      <c r="C573" s="35"/>
      <c r="D573" s="35"/>
      <c r="E573" s="35"/>
      <c r="F573" s="35"/>
      <c r="G573" s="35"/>
      <c r="H573" s="35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spans="1:20" ht="15" customHeight="1">
      <c r="A574" s="13"/>
      <c r="B574" s="13"/>
      <c r="C574" s="35"/>
      <c r="D574" s="35"/>
      <c r="E574" s="35"/>
      <c r="F574" s="35"/>
      <c r="G574" s="35"/>
      <c r="H574" s="35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spans="1:20" ht="15" customHeight="1">
      <c r="A575" s="13"/>
      <c r="B575" s="13"/>
      <c r="C575" s="35"/>
      <c r="D575" s="35"/>
      <c r="E575" s="35"/>
      <c r="F575" s="35"/>
      <c r="G575" s="35"/>
      <c r="H575" s="35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spans="1:20" ht="15" customHeight="1">
      <c r="A576" s="13"/>
      <c r="B576" s="13"/>
      <c r="C576" s="35"/>
      <c r="D576" s="35"/>
      <c r="E576" s="35"/>
      <c r="F576" s="35"/>
      <c r="G576" s="35"/>
      <c r="H576" s="35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spans="1:20" ht="15" customHeight="1">
      <c r="A577" s="13"/>
      <c r="B577" s="13"/>
      <c r="C577" s="35"/>
      <c r="D577" s="35"/>
      <c r="E577" s="35"/>
      <c r="F577" s="35"/>
      <c r="G577" s="35"/>
      <c r="H577" s="35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spans="1:20" ht="15" customHeight="1">
      <c r="A578" s="13"/>
      <c r="B578" s="13"/>
      <c r="C578" s="35"/>
      <c r="D578" s="35"/>
      <c r="E578" s="35"/>
      <c r="F578" s="35"/>
      <c r="G578" s="35"/>
      <c r="H578" s="35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spans="1:20" ht="15" customHeight="1">
      <c r="A579" s="13"/>
      <c r="B579" s="13"/>
      <c r="C579" s="35"/>
      <c r="D579" s="35"/>
      <c r="E579" s="35"/>
      <c r="F579" s="35"/>
      <c r="G579" s="35"/>
      <c r="H579" s="35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spans="1:20" ht="15" customHeight="1">
      <c r="A580" s="13"/>
      <c r="B580" s="13"/>
      <c r="C580" s="35"/>
      <c r="D580" s="35"/>
      <c r="E580" s="35"/>
      <c r="F580" s="35"/>
      <c r="G580" s="35"/>
      <c r="H580" s="35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spans="1:20" ht="15" customHeight="1">
      <c r="A581" s="13"/>
      <c r="B581" s="13"/>
      <c r="C581" s="35"/>
      <c r="D581" s="35"/>
      <c r="E581" s="35"/>
      <c r="F581" s="35"/>
      <c r="G581" s="35"/>
      <c r="H581" s="35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spans="1:20" ht="15" customHeight="1">
      <c r="A582" s="13"/>
      <c r="B582" s="13"/>
      <c r="C582" s="35"/>
      <c r="D582" s="35"/>
      <c r="E582" s="35"/>
      <c r="F582" s="35"/>
      <c r="G582" s="35"/>
      <c r="H582" s="35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spans="1:20" ht="15" customHeight="1">
      <c r="A583" s="13"/>
      <c r="B583" s="13"/>
      <c r="C583" s="35"/>
      <c r="D583" s="35"/>
      <c r="E583" s="35"/>
      <c r="F583" s="35"/>
      <c r="G583" s="35"/>
      <c r="H583" s="35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spans="1:20" ht="15" customHeight="1">
      <c r="A584" s="13"/>
      <c r="B584" s="13"/>
      <c r="C584" s="35"/>
      <c r="D584" s="35"/>
      <c r="E584" s="35"/>
      <c r="F584" s="35"/>
      <c r="G584" s="35"/>
      <c r="H584" s="35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spans="1:20" ht="15" customHeight="1">
      <c r="A585" s="13"/>
      <c r="B585" s="13"/>
      <c r="C585" s="35"/>
      <c r="D585" s="35"/>
      <c r="E585" s="35"/>
      <c r="F585" s="35"/>
      <c r="G585" s="35"/>
      <c r="H585" s="35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spans="1:20" ht="15" customHeight="1">
      <c r="A586" s="13"/>
      <c r="B586" s="13"/>
      <c r="C586" s="35"/>
      <c r="D586" s="35"/>
      <c r="E586" s="35"/>
      <c r="F586" s="35"/>
      <c r="G586" s="35"/>
      <c r="H586" s="35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spans="1:20" ht="15" customHeight="1">
      <c r="A587" s="13"/>
      <c r="B587" s="13"/>
      <c r="C587" s="35"/>
      <c r="D587" s="35"/>
      <c r="E587" s="35"/>
      <c r="F587" s="35"/>
      <c r="G587" s="35"/>
      <c r="H587" s="35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spans="1:20" ht="15" customHeight="1">
      <c r="A588" s="13"/>
      <c r="B588" s="13"/>
      <c r="C588" s="35"/>
      <c r="D588" s="35"/>
      <c r="E588" s="35"/>
      <c r="F588" s="35"/>
      <c r="G588" s="35"/>
      <c r="H588" s="35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spans="1:20" ht="15" customHeight="1">
      <c r="A589" s="13"/>
      <c r="B589" s="13"/>
      <c r="C589" s="35"/>
      <c r="D589" s="35"/>
      <c r="E589" s="35"/>
      <c r="F589" s="35"/>
      <c r="G589" s="35"/>
      <c r="H589" s="35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spans="1:20" ht="15" customHeight="1">
      <c r="A590" s="13"/>
      <c r="B590" s="13"/>
      <c r="C590" s="35"/>
      <c r="D590" s="35"/>
      <c r="E590" s="35"/>
      <c r="F590" s="35"/>
      <c r="G590" s="35"/>
      <c r="H590" s="35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spans="1:20" ht="15" customHeight="1">
      <c r="A591" s="13"/>
      <c r="B591" s="13"/>
      <c r="C591" s="35"/>
      <c r="D591" s="35"/>
      <c r="E591" s="35"/>
      <c r="F591" s="35"/>
      <c r="G591" s="35"/>
      <c r="H591" s="35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spans="1:20" ht="15" customHeight="1">
      <c r="A592" s="13"/>
      <c r="B592" s="13"/>
      <c r="C592" s="35"/>
      <c r="D592" s="35"/>
      <c r="E592" s="35"/>
      <c r="F592" s="35"/>
      <c r="G592" s="35"/>
      <c r="H592" s="35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spans="1:20" ht="15" customHeight="1">
      <c r="A593" s="13"/>
      <c r="B593" s="13"/>
      <c r="C593" s="35"/>
      <c r="D593" s="35"/>
      <c r="E593" s="35"/>
      <c r="F593" s="35"/>
      <c r="G593" s="35"/>
      <c r="H593" s="35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spans="1:20" ht="15" customHeight="1">
      <c r="A594" s="13"/>
      <c r="B594" s="13"/>
      <c r="C594" s="35"/>
      <c r="D594" s="35"/>
      <c r="E594" s="35"/>
      <c r="F594" s="35"/>
      <c r="G594" s="35"/>
      <c r="H594" s="35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spans="1:20" ht="15" customHeight="1">
      <c r="A595" s="13"/>
      <c r="B595" s="13"/>
      <c r="C595" s="35"/>
      <c r="D595" s="35"/>
      <c r="E595" s="35"/>
      <c r="F595" s="35"/>
      <c r="G595" s="35"/>
      <c r="H595" s="35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spans="1:20" ht="15" customHeight="1">
      <c r="A596" s="13"/>
      <c r="B596" s="13"/>
      <c r="C596" s="35"/>
      <c r="D596" s="35"/>
      <c r="E596" s="35"/>
      <c r="F596" s="35"/>
      <c r="G596" s="35"/>
      <c r="H596" s="35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spans="1:20" ht="15" customHeight="1">
      <c r="A597" s="13"/>
      <c r="B597" s="13"/>
      <c r="C597" s="35"/>
      <c r="D597" s="35"/>
      <c r="E597" s="35"/>
      <c r="F597" s="35"/>
      <c r="G597" s="35"/>
      <c r="H597" s="35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spans="1:20" ht="15" customHeight="1">
      <c r="A598" s="13"/>
      <c r="B598" s="13"/>
      <c r="C598" s="35"/>
      <c r="D598" s="35"/>
      <c r="E598" s="35"/>
      <c r="F598" s="35"/>
      <c r="G598" s="35"/>
      <c r="H598" s="35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spans="1:20" ht="15" customHeight="1">
      <c r="A599" s="13"/>
      <c r="B599" s="13"/>
      <c r="C599" s="35"/>
      <c r="D599" s="35"/>
      <c r="E599" s="35"/>
      <c r="F599" s="35"/>
      <c r="G599" s="35"/>
      <c r="H599" s="35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spans="1:20" ht="15" customHeight="1">
      <c r="A600" s="13"/>
      <c r="B600" s="13"/>
      <c r="C600" s="35"/>
      <c r="D600" s="35"/>
      <c r="E600" s="35"/>
      <c r="F600" s="35"/>
      <c r="G600" s="35"/>
      <c r="H600" s="35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spans="1:20" ht="15" customHeight="1">
      <c r="A601" s="13"/>
      <c r="B601" s="13"/>
      <c r="C601" s="35"/>
      <c r="D601" s="35"/>
      <c r="E601" s="35"/>
      <c r="F601" s="35"/>
      <c r="G601" s="35"/>
      <c r="H601" s="35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spans="1:20" ht="15" customHeight="1">
      <c r="A602" s="13"/>
      <c r="B602" s="13"/>
      <c r="C602" s="35"/>
      <c r="D602" s="35"/>
      <c r="E602" s="35"/>
      <c r="F602" s="35"/>
      <c r="G602" s="35"/>
      <c r="H602" s="35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spans="1:20" ht="15" customHeight="1">
      <c r="A603" s="13"/>
      <c r="B603" s="13"/>
      <c r="C603" s="35"/>
      <c r="D603" s="35"/>
      <c r="E603" s="35"/>
      <c r="F603" s="35"/>
      <c r="G603" s="35"/>
      <c r="H603" s="35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spans="1:20" ht="15" customHeight="1">
      <c r="A604" s="13"/>
      <c r="B604" s="13"/>
      <c r="C604" s="35"/>
      <c r="D604" s="35"/>
      <c r="E604" s="35"/>
      <c r="F604" s="35"/>
      <c r="G604" s="35"/>
      <c r="H604" s="35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spans="1:20" ht="15" customHeight="1">
      <c r="A605" s="13"/>
      <c r="B605" s="13"/>
      <c r="C605" s="35"/>
      <c r="D605" s="35"/>
      <c r="E605" s="35"/>
      <c r="F605" s="35"/>
      <c r="G605" s="35"/>
      <c r="H605" s="35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spans="1:20" ht="15" customHeight="1">
      <c r="A606" s="13"/>
      <c r="B606" s="13"/>
      <c r="C606" s="35"/>
      <c r="D606" s="35"/>
      <c r="E606" s="35"/>
      <c r="F606" s="35"/>
      <c r="G606" s="35"/>
      <c r="H606" s="35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spans="1:20" ht="15" customHeight="1">
      <c r="A607" s="13"/>
      <c r="B607" s="13"/>
      <c r="C607" s="35"/>
      <c r="D607" s="35"/>
      <c r="E607" s="35"/>
      <c r="F607" s="35"/>
      <c r="G607" s="35"/>
      <c r="H607" s="35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spans="1:20" ht="15" customHeight="1">
      <c r="A608" s="13"/>
      <c r="B608" s="13"/>
      <c r="C608" s="35"/>
      <c r="D608" s="35"/>
      <c r="E608" s="35"/>
      <c r="F608" s="35"/>
      <c r="G608" s="35"/>
      <c r="H608" s="35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spans="1:20" ht="15" customHeight="1">
      <c r="A609" s="13"/>
      <c r="B609" s="13"/>
      <c r="C609" s="35"/>
      <c r="D609" s="35"/>
      <c r="E609" s="35"/>
      <c r="F609" s="35"/>
      <c r="G609" s="35"/>
      <c r="H609" s="35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spans="1:20" ht="15" customHeight="1">
      <c r="A610" s="13"/>
      <c r="B610" s="13"/>
      <c r="C610" s="35"/>
      <c r="D610" s="35"/>
      <c r="E610" s="35"/>
      <c r="F610" s="35"/>
      <c r="G610" s="35"/>
      <c r="H610" s="35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spans="1:20" ht="15" customHeight="1">
      <c r="A611" s="13"/>
      <c r="B611" s="13"/>
      <c r="C611" s="35"/>
      <c r="D611" s="35"/>
      <c r="E611" s="35"/>
      <c r="F611" s="35"/>
      <c r="G611" s="35"/>
      <c r="H611" s="35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spans="1:20" ht="15" customHeight="1">
      <c r="A612" s="13"/>
      <c r="B612" s="13"/>
      <c r="C612" s="35"/>
      <c r="D612" s="35"/>
      <c r="E612" s="35"/>
      <c r="F612" s="35"/>
      <c r="G612" s="35"/>
      <c r="H612" s="35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spans="1:20" ht="15" customHeight="1">
      <c r="A613" s="13"/>
      <c r="B613" s="13"/>
      <c r="C613" s="35"/>
      <c r="D613" s="35"/>
      <c r="E613" s="35"/>
      <c r="F613" s="35"/>
      <c r="G613" s="35"/>
      <c r="H613" s="35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spans="1:20" ht="15" customHeight="1">
      <c r="A614" s="13"/>
      <c r="B614" s="13"/>
      <c r="C614" s="35"/>
      <c r="D614" s="35"/>
      <c r="E614" s="35"/>
      <c r="F614" s="35"/>
      <c r="G614" s="35"/>
      <c r="H614" s="35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spans="1:20" ht="15" customHeight="1">
      <c r="A615" s="13"/>
      <c r="B615" s="13"/>
      <c r="C615" s="35"/>
      <c r="D615" s="35"/>
      <c r="E615" s="35"/>
      <c r="F615" s="35"/>
      <c r="G615" s="35"/>
      <c r="H615" s="35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spans="1:20" ht="15" customHeight="1">
      <c r="A616" s="13"/>
      <c r="B616" s="13"/>
      <c r="C616" s="35"/>
      <c r="D616" s="35"/>
      <c r="E616" s="35"/>
      <c r="F616" s="35"/>
      <c r="G616" s="35"/>
      <c r="H616" s="35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spans="1:20" ht="15" customHeight="1">
      <c r="A617" s="13"/>
      <c r="B617" s="13"/>
      <c r="C617" s="35"/>
      <c r="D617" s="35"/>
      <c r="E617" s="35"/>
      <c r="F617" s="35"/>
      <c r="G617" s="35"/>
      <c r="H617" s="35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spans="1:20" ht="15" customHeight="1">
      <c r="A618" s="13"/>
      <c r="B618" s="13"/>
      <c r="C618" s="35"/>
      <c r="D618" s="35"/>
      <c r="E618" s="35"/>
      <c r="F618" s="35"/>
      <c r="G618" s="35"/>
      <c r="H618" s="35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spans="1:20" ht="15" customHeight="1">
      <c r="A619" s="13"/>
      <c r="B619" s="13"/>
      <c r="C619" s="35"/>
      <c r="D619" s="35"/>
      <c r="E619" s="35"/>
      <c r="F619" s="35"/>
      <c r="G619" s="35"/>
      <c r="H619" s="35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spans="1:20" ht="15" customHeight="1">
      <c r="A620" s="13"/>
      <c r="B620" s="13"/>
      <c r="C620" s="35"/>
      <c r="D620" s="35"/>
      <c r="E620" s="35"/>
      <c r="F620" s="35"/>
      <c r="G620" s="35"/>
      <c r="H620" s="35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spans="1:20" ht="15" customHeight="1">
      <c r="A621" s="13"/>
      <c r="B621" s="13"/>
      <c r="C621" s="35"/>
      <c r="D621" s="35"/>
      <c r="E621" s="35"/>
      <c r="F621" s="35"/>
      <c r="G621" s="35"/>
      <c r="H621" s="35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spans="1:20" ht="15" customHeight="1">
      <c r="A622" s="13"/>
      <c r="B622" s="13"/>
      <c r="C622" s="35"/>
      <c r="D622" s="35"/>
      <c r="E622" s="35"/>
      <c r="F622" s="35"/>
      <c r="G622" s="35"/>
      <c r="H622" s="35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spans="1:20" ht="15" customHeight="1">
      <c r="A623" s="13"/>
      <c r="B623" s="13"/>
      <c r="C623" s="35"/>
      <c r="D623" s="35"/>
      <c r="E623" s="35"/>
      <c r="F623" s="35"/>
      <c r="G623" s="35"/>
      <c r="H623" s="35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spans="1:20" ht="15" customHeight="1">
      <c r="A624" s="13"/>
      <c r="B624" s="13"/>
      <c r="C624" s="35"/>
      <c r="D624" s="35"/>
      <c r="E624" s="35"/>
      <c r="F624" s="35"/>
      <c r="G624" s="35"/>
      <c r="H624" s="35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spans="1:20" ht="15" customHeight="1">
      <c r="A625" s="13"/>
      <c r="B625" s="13"/>
      <c r="C625" s="35"/>
      <c r="D625" s="35"/>
      <c r="E625" s="35"/>
      <c r="F625" s="35"/>
      <c r="G625" s="35"/>
      <c r="H625" s="35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spans="1:20" ht="15" customHeight="1">
      <c r="A626" s="13"/>
      <c r="B626" s="13"/>
      <c r="C626" s="35"/>
      <c r="D626" s="35"/>
      <c r="E626" s="35"/>
      <c r="F626" s="35"/>
      <c r="G626" s="35"/>
      <c r="H626" s="35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spans="1:20" ht="15" customHeight="1">
      <c r="A627" s="13"/>
      <c r="B627" s="13"/>
      <c r="C627" s="35"/>
      <c r="D627" s="35"/>
      <c r="E627" s="35"/>
      <c r="F627" s="35"/>
      <c r="G627" s="35"/>
      <c r="H627" s="35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spans="1:20" ht="15" customHeight="1">
      <c r="A628" s="13"/>
      <c r="B628" s="13"/>
      <c r="C628" s="35"/>
      <c r="D628" s="35"/>
      <c r="E628" s="35"/>
      <c r="F628" s="35"/>
      <c r="G628" s="35"/>
      <c r="H628" s="35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spans="1:20" ht="15" customHeight="1">
      <c r="A629" s="13"/>
      <c r="B629" s="13"/>
      <c r="C629" s="35"/>
      <c r="D629" s="35"/>
      <c r="E629" s="35"/>
      <c r="F629" s="35"/>
      <c r="G629" s="35"/>
      <c r="H629" s="35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spans="1:20" ht="15" customHeight="1">
      <c r="A630" s="13"/>
      <c r="B630" s="13"/>
      <c r="C630" s="35"/>
      <c r="D630" s="35"/>
      <c r="E630" s="35"/>
      <c r="F630" s="35"/>
      <c r="G630" s="35"/>
      <c r="H630" s="35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spans="1:20" ht="15" customHeight="1">
      <c r="A631" s="13"/>
      <c r="B631" s="13"/>
      <c r="C631" s="35"/>
      <c r="D631" s="35"/>
      <c r="E631" s="35"/>
      <c r="F631" s="35"/>
      <c r="G631" s="35"/>
      <c r="H631" s="35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spans="1:20" ht="15" customHeight="1">
      <c r="A632" s="13"/>
      <c r="B632" s="13"/>
      <c r="C632" s="35"/>
      <c r="D632" s="35"/>
      <c r="E632" s="35"/>
      <c r="F632" s="35"/>
      <c r="G632" s="35"/>
      <c r="H632" s="35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spans="1:20" ht="15" customHeight="1">
      <c r="A633" s="13"/>
      <c r="B633" s="13"/>
      <c r="C633" s="35"/>
      <c r="D633" s="35"/>
      <c r="E633" s="35"/>
      <c r="F633" s="35"/>
      <c r="G633" s="35"/>
      <c r="H633" s="35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spans="1:20" ht="15" customHeight="1">
      <c r="A634" s="13"/>
      <c r="B634" s="13"/>
      <c r="C634" s="35"/>
      <c r="D634" s="35"/>
      <c r="E634" s="35"/>
      <c r="F634" s="35"/>
      <c r="G634" s="35"/>
      <c r="H634" s="35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spans="1:20" ht="15" customHeight="1">
      <c r="A635" s="13"/>
      <c r="B635" s="13"/>
      <c r="C635" s="35"/>
      <c r="D635" s="35"/>
      <c r="E635" s="35"/>
      <c r="F635" s="35"/>
      <c r="G635" s="35"/>
      <c r="H635" s="35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spans="1:20" ht="15" customHeight="1">
      <c r="A636" s="13"/>
      <c r="B636" s="13"/>
      <c r="C636" s="35"/>
      <c r="D636" s="35"/>
      <c r="E636" s="35"/>
      <c r="F636" s="35"/>
      <c r="G636" s="35"/>
      <c r="H636" s="35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spans="1:20" ht="15" customHeight="1">
      <c r="A637" s="13"/>
      <c r="B637" s="13"/>
      <c r="C637" s="35"/>
      <c r="D637" s="35"/>
      <c r="E637" s="35"/>
      <c r="F637" s="35"/>
      <c r="G637" s="35"/>
      <c r="H637" s="35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spans="1:20" ht="15" customHeight="1">
      <c r="A638" s="13"/>
      <c r="B638" s="13"/>
      <c r="C638" s="35"/>
      <c r="D638" s="35"/>
      <c r="E638" s="35"/>
      <c r="F638" s="35"/>
      <c r="G638" s="35"/>
      <c r="H638" s="35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spans="1:20" ht="15" customHeight="1">
      <c r="A639" s="13"/>
      <c r="B639" s="13"/>
      <c r="C639" s="35"/>
      <c r="D639" s="35"/>
      <c r="E639" s="35"/>
      <c r="F639" s="35"/>
      <c r="G639" s="35"/>
      <c r="H639" s="35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spans="1:20" ht="15" customHeight="1">
      <c r="A640" s="13"/>
      <c r="B640" s="13"/>
      <c r="C640" s="35"/>
      <c r="D640" s="35"/>
      <c r="E640" s="35"/>
      <c r="F640" s="35"/>
      <c r="G640" s="35"/>
      <c r="H640" s="35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spans="1:20" ht="15" customHeight="1">
      <c r="A641" s="13"/>
      <c r="B641" s="13"/>
      <c r="C641" s="35"/>
      <c r="D641" s="35"/>
      <c r="E641" s="35"/>
      <c r="F641" s="35"/>
      <c r="G641" s="35"/>
      <c r="H641" s="35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spans="1:20" ht="15" customHeight="1">
      <c r="A642" s="13"/>
      <c r="B642" s="13"/>
      <c r="C642" s="35"/>
      <c r="D642" s="35"/>
      <c r="E642" s="35"/>
      <c r="F642" s="35"/>
      <c r="G642" s="35"/>
      <c r="H642" s="35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spans="1:20" ht="15" customHeight="1">
      <c r="A643" s="13"/>
      <c r="B643" s="13"/>
      <c r="C643" s="35"/>
      <c r="D643" s="35"/>
      <c r="E643" s="35"/>
      <c r="F643" s="35"/>
      <c r="G643" s="35"/>
      <c r="H643" s="35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spans="1:20" ht="15" customHeight="1">
      <c r="A644" s="13"/>
      <c r="B644" s="13"/>
      <c r="C644" s="35"/>
      <c r="D644" s="35"/>
      <c r="E644" s="35"/>
      <c r="F644" s="35"/>
      <c r="G644" s="35"/>
      <c r="H644" s="35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spans="1:20" ht="15" customHeight="1">
      <c r="A645" s="13"/>
      <c r="B645" s="13"/>
      <c r="C645" s="35"/>
      <c r="D645" s="35"/>
      <c r="E645" s="35"/>
      <c r="F645" s="35"/>
      <c r="G645" s="35"/>
      <c r="H645" s="35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spans="1:20" ht="15" customHeight="1">
      <c r="A646" s="13"/>
      <c r="B646" s="13"/>
      <c r="C646" s="35"/>
      <c r="D646" s="35"/>
      <c r="E646" s="35"/>
      <c r="F646" s="35"/>
      <c r="G646" s="35"/>
      <c r="H646" s="35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spans="1:20" ht="15" customHeight="1">
      <c r="A647" s="13"/>
      <c r="B647" s="13"/>
      <c r="C647" s="35"/>
      <c r="D647" s="35"/>
      <c r="E647" s="35"/>
      <c r="F647" s="35"/>
      <c r="G647" s="35"/>
      <c r="H647" s="35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spans="1:20" ht="15" customHeight="1">
      <c r="A648" s="13"/>
      <c r="B648" s="13"/>
      <c r="C648" s="35"/>
      <c r="D648" s="35"/>
      <c r="E648" s="35"/>
      <c r="F648" s="35"/>
      <c r="G648" s="35"/>
      <c r="H648" s="35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spans="1:20" ht="15" customHeight="1">
      <c r="A649" s="13"/>
      <c r="B649" s="13"/>
      <c r="C649" s="35"/>
      <c r="D649" s="35"/>
      <c r="E649" s="35"/>
      <c r="F649" s="35"/>
      <c r="G649" s="35"/>
      <c r="H649" s="35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spans="1:20" ht="15" customHeight="1">
      <c r="A650" s="13"/>
      <c r="B650" s="13"/>
      <c r="C650" s="35"/>
      <c r="D650" s="35"/>
      <c r="E650" s="35"/>
      <c r="F650" s="35"/>
      <c r="G650" s="35"/>
      <c r="H650" s="35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spans="1:20" ht="15" customHeight="1">
      <c r="A651" s="13"/>
      <c r="B651" s="13"/>
      <c r="C651" s="35"/>
      <c r="D651" s="35"/>
      <c r="E651" s="35"/>
      <c r="F651" s="35"/>
      <c r="G651" s="35"/>
      <c r="H651" s="35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spans="1:20" ht="15" customHeight="1">
      <c r="A652" s="13"/>
      <c r="B652" s="13"/>
      <c r="C652" s="35"/>
      <c r="D652" s="35"/>
      <c r="E652" s="35"/>
      <c r="F652" s="35"/>
      <c r="G652" s="35"/>
      <c r="H652" s="35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spans="1:20" ht="15" customHeight="1">
      <c r="A653" s="13"/>
      <c r="B653" s="13"/>
      <c r="C653" s="35"/>
      <c r="D653" s="35"/>
      <c r="E653" s="35"/>
      <c r="F653" s="35"/>
      <c r="G653" s="35"/>
      <c r="H653" s="35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spans="1:20" ht="15" customHeight="1">
      <c r="A654" s="13"/>
      <c r="B654" s="13"/>
      <c r="C654" s="35"/>
      <c r="D654" s="35"/>
      <c r="E654" s="35"/>
      <c r="F654" s="35"/>
      <c r="G654" s="35"/>
      <c r="H654" s="35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spans="1:20" ht="15" customHeight="1">
      <c r="A655" s="13"/>
      <c r="B655" s="13"/>
      <c r="C655" s="35"/>
      <c r="D655" s="35"/>
      <c r="E655" s="35"/>
      <c r="F655" s="35"/>
      <c r="G655" s="35"/>
      <c r="H655" s="35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spans="1:20" ht="15" customHeight="1">
      <c r="A656" s="13"/>
      <c r="B656" s="13"/>
      <c r="C656" s="35"/>
      <c r="D656" s="35"/>
      <c r="E656" s="35"/>
      <c r="F656" s="35"/>
      <c r="G656" s="35"/>
      <c r="H656" s="35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spans="1:20" ht="15" customHeight="1">
      <c r="A657" s="13"/>
      <c r="B657" s="13"/>
      <c r="C657" s="35"/>
      <c r="D657" s="35"/>
      <c r="E657" s="35"/>
      <c r="F657" s="35"/>
      <c r="G657" s="35"/>
      <c r="H657" s="35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spans="1:20" ht="15" customHeight="1">
      <c r="A658" s="13"/>
      <c r="B658" s="13"/>
      <c r="C658" s="35"/>
      <c r="D658" s="35"/>
      <c r="E658" s="35"/>
      <c r="F658" s="35"/>
      <c r="G658" s="35"/>
      <c r="H658" s="35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spans="1:20" ht="15" customHeight="1">
      <c r="A659" s="13"/>
      <c r="B659" s="13"/>
      <c r="C659" s="35"/>
      <c r="D659" s="35"/>
      <c r="E659" s="35"/>
      <c r="F659" s="35"/>
      <c r="G659" s="35"/>
      <c r="H659" s="35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spans="1:20" ht="15" customHeight="1">
      <c r="A660" s="13"/>
      <c r="B660" s="13"/>
      <c r="C660" s="35"/>
      <c r="D660" s="35"/>
      <c r="E660" s="35"/>
      <c r="F660" s="35"/>
      <c r="G660" s="35"/>
      <c r="H660" s="35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spans="1:20" ht="15" customHeight="1">
      <c r="A661" s="13"/>
      <c r="B661" s="13"/>
      <c r="C661" s="35"/>
      <c r="D661" s="35"/>
      <c r="E661" s="35"/>
      <c r="F661" s="35"/>
      <c r="G661" s="35"/>
      <c r="H661" s="35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spans="1:20" ht="15" customHeight="1">
      <c r="A662" s="13"/>
      <c r="B662" s="13"/>
      <c r="C662" s="35"/>
      <c r="D662" s="35"/>
      <c r="E662" s="35"/>
      <c r="F662" s="35"/>
      <c r="G662" s="35"/>
      <c r="H662" s="35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spans="1:20" ht="15" customHeight="1">
      <c r="A663" s="13"/>
      <c r="B663" s="13"/>
      <c r="C663" s="35"/>
      <c r="D663" s="35"/>
      <c r="E663" s="35"/>
      <c r="F663" s="35"/>
      <c r="G663" s="35"/>
      <c r="H663" s="35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spans="1:20" ht="15" customHeight="1">
      <c r="A664" s="13"/>
      <c r="B664" s="13"/>
      <c r="C664" s="35"/>
      <c r="D664" s="35"/>
      <c r="E664" s="35"/>
      <c r="F664" s="35"/>
      <c r="G664" s="35"/>
      <c r="H664" s="35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spans="1:20" ht="15" customHeight="1">
      <c r="A665" s="13"/>
      <c r="B665" s="13"/>
      <c r="C665" s="35"/>
      <c r="D665" s="35"/>
      <c r="E665" s="35"/>
      <c r="F665" s="35"/>
      <c r="G665" s="35"/>
      <c r="H665" s="35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spans="1:20" ht="15" customHeight="1">
      <c r="A666" s="13"/>
      <c r="B666" s="13"/>
      <c r="C666" s="35"/>
      <c r="D666" s="35"/>
      <c r="E666" s="35"/>
      <c r="F666" s="35"/>
      <c r="G666" s="35"/>
      <c r="H666" s="35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spans="1:20" ht="15" customHeight="1">
      <c r="A667" s="13"/>
      <c r="B667" s="13"/>
      <c r="C667" s="35"/>
      <c r="D667" s="35"/>
      <c r="E667" s="35"/>
      <c r="F667" s="35"/>
      <c r="G667" s="35"/>
      <c r="H667" s="35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spans="1:20" ht="15" customHeight="1">
      <c r="A668" s="13"/>
      <c r="B668" s="13"/>
      <c r="C668" s="35"/>
      <c r="D668" s="35"/>
      <c r="E668" s="35"/>
      <c r="F668" s="35"/>
      <c r="G668" s="35"/>
      <c r="H668" s="35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spans="1:20" ht="15" customHeight="1">
      <c r="A669" s="13"/>
      <c r="B669" s="13"/>
      <c r="C669" s="35"/>
      <c r="D669" s="35"/>
      <c r="E669" s="35"/>
      <c r="F669" s="35"/>
      <c r="G669" s="35"/>
      <c r="H669" s="35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spans="1:20" ht="15" customHeight="1">
      <c r="A670" s="13"/>
      <c r="B670" s="13"/>
      <c r="C670" s="35"/>
      <c r="D670" s="35"/>
      <c r="E670" s="35"/>
      <c r="F670" s="35"/>
      <c r="G670" s="35"/>
      <c r="H670" s="35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spans="1:20" ht="15" customHeight="1">
      <c r="A671" s="13"/>
      <c r="B671" s="13"/>
      <c r="C671" s="35"/>
      <c r="D671" s="35"/>
      <c r="E671" s="35"/>
      <c r="F671" s="35"/>
      <c r="G671" s="35"/>
      <c r="H671" s="35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spans="1:20" ht="15" customHeight="1">
      <c r="A672" s="13"/>
      <c r="B672" s="13"/>
      <c r="C672" s="35"/>
      <c r="D672" s="35"/>
      <c r="E672" s="35"/>
      <c r="F672" s="35"/>
      <c r="G672" s="35"/>
      <c r="H672" s="35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spans="1:20" ht="15" customHeight="1">
      <c r="A673" s="13"/>
      <c r="B673" s="13"/>
      <c r="C673" s="35"/>
      <c r="D673" s="35"/>
      <c r="E673" s="35"/>
      <c r="F673" s="35"/>
      <c r="G673" s="35"/>
      <c r="H673" s="35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spans="1:20" ht="15" customHeight="1">
      <c r="A674" s="13"/>
      <c r="B674" s="13"/>
      <c r="C674" s="35"/>
      <c r="D674" s="35"/>
      <c r="E674" s="35"/>
      <c r="F674" s="35"/>
      <c r="G674" s="35"/>
      <c r="H674" s="35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spans="1:20" ht="15" customHeight="1">
      <c r="A675" s="13"/>
      <c r="B675" s="13"/>
      <c r="C675" s="35"/>
      <c r="D675" s="35"/>
      <c r="E675" s="35"/>
      <c r="F675" s="35"/>
      <c r="G675" s="35"/>
      <c r="H675" s="35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spans="1:20" ht="15" customHeight="1">
      <c r="A676" s="13"/>
      <c r="B676" s="13"/>
      <c r="C676" s="35"/>
      <c r="D676" s="35"/>
      <c r="E676" s="35"/>
      <c r="F676" s="35"/>
      <c r="G676" s="35"/>
      <c r="H676" s="35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spans="1:20" ht="15" customHeight="1">
      <c r="A677" s="13"/>
      <c r="B677" s="13"/>
      <c r="C677" s="35"/>
      <c r="D677" s="35"/>
      <c r="E677" s="35"/>
      <c r="F677" s="35"/>
      <c r="G677" s="35"/>
      <c r="H677" s="35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spans="1:20" ht="15" customHeight="1">
      <c r="A678" s="13"/>
      <c r="B678" s="13"/>
      <c r="C678" s="35"/>
      <c r="D678" s="35"/>
      <c r="E678" s="35"/>
      <c r="F678" s="35"/>
      <c r="G678" s="35"/>
      <c r="H678" s="35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spans="1:20" ht="15" customHeight="1">
      <c r="A679" s="13"/>
      <c r="B679" s="13"/>
      <c r="C679" s="35"/>
      <c r="D679" s="35"/>
      <c r="E679" s="35"/>
      <c r="F679" s="35"/>
      <c r="G679" s="35"/>
      <c r="H679" s="35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spans="1:20" ht="15" customHeight="1">
      <c r="A680" s="13"/>
      <c r="B680" s="13"/>
      <c r="C680" s="35"/>
      <c r="D680" s="35"/>
      <c r="E680" s="35"/>
      <c r="F680" s="35"/>
      <c r="G680" s="35"/>
      <c r="H680" s="35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spans="1:20" ht="15" customHeight="1">
      <c r="A681" s="13"/>
      <c r="B681" s="13"/>
      <c r="C681" s="35"/>
      <c r="D681" s="35"/>
      <c r="E681" s="35"/>
      <c r="F681" s="35"/>
      <c r="G681" s="35"/>
      <c r="H681" s="35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spans="1:20" ht="15" customHeight="1">
      <c r="A682" s="13"/>
      <c r="B682" s="13"/>
      <c r="C682" s="35"/>
      <c r="D682" s="35"/>
      <c r="E682" s="35"/>
      <c r="F682" s="35"/>
      <c r="G682" s="35"/>
      <c r="H682" s="35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spans="1:20" ht="15" customHeight="1">
      <c r="A683" s="13"/>
      <c r="B683" s="13"/>
      <c r="C683" s="35"/>
      <c r="D683" s="35"/>
      <c r="E683" s="35"/>
      <c r="F683" s="35"/>
      <c r="G683" s="35"/>
      <c r="H683" s="35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spans="1:20" ht="15" customHeight="1">
      <c r="A684" s="13"/>
      <c r="B684" s="13"/>
      <c r="C684" s="35"/>
      <c r="D684" s="35"/>
      <c r="E684" s="35"/>
      <c r="F684" s="35"/>
      <c r="G684" s="35"/>
      <c r="H684" s="35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spans="1:20" ht="15" customHeight="1">
      <c r="A685" s="13"/>
      <c r="B685" s="13"/>
      <c r="C685" s="35"/>
      <c r="D685" s="35"/>
      <c r="E685" s="35"/>
      <c r="F685" s="35"/>
      <c r="G685" s="35"/>
      <c r="H685" s="35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spans="1:20" ht="15" customHeight="1">
      <c r="A686" s="13"/>
      <c r="B686" s="13"/>
      <c r="C686" s="35"/>
      <c r="D686" s="35"/>
      <c r="E686" s="35"/>
      <c r="F686" s="35"/>
      <c r="G686" s="35"/>
      <c r="H686" s="35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spans="1:20" ht="15" customHeight="1">
      <c r="A687" s="13"/>
      <c r="B687" s="13"/>
      <c r="C687" s="35"/>
      <c r="D687" s="35"/>
      <c r="E687" s="35"/>
      <c r="F687" s="35"/>
      <c r="G687" s="35"/>
      <c r="H687" s="35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spans="1:20" ht="15" customHeight="1">
      <c r="A688" s="13"/>
      <c r="B688" s="13"/>
      <c r="C688" s="35"/>
      <c r="D688" s="35"/>
      <c r="E688" s="35"/>
      <c r="F688" s="35"/>
      <c r="G688" s="35"/>
      <c r="H688" s="35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spans="1:20" ht="15" customHeight="1">
      <c r="A689" s="13"/>
      <c r="B689" s="13"/>
      <c r="C689" s="35"/>
      <c r="D689" s="35"/>
      <c r="E689" s="35"/>
      <c r="F689" s="35"/>
      <c r="G689" s="35"/>
      <c r="H689" s="35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spans="1:20" ht="15" customHeight="1">
      <c r="A690" s="13"/>
      <c r="B690" s="13"/>
      <c r="C690" s="35"/>
      <c r="D690" s="35"/>
      <c r="E690" s="35"/>
      <c r="F690" s="35"/>
      <c r="G690" s="35"/>
      <c r="H690" s="35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spans="1:20" ht="15" customHeight="1">
      <c r="A691" s="13"/>
      <c r="B691" s="13"/>
      <c r="C691" s="35"/>
      <c r="D691" s="35"/>
      <c r="E691" s="35"/>
      <c r="F691" s="35"/>
      <c r="G691" s="35"/>
      <c r="H691" s="35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spans="1:20" ht="15" customHeight="1">
      <c r="A692" s="13"/>
      <c r="B692" s="13"/>
      <c r="C692" s="35"/>
      <c r="D692" s="35"/>
      <c r="E692" s="35"/>
      <c r="F692" s="35"/>
      <c r="G692" s="35"/>
      <c r="H692" s="35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spans="1:20" ht="15" customHeight="1">
      <c r="A693" s="13"/>
      <c r="B693" s="13"/>
      <c r="C693" s="35"/>
      <c r="D693" s="35"/>
      <c r="E693" s="35"/>
      <c r="F693" s="35"/>
      <c r="G693" s="35"/>
      <c r="H693" s="35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5" customHeight="1">
      <c r="A694" s="13"/>
      <c r="B694" s="13"/>
      <c r="C694" s="35"/>
      <c r="D694" s="35"/>
      <c r="E694" s="35"/>
      <c r="F694" s="35"/>
      <c r="G694" s="35"/>
      <c r="H694" s="35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0" ht="15" customHeight="1">
      <c r="A695" s="13"/>
      <c r="B695" s="13"/>
      <c r="C695" s="35"/>
      <c r="D695" s="35"/>
      <c r="E695" s="35"/>
      <c r="F695" s="35"/>
      <c r="G695" s="35"/>
      <c r="H695" s="35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5" customHeight="1">
      <c r="A696" s="13"/>
      <c r="B696" s="13"/>
      <c r="C696" s="35"/>
      <c r="D696" s="35"/>
      <c r="E696" s="35"/>
      <c r="F696" s="35"/>
      <c r="G696" s="35"/>
      <c r="H696" s="35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0" ht="15" customHeight="1">
      <c r="A697" s="13"/>
      <c r="B697" s="13"/>
      <c r="C697" s="35"/>
      <c r="D697" s="35"/>
      <c r="E697" s="35"/>
      <c r="F697" s="35"/>
      <c r="G697" s="35"/>
      <c r="H697" s="35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5" customHeight="1">
      <c r="A698" s="13"/>
      <c r="B698" s="13"/>
      <c r="C698" s="35"/>
      <c r="D698" s="35"/>
      <c r="E698" s="35"/>
      <c r="F698" s="35"/>
      <c r="G698" s="35"/>
      <c r="H698" s="35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5" customHeight="1">
      <c r="A699" s="13"/>
      <c r="B699" s="13"/>
      <c r="C699" s="35"/>
      <c r="D699" s="35"/>
      <c r="E699" s="35"/>
      <c r="F699" s="35"/>
      <c r="G699" s="35"/>
      <c r="H699" s="35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5" customHeight="1">
      <c r="A700" s="13"/>
      <c r="B700" s="13"/>
      <c r="C700" s="35"/>
      <c r="D700" s="35"/>
      <c r="E700" s="35"/>
      <c r="F700" s="35"/>
      <c r="G700" s="35"/>
      <c r="H700" s="35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0" ht="15" customHeight="1">
      <c r="A701" s="13"/>
      <c r="B701" s="13"/>
      <c r="C701" s="35"/>
      <c r="D701" s="35"/>
      <c r="E701" s="35"/>
      <c r="F701" s="35"/>
      <c r="G701" s="35"/>
      <c r="H701" s="35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5" customHeight="1">
      <c r="A702" s="13"/>
      <c r="B702" s="13"/>
      <c r="C702" s="35"/>
      <c r="D702" s="35"/>
      <c r="E702" s="35"/>
      <c r="F702" s="35"/>
      <c r="G702" s="35"/>
      <c r="H702" s="35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0" ht="15" customHeight="1">
      <c r="A703" s="13"/>
      <c r="B703" s="13"/>
      <c r="C703" s="35"/>
      <c r="D703" s="35"/>
      <c r="E703" s="35"/>
      <c r="F703" s="35"/>
      <c r="G703" s="35"/>
      <c r="H703" s="35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5" customHeight="1">
      <c r="A704" s="13"/>
      <c r="B704" s="13"/>
      <c r="C704" s="35"/>
      <c r="D704" s="35"/>
      <c r="E704" s="35"/>
      <c r="F704" s="35"/>
      <c r="G704" s="35"/>
      <c r="H704" s="35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1:20" ht="15" customHeight="1">
      <c r="A705" s="13"/>
      <c r="B705" s="13"/>
      <c r="C705" s="35"/>
      <c r="D705" s="35"/>
      <c r="E705" s="35"/>
      <c r="F705" s="35"/>
      <c r="G705" s="35"/>
      <c r="H705" s="35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1:20" ht="15" customHeight="1">
      <c r="A706" s="13"/>
      <c r="B706" s="13"/>
      <c r="C706" s="35"/>
      <c r="D706" s="35"/>
      <c r="E706" s="35"/>
      <c r="F706" s="35"/>
      <c r="G706" s="35"/>
      <c r="H706" s="35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1:20" ht="15" customHeight="1">
      <c r="A707" s="13"/>
      <c r="B707" s="13"/>
      <c r="C707" s="35"/>
      <c r="D707" s="35"/>
      <c r="E707" s="35"/>
      <c r="F707" s="35"/>
      <c r="G707" s="35"/>
      <c r="H707" s="35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1:20" ht="15" customHeight="1">
      <c r="A708" s="13"/>
      <c r="B708" s="13"/>
      <c r="C708" s="35"/>
      <c r="D708" s="35"/>
      <c r="E708" s="35"/>
      <c r="F708" s="35"/>
      <c r="G708" s="35"/>
      <c r="H708" s="35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1:20" ht="15" customHeight="1">
      <c r="A709" s="13"/>
      <c r="B709" s="13"/>
      <c r="C709" s="35"/>
      <c r="D709" s="35"/>
      <c r="E709" s="35"/>
      <c r="F709" s="35"/>
      <c r="G709" s="35"/>
      <c r="H709" s="35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1:20" ht="15" customHeight="1">
      <c r="A710" s="13"/>
      <c r="B710" s="13"/>
      <c r="C710" s="35"/>
      <c r="D710" s="35"/>
      <c r="E710" s="35"/>
      <c r="F710" s="35"/>
      <c r="G710" s="35"/>
      <c r="H710" s="35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1:20" ht="15" customHeight="1">
      <c r="A711" s="13"/>
      <c r="B711" s="13"/>
      <c r="C711" s="35"/>
      <c r="D711" s="35"/>
      <c r="E711" s="35"/>
      <c r="F711" s="35"/>
      <c r="G711" s="35"/>
      <c r="H711" s="35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1:20" ht="15" customHeight="1">
      <c r="A712" s="13"/>
      <c r="B712" s="13"/>
      <c r="C712" s="35"/>
      <c r="D712" s="35"/>
      <c r="E712" s="35"/>
      <c r="F712" s="35"/>
      <c r="G712" s="35"/>
      <c r="H712" s="35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1:20" ht="15" customHeight="1">
      <c r="A713" s="13"/>
      <c r="B713" s="13"/>
      <c r="C713" s="35"/>
      <c r="D713" s="35"/>
      <c r="E713" s="35"/>
      <c r="F713" s="35"/>
      <c r="G713" s="35"/>
      <c r="H713" s="35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1:20" ht="15" customHeight="1">
      <c r="A714" s="13"/>
      <c r="B714" s="13"/>
      <c r="C714" s="35"/>
      <c r="D714" s="35"/>
      <c r="E714" s="35"/>
      <c r="F714" s="35"/>
      <c r="G714" s="35"/>
      <c r="H714" s="35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1:20" ht="15" customHeight="1">
      <c r="A715" s="13"/>
      <c r="B715" s="13"/>
      <c r="C715" s="35"/>
      <c r="D715" s="35"/>
      <c r="E715" s="35"/>
      <c r="F715" s="35"/>
      <c r="G715" s="35"/>
      <c r="H715" s="35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1:20" ht="15" customHeight="1">
      <c r="A716" s="13"/>
      <c r="B716" s="13"/>
      <c r="C716" s="35"/>
      <c r="D716" s="35"/>
      <c r="E716" s="35"/>
      <c r="F716" s="35"/>
      <c r="G716" s="35"/>
      <c r="H716" s="35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1:20" ht="15" customHeight="1">
      <c r="A717" s="13"/>
      <c r="B717" s="13"/>
      <c r="C717" s="35"/>
      <c r="D717" s="35"/>
      <c r="E717" s="35"/>
      <c r="F717" s="35"/>
      <c r="G717" s="35"/>
      <c r="H717" s="35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1:20" ht="15" customHeight="1">
      <c r="A718" s="13"/>
      <c r="B718" s="13"/>
      <c r="C718" s="35"/>
      <c r="D718" s="35"/>
      <c r="E718" s="35"/>
      <c r="F718" s="35"/>
      <c r="G718" s="35"/>
      <c r="H718" s="35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1:20" ht="15" customHeight="1">
      <c r="A719" s="13"/>
      <c r="B719" s="13"/>
      <c r="C719" s="35"/>
      <c r="D719" s="35"/>
      <c r="E719" s="35"/>
      <c r="F719" s="35"/>
      <c r="G719" s="35"/>
      <c r="H719" s="35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1:20" ht="15" customHeight="1">
      <c r="A720" s="13"/>
      <c r="B720" s="13"/>
      <c r="C720" s="35"/>
      <c r="D720" s="35"/>
      <c r="E720" s="35"/>
      <c r="F720" s="35"/>
      <c r="G720" s="35"/>
      <c r="H720" s="35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1:20" ht="15" customHeight="1">
      <c r="A721" s="13"/>
      <c r="B721" s="13"/>
      <c r="C721" s="35"/>
      <c r="D721" s="35"/>
      <c r="E721" s="35"/>
      <c r="F721" s="35"/>
      <c r="G721" s="35"/>
      <c r="H721" s="35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1:20" ht="15" customHeight="1">
      <c r="A722" s="13"/>
      <c r="B722" s="13"/>
      <c r="C722" s="35"/>
      <c r="D722" s="35"/>
      <c r="E722" s="35"/>
      <c r="F722" s="35"/>
      <c r="G722" s="35"/>
      <c r="H722" s="35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1:20" ht="15" customHeight="1">
      <c r="A723" s="13"/>
      <c r="B723" s="13"/>
      <c r="C723" s="35"/>
      <c r="D723" s="35"/>
      <c r="E723" s="35"/>
      <c r="F723" s="35"/>
      <c r="G723" s="35"/>
      <c r="H723" s="35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1:20" ht="15" customHeight="1">
      <c r="A724" s="13"/>
      <c r="B724" s="13"/>
      <c r="C724" s="35"/>
      <c r="D724" s="35"/>
      <c r="E724" s="35"/>
      <c r="F724" s="35"/>
      <c r="G724" s="35"/>
      <c r="H724" s="35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1:20" ht="15" customHeight="1">
      <c r="A725" s="13"/>
      <c r="B725" s="13"/>
      <c r="C725" s="35"/>
      <c r="D725" s="35"/>
      <c r="E725" s="35"/>
      <c r="F725" s="35"/>
      <c r="G725" s="35"/>
      <c r="H725" s="35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1:20" ht="15" customHeight="1">
      <c r="A726" s="13"/>
      <c r="B726" s="13"/>
      <c r="C726" s="35"/>
      <c r="D726" s="35"/>
      <c r="E726" s="35"/>
      <c r="F726" s="35"/>
      <c r="G726" s="35"/>
      <c r="H726" s="35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1:20" ht="15" customHeight="1">
      <c r="A727" s="13"/>
      <c r="B727" s="13"/>
      <c r="C727" s="35"/>
      <c r="D727" s="35"/>
      <c r="E727" s="35"/>
      <c r="F727" s="35"/>
      <c r="G727" s="35"/>
      <c r="H727" s="35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1:20" ht="15" customHeight="1">
      <c r="A728" s="13"/>
      <c r="B728" s="13"/>
      <c r="C728" s="35"/>
      <c r="D728" s="35"/>
      <c r="E728" s="35"/>
      <c r="F728" s="35"/>
      <c r="G728" s="35"/>
      <c r="H728" s="35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1:20" ht="15" customHeight="1">
      <c r="A729" s="13"/>
      <c r="B729" s="13"/>
      <c r="C729" s="35"/>
      <c r="D729" s="35"/>
      <c r="E729" s="35"/>
      <c r="F729" s="35"/>
      <c r="G729" s="35"/>
      <c r="H729" s="35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1:20" ht="15" customHeight="1">
      <c r="A730" s="13"/>
      <c r="B730" s="13"/>
      <c r="C730" s="35"/>
      <c r="D730" s="35"/>
      <c r="E730" s="35"/>
      <c r="F730" s="35"/>
      <c r="G730" s="35"/>
      <c r="H730" s="35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1:20" ht="15" customHeight="1">
      <c r="A731" s="13"/>
      <c r="B731" s="13"/>
      <c r="C731" s="35"/>
      <c r="D731" s="35"/>
      <c r="E731" s="35"/>
      <c r="F731" s="35"/>
      <c r="G731" s="35"/>
      <c r="H731" s="35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1:20" ht="15" customHeight="1">
      <c r="A732" s="13"/>
      <c r="B732" s="13"/>
      <c r="C732" s="35"/>
      <c r="D732" s="35"/>
      <c r="E732" s="35"/>
      <c r="F732" s="35"/>
      <c r="G732" s="35"/>
      <c r="H732" s="35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1:20" ht="15" customHeight="1">
      <c r="A733" s="13"/>
      <c r="B733" s="13"/>
      <c r="C733" s="35"/>
      <c r="D733" s="35"/>
      <c r="E733" s="35"/>
      <c r="F733" s="35"/>
      <c r="G733" s="35"/>
      <c r="H733" s="35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1:20" ht="15" customHeight="1">
      <c r="A734" s="13"/>
      <c r="B734" s="13"/>
      <c r="C734" s="35"/>
      <c r="D734" s="35"/>
      <c r="E734" s="35"/>
      <c r="F734" s="35"/>
      <c r="G734" s="35"/>
      <c r="H734" s="35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1:20" ht="15" customHeight="1">
      <c r="A735" s="13"/>
      <c r="B735" s="13"/>
      <c r="C735" s="35"/>
      <c r="D735" s="35"/>
      <c r="E735" s="35"/>
      <c r="F735" s="35"/>
      <c r="G735" s="35"/>
      <c r="H735" s="35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1:20" ht="15" customHeight="1">
      <c r="A736" s="13"/>
      <c r="B736" s="13"/>
      <c r="C736" s="35"/>
      <c r="D736" s="35"/>
      <c r="E736" s="35"/>
      <c r="F736" s="35"/>
      <c r="G736" s="35"/>
      <c r="H736" s="35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1:20" ht="15" customHeight="1">
      <c r="A737" s="13"/>
      <c r="B737" s="13"/>
      <c r="C737" s="35"/>
      <c r="D737" s="35"/>
      <c r="E737" s="35"/>
      <c r="F737" s="35"/>
      <c r="G737" s="35"/>
      <c r="H737" s="35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1:20" ht="15" customHeight="1">
      <c r="A738" s="13"/>
      <c r="B738" s="13"/>
      <c r="C738" s="35"/>
      <c r="D738" s="35"/>
      <c r="E738" s="35"/>
      <c r="F738" s="35"/>
      <c r="G738" s="35"/>
      <c r="H738" s="35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1:20" ht="15" customHeight="1">
      <c r="A739" s="13"/>
      <c r="B739" s="13"/>
      <c r="C739" s="35"/>
      <c r="D739" s="35"/>
      <c r="E739" s="35"/>
      <c r="F739" s="35"/>
      <c r="G739" s="35"/>
      <c r="H739" s="35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1:20" ht="15" customHeight="1">
      <c r="A740" s="13"/>
      <c r="B740" s="13"/>
      <c r="C740" s="35"/>
      <c r="D740" s="35"/>
      <c r="E740" s="35"/>
      <c r="F740" s="35"/>
      <c r="G740" s="35"/>
      <c r="H740" s="35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1:20" ht="15" customHeight="1">
      <c r="A741" s="13"/>
      <c r="B741" s="13"/>
      <c r="C741" s="35"/>
      <c r="D741" s="35"/>
      <c r="E741" s="35"/>
      <c r="F741" s="35"/>
      <c r="G741" s="35"/>
      <c r="H741" s="35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1:20" ht="15" customHeight="1">
      <c r="A742" s="13"/>
      <c r="B742" s="13"/>
      <c r="C742" s="35"/>
      <c r="D742" s="35"/>
      <c r="E742" s="35"/>
      <c r="F742" s="35"/>
      <c r="G742" s="35"/>
      <c r="H742" s="35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1:20" ht="15" customHeight="1">
      <c r="A743" s="13"/>
      <c r="B743" s="13"/>
      <c r="C743" s="35"/>
      <c r="D743" s="35"/>
      <c r="E743" s="35"/>
      <c r="F743" s="35"/>
      <c r="G743" s="35"/>
      <c r="H743" s="35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1:20" ht="15" customHeight="1">
      <c r="A744" s="13"/>
      <c r="B744" s="13"/>
      <c r="C744" s="35"/>
      <c r="D744" s="35"/>
      <c r="E744" s="35"/>
      <c r="F744" s="35"/>
      <c r="G744" s="35"/>
      <c r="H744" s="35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1:20" ht="15" customHeight="1">
      <c r="A745" s="13"/>
      <c r="B745" s="13"/>
      <c r="C745" s="35"/>
      <c r="D745" s="35"/>
      <c r="E745" s="35"/>
      <c r="F745" s="35"/>
      <c r="G745" s="35"/>
      <c r="H745" s="35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1:20" ht="15" customHeight="1">
      <c r="A746" s="13"/>
      <c r="B746" s="13"/>
      <c r="C746" s="35"/>
      <c r="D746" s="35"/>
      <c r="E746" s="35"/>
      <c r="F746" s="35"/>
      <c r="G746" s="35"/>
      <c r="H746" s="35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1:20" ht="15" customHeight="1">
      <c r="A747" s="13"/>
      <c r="B747" s="13"/>
      <c r="C747" s="35"/>
      <c r="D747" s="35"/>
      <c r="E747" s="35"/>
      <c r="F747" s="35"/>
      <c r="G747" s="35"/>
      <c r="H747" s="35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1:20" ht="15" customHeight="1">
      <c r="A748" s="13"/>
      <c r="B748" s="13"/>
      <c r="C748" s="35"/>
      <c r="D748" s="35"/>
      <c r="E748" s="35"/>
      <c r="F748" s="35"/>
      <c r="G748" s="35"/>
      <c r="H748" s="35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1:20" ht="15" customHeight="1">
      <c r="A749" s="13"/>
      <c r="B749" s="13"/>
      <c r="C749" s="35"/>
      <c r="D749" s="35"/>
      <c r="E749" s="35"/>
      <c r="F749" s="35"/>
      <c r="G749" s="35"/>
      <c r="H749" s="35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1:20" ht="15" customHeight="1">
      <c r="A750" s="13"/>
      <c r="B750" s="13"/>
      <c r="C750" s="35"/>
      <c r="D750" s="35"/>
      <c r="E750" s="35"/>
      <c r="F750" s="35"/>
      <c r="G750" s="35"/>
      <c r="H750" s="35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1:20" ht="15" customHeight="1">
      <c r="A751" s="13"/>
      <c r="B751" s="13"/>
      <c r="C751" s="35"/>
      <c r="D751" s="35"/>
      <c r="E751" s="35"/>
      <c r="F751" s="35"/>
      <c r="G751" s="35"/>
      <c r="H751" s="35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1:20" ht="15" customHeight="1">
      <c r="A752" s="13"/>
      <c r="B752" s="13"/>
      <c r="C752" s="35"/>
      <c r="D752" s="35"/>
      <c r="E752" s="35"/>
      <c r="F752" s="35"/>
      <c r="G752" s="35"/>
      <c r="H752" s="35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1:20" ht="15" customHeight="1">
      <c r="A753" s="13"/>
      <c r="B753" s="13"/>
      <c r="C753" s="35"/>
      <c r="D753" s="35"/>
      <c r="E753" s="35"/>
      <c r="F753" s="35"/>
      <c r="G753" s="35"/>
      <c r="H753" s="35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1:20" ht="15" customHeight="1">
      <c r="A754" s="13"/>
      <c r="B754" s="13"/>
      <c r="C754" s="35"/>
      <c r="D754" s="35"/>
      <c r="E754" s="35"/>
      <c r="F754" s="35"/>
      <c r="G754" s="35"/>
      <c r="H754" s="35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1:20" ht="15" customHeight="1">
      <c r="A755" s="13"/>
      <c r="B755" s="13"/>
      <c r="C755" s="35"/>
      <c r="D755" s="35"/>
      <c r="E755" s="35"/>
      <c r="F755" s="35"/>
      <c r="G755" s="35"/>
      <c r="H755" s="35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1:20" ht="15" customHeight="1">
      <c r="A756" s="13"/>
      <c r="B756" s="13"/>
      <c r="C756" s="35"/>
      <c r="D756" s="35"/>
      <c r="E756" s="35"/>
      <c r="F756" s="35"/>
      <c r="G756" s="35"/>
      <c r="H756" s="35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1:20" ht="15" customHeight="1">
      <c r="A757" s="13"/>
      <c r="B757" s="13"/>
      <c r="C757" s="35"/>
      <c r="D757" s="35"/>
      <c r="E757" s="35"/>
      <c r="F757" s="35"/>
      <c r="G757" s="35"/>
      <c r="H757" s="35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1:20" ht="15" customHeight="1">
      <c r="A758" s="13"/>
      <c r="B758" s="13"/>
      <c r="C758" s="35"/>
      <c r="D758" s="35"/>
      <c r="E758" s="35"/>
      <c r="F758" s="35"/>
      <c r="G758" s="35"/>
      <c r="H758" s="35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1:20" ht="15" customHeight="1">
      <c r="A759" s="13"/>
      <c r="B759" s="13"/>
      <c r="C759" s="35"/>
      <c r="D759" s="35"/>
      <c r="E759" s="35"/>
      <c r="F759" s="35"/>
      <c r="G759" s="35"/>
      <c r="H759" s="35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1:20" ht="15" customHeight="1">
      <c r="A760" s="13"/>
      <c r="B760" s="13"/>
      <c r="C760" s="35"/>
      <c r="D760" s="35"/>
      <c r="E760" s="35"/>
      <c r="F760" s="35"/>
      <c r="G760" s="35"/>
      <c r="H760" s="35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1:20" ht="15" customHeight="1">
      <c r="A761" s="13"/>
      <c r="B761" s="13"/>
      <c r="C761" s="35"/>
      <c r="D761" s="35"/>
      <c r="E761" s="35"/>
      <c r="F761" s="35"/>
      <c r="G761" s="35"/>
      <c r="H761" s="35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1:20" ht="15" customHeight="1">
      <c r="A762" s="13"/>
      <c r="B762" s="13"/>
      <c r="C762" s="35"/>
      <c r="D762" s="35"/>
      <c r="E762" s="35"/>
      <c r="F762" s="35"/>
      <c r="G762" s="35"/>
      <c r="H762" s="35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1:20" ht="15" customHeight="1">
      <c r="A763" s="13"/>
      <c r="B763" s="13"/>
      <c r="C763" s="35"/>
      <c r="D763" s="35"/>
      <c r="E763" s="35"/>
      <c r="F763" s="35"/>
      <c r="G763" s="35"/>
      <c r="H763" s="35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1:20" ht="15" customHeight="1">
      <c r="A764" s="13"/>
      <c r="B764" s="13"/>
      <c r="C764" s="35"/>
      <c r="D764" s="35"/>
      <c r="E764" s="35"/>
      <c r="F764" s="35"/>
      <c r="G764" s="35"/>
      <c r="H764" s="35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1:20" ht="15" customHeight="1">
      <c r="A765" s="13"/>
      <c r="B765" s="13"/>
      <c r="C765" s="35"/>
      <c r="D765" s="35"/>
      <c r="E765" s="35"/>
      <c r="F765" s="35"/>
      <c r="G765" s="35"/>
      <c r="H765" s="35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1:20" ht="15" customHeight="1">
      <c r="A766" s="13"/>
      <c r="B766" s="13"/>
      <c r="C766" s="35"/>
      <c r="D766" s="35"/>
      <c r="E766" s="35"/>
      <c r="F766" s="35"/>
      <c r="G766" s="35"/>
      <c r="H766" s="35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1:20" ht="15" customHeight="1">
      <c r="A767" s="13"/>
      <c r="B767" s="13"/>
      <c r="C767" s="35"/>
      <c r="D767" s="35"/>
      <c r="E767" s="35"/>
      <c r="F767" s="35"/>
      <c r="G767" s="35"/>
      <c r="H767" s="35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1:20" ht="15" customHeight="1">
      <c r="A768" s="13"/>
      <c r="B768" s="13"/>
      <c r="C768" s="35"/>
      <c r="D768" s="35"/>
      <c r="E768" s="35"/>
      <c r="F768" s="35"/>
      <c r="G768" s="35"/>
      <c r="H768" s="35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1:20" ht="15" customHeight="1">
      <c r="A769" s="13"/>
      <c r="B769" s="13"/>
      <c r="C769" s="35"/>
      <c r="D769" s="35"/>
      <c r="E769" s="35"/>
      <c r="F769" s="35"/>
      <c r="G769" s="35"/>
      <c r="H769" s="35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1:20" ht="15" customHeight="1">
      <c r="A770" s="13"/>
      <c r="B770" s="13"/>
      <c r="C770" s="35"/>
      <c r="D770" s="35"/>
      <c r="E770" s="35"/>
      <c r="F770" s="35"/>
      <c r="G770" s="35"/>
      <c r="H770" s="35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1:20" ht="15" customHeight="1">
      <c r="A771" s="13"/>
      <c r="B771" s="13"/>
      <c r="C771" s="35"/>
      <c r="D771" s="35"/>
      <c r="E771" s="35"/>
      <c r="F771" s="35"/>
      <c r="G771" s="35"/>
      <c r="H771" s="35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1:20" ht="15" customHeight="1">
      <c r="A772" s="13"/>
      <c r="B772" s="13"/>
      <c r="C772" s="35"/>
      <c r="D772" s="35"/>
      <c r="E772" s="35"/>
      <c r="F772" s="35"/>
      <c r="G772" s="35"/>
      <c r="H772" s="35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1:20" ht="15" customHeight="1">
      <c r="A773" s="13"/>
      <c r="B773" s="13"/>
      <c r="C773" s="35"/>
      <c r="D773" s="35"/>
      <c r="E773" s="35"/>
      <c r="F773" s="35"/>
      <c r="G773" s="35"/>
      <c r="H773" s="35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1:20" ht="15" customHeight="1">
      <c r="A774" s="13"/>
      <c r="B774" s="13"/>
      <c r="C774" s="35"/>
      <c r="D774" s="35"/>
      <c r="E774" s="35"/>
      <c r="F774" s="35"/>
      <c r="G774" s="35"/>
      <c r="H774" s="35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1:20" ht="15" customHeight="1">
      <c r="A775" s="13"/>
      <c r="B775" s="13"/>
      <c r="C775" s="35"/>
      <c r="D775" s="35"/>
      <c r="E775" s="35"/>
      <c r="F775" s="35"/>
      <c r="G775" s="35"/>
      <c r="H775" s="35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1:20" ht="15" customHeight="1">
      <c r="A776" s="13"/>
      <c r="B776" s="13"/>
      <c r="C776" s="35"/>
      <c r="D776" s="35"/>
      <c r="E776" s="35"/>
      <c r="F776" s="35"/>
      <c r="G776" s="35"/>
      <c r="H776" s="35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1:20" ht="15" customHeight="1">
      <c r="A777" s="13"/>
      <c r="B777" s="13"/>
      <c r="C777" s="35"/>
      <c r="D777" s="35"/>
      <c r="E777" s="35"/>
      <c r="F777" s="35"/>
      <c r="G777" s="35"/>
      <c r="H777" s="35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1:20" ht="15" customHeight="1">
      <c r="A778" s="13"/>
      <c r="B778" s="13"/>
      <c r="C778" s="35"/>
      <c r="D778" s="35"/>
      <c r="E778" s="35"/>
      <c r="F778" s="35"/>
      <c r="G778" s="35"/>
      <c r="H778" s="35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1:20" ht="15" customHeight="1">
      <c r="A779" s="13"/>
      <c r="B779" s="13"/>
      <c r="C779" s="35"/>
      <c r="D779" s="35"/>
      <c r="E779" s="35"/>
      <c r="F779" s="35"/>
      <c r="G779" s="35"/>
      <c r="H779" s="35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1:20" ht="15" customHeight="1">
      <c r="A780" s="13"/>
      <c r="B780" s="13"/>
      <c r="C780" s="35"/>
      <c r="D780" s="35"/>
      <c r="E780" s="35"/>
      <c r="F780" s="35"/>
      <c r="G780" s="35"/>
      <c r="H780" s="35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1:20" ht="15" customHeight="1">
      <c r="A781" s="13"/>
      <c r="B781" s="13"/>
      <c r="C781" s="35"/>
      <c r="D781" s="35"/>
      <c r="E781" s="35"/>
      <c r="F781" s="35"/>
      <c r="G781" s="35"/>
      <c r="H781" s="35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1:20" ht="15" customHeight="1">
      <c r="A782" s="13"/>
      <c r="B782" s="13"/>
      <c r="C782" s="35"/>
      <c r="D782" s="35"/>
      <c r="E782" s="35"/>
      <c r="F782" s="35"/>
      <c r="G782" s="35"/>
      <c r="H782" s="35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1:20" ht="15" customHeight="1">
      <c r="A783" s="13"/>
      <c r="B783" s="13"/>
      <c r="C783" s="35"/>
      <c r="D783" s="35"/>
      <c r="E783" s="35"/>
      <c r="F783" s="35"/>
      <c r="G783" s="35"/>
      <c r="H783" s="35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1:20" ht="15" customHeight="1">
      <c r="A784" s="13"/>
      <c r="B784" s="13"/>
      <c r="C784" s="35"/>
      <c r="D784" s="35"/>
      <c r="E784" s="35"/>
      <c r="F784" s="35"/>
      <c r="G784" s="35"/>
      <c r="H784" s="35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1:20" ht="15" customHeight="1">
      <c r="A785" s="13"/>
      <c r="B785" s="13"/>
      <c r="C785" s="35"/>
      <c r="D785" s="35"/>
      <c r="E785" s="35"/>
      <c r="F785" s="35"/>
      <c r="G785" s="35"/>
      <c r="H785" s="35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1:20" ht="15" customHeight="1">
      <c r="A786" s="13"/>
      <c r="B786" s="13"/>
      <c r="C786" s="35"/>
      <c r="D786" s="35"/>
      <c r="E786" s="35"/>
      <c r="F786" s="35"/>
      <c r="G786" s="35"/>
      <c r="H786" s="35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1:20" ht="15" customHeight="1">
      <c r="A787" s="13"/>
      <c r="B787" s="13"/>
      <c r="C787" s="35"/>
      <c r="D787" s="35"/>
      <c r="E787" s="35"/>
      <c r="F787" s="35"/>
      <c r="G787" s="35"/>
      <c r="H787" s="35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1:20" ht="15" customHeight="1">
      <c r="A788" s="13"/>
      <c r="B788" s="13"/>
      <c r="C788" s="35"/>
      <c r="D788" s="35"/>
      <c r="E788" s="35"/>
      <c r="F788" s="35"/>
      <c r="G788" s="35"/>
      <c r="H788" s="35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1:20" ht="15" customHeight="1">
      <c r="A789" s="13"/>
      <c r="B789" s="13"/>
      <c r="C789" s="35"/>
      <c r="D789" s="35"/>
      <c r="E789" s="35"/>
      <c r="F789" s="35"/>
      <c r="G789" s="35"/>
      <c r="H789" s="35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1:20" ht="15" customHeight="1">
      <c r="A790" s="13"/>
      <c r="B790" s="13"/>
      <c r="C790" s="35"/>
      <c r="D790" s="35"/>
      <c r="E790" s="35"/>
      <c r="F790" s="35"/>
      <c r="G790" s="35"/>
      <c r="H790" s="35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1:20" ht="15" customHeight="1">
      <c r="A791" s="13"/>
      <c r="B791" s="13"/>
      <c r="C791" s="35"/>
      <c r="D791" s="35"/>
      <c r="E791" s="35"/>
      <c r="F791" s="35"/>
      <c r="G791" s="35"/>
      <c r="H791" s="35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1:20" ht="15" customHeight="1">
      <c r="A792" s="13"/>
      <c r="B792" s="13"/>
      <c r="C792" s="35"/>
      <c r="D792" s="35"/>
      <c r="E792" s="35"/>
      <c r="F792" s="35"/>
      <c r="G792" s="35"/>
      <c r="H792" s="35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1:20" ht="15" customHeight="1">
      <c r="A793" s="13"/>
      <c r="B793" s="13"/>
      <c r="C793" s="35"/>
      <c r="D793" s="35"/>
      <c r="E793" s="35"/>
      <c r="F793" s="35"/>
      <c r="G793" s="35"/>
      <c r="H793" s="35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1:20" ht="15" customHeight="1">
      <c r="A794" s="13"/>
      <c r="B794" s="13"/>
      <c r="C794" s="35"/>
      <c r="D794" s="35"/>
      <c r="E794" s="35"/>
      <c r="F794" s="35"/>
      <c r="G794" s="35"/>
      <c r="H794" s="35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1:20" ht="15" customHeight="1">
      <c r="A795" s="13"/>
      <c r="B795" s="13"/>
      <c r="C795" s="35"/>
      <c r="D795" s="35"/>
      <c r="E795" s="35"/>
      <c r="F795" s="35"/>
      <c r="G795" s="35"/>
      <c r="H795" s="35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1:20" ht="15" customHeight="1">
      <c r="A796" s="13"/>
      <c r="B796" s="13"/>
      <c r="C796" s="35"/>
      <c r="D796" s="35"/>
      <c r="E796" s="35"/>
      <c r="F796" s="35"/>
      <c r="G796" s="35"/>
      <c r="H796" s="35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1:20" ht="15" customHeight="1">
      <c r="A797" s="13"/>
      <c r="B797" s="13"/>
      <c r="C797" s="35"/>
      <c r="D797" s="35"/>
      <c r="E797" s="35"/>
      <c r="F797" s="35"/>
      <c r="G797" s="35"/>
      <c r="H797" s="35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1:20" ht="15" customHeight="1">
      <c r="A798" s="13"/>
      <c r="B798" s="13"/>
      <c r="C798" s="35"/>
      <c r="D798" s="35"/>
      <c r="E798" s="35"/>
      <c r="F798" s="35"/>
      <c r="G798" s="35"/>
      <c r="H798" s="35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1:20" ht="15" customHeight="1">
      <c r="A799" s="13"/>
      <c r="B799" s="13"/>
      <c r="C799" s="35"/>
      <c r="D799" s="35"/>
      <c r="E799" s="35"/>
      <c r="F799" s="35"/>
      <c r="G799" s="35"/>
      <c r="H799" s="35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1:20" ht="15" customHeight="1">
      <c r="A800" s="13"/>
      <c r="B800" s="13"/>
      <c r="C800" s="35"/>
      <c r="D800" s="35"/>
      <c r="E800" s="35"/>
      <c r="F800" s="35"/>
      <c r="G800" s="35"/>
      <c r="H800" s="35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1:20" ht="15" customHeight="1">
      <c r="A801" s="13"/>
      <c r="B801" s="13"/>
      <c r="C801" s="35"/>
      <c r="D801" s="35"/>
      <c r="E801" s="35"/>
      <c r="F801" s="35"/>
      <c r="G801" s="35"/>
      <c r="H801" s="35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1:20" ht="15" customHeight="1">
      <c r="A802" s="13"/>
      <c r="B802" s="13"/>
      <c r="C802" s="35"/>
      <c r="D802" s="35"/>
      <c r="E802" s="35"/>
      <c r="F802" s="35"/>
      <c r="G802" s="35"/>
      <c r="H802" s="35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1:20" ht="15" customHeight="1">
      <c r="A803" s="13"/>
      <c r="B803" s="13"/>
      <c r="C803" s="35"/>
      <c r="D803" s="35"/>
      <c r="E803" s="35"/>
      <c r="F803" s="35"/>
      <c r="G803" s="35"/>
      <c r="H803" s="35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1:20" ht="15" customHeight="1">
      <c r="A804" s="13"/>
      <c r="B804" s="13"/>
      <c r="C804" s="35"/>
      <c r="D804" s="35"/>
      <c r="E804" s="35"/>
      <c r="F804" s="35"/>
      <c r="G804" s="35"/>
      <c r="H804" s="35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1:20" ht="15" customHeight="1">
      <c r="A805" s="13"/>
      <c r="B805" s="13"/>
      <c r="C805" s="35"/>
      <c r="D805" s="35"/>
      <c r="E805" s="35"/>
      <c r="F805" s="35"/>
      <c r="G805" s="35"/>
      <c r="H805" s="35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1:20" ht="15" customHeight="1">
      <c r="A806" s="13"/>
      <c r="B806" s="13"/>
      <c r="C806" s="35"/>
      <c r="D806" s="35"/>
      <c r="E806" s="35"/>
      <c r="F806" s="35"/>
      <c r="G806" s="35"/>
      <c r="H806" s="35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1:20" ht="15" customHeight="1">
      <c r="A807" s="13"/>
      <c r="B807" s="13"/>
      <c r="C807" s="35"/>
      <c r="D807" s="35"/>
      <c r="E807" s="35"/>
      <c r="F807" s="35"/>
      <c r="G807" s="35"/>
      <c r="H807" s="35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1:20" ht="15" customHeight="1">
      <c r="A808" s="13"/>
      <c r="B808" s="13"/>
      <c r="C808" s="35"/>
      <c r="D808" s="35"/>
      <c r="E808" s="35"/>
      <c r="F808" s="35"/>
      <c r="G808" s="35"/>
      <c r="H808" s="35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1:20" ht="15" customHeight="1">
      <c r="A809" s="13"/>
      <c r="B809" s="13"/>
      <c r="C809" s="35"/>
      <c r="D809" s="35"/>
      <c r="E809" s="35"/>
      <c r="F809" s="35"/>
      <c r="G809" s="35"/>
      <c r="H809" s="35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1:20" ht="15" customHeight="1">
      <c r="A810" s="13"/>
      <c r="B810" s="13"/>
      <c r="C810" s="35"/>
      <c r="D810" s="35"/>
      <c r="E810" s="35"/>
      <c r="F810" s="35"/>
      <c r="G810" s="35"/>
      <c r="H810" s="35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1:20" ht="15" customHeight="1">
      <c r="A811" s="13"/>
      <c r="B811" s="13"/>
      <c r="C811" s="35"/>
      <c r="D811" s="35"/>
      <c r="E811" s="35"/>
      <c r="F811" s="35"/>
      <c r="G811" s="35"/>
      <c r="H811" s="35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1:20" ht="15" customHeight="1">
      <c r="A812" s="13"/>
      <c r="B812" s="13"/>
      <c r="C812" s="35"/>
      <c r="D812" s="35"/>
      <c r="E812" s="35"/>
      <c r="F812" s="35"/>
      <c r="G812" s="35"/>
      <c r="H812" s="35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1:20" ht="15" customHeight="1">
      <c r="A813" s="13"/>
      <c r="B813" s="13"/>
      <c r="C813" s="35"/>
      <c r="D813" s="35"/>
      <c r="E813" s="35"/>
      <c r="F813" s="35"/>
      <c r="G813" s="35"/>
      <c r="H813" s="35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1:20" ht="15" customHeight="1">
      <c r="A814" s="13"/>
      <c r="B814" s="13"/>
      <c r="C814" s="35"/>
      <c r="D814" s="35"/>
      <c r="E814" s="35"/>
      <c r="F814" s="35"/>
      <c r="G814" s="35"/>
      <c r="H814" s="35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1:20" ht="15" customHeight="1">
      <c r="A815" s="13"/>
      <c r="B815" s="13"/>
      <c r="C815" s="35"/>
      <c r="D815" s="35"/>
      <c r="E815" s="35"/>
      <c r="F815" s="35"/>
      <c r="G815" s="35"/>
      <c r="H815" s="35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1:20" ht="15" customHeight="1">
      <c r="A816" s="13"/>
      <c r="B816" s="13"/>
      <c r="C816" s="35"/>
      <c r="D816" s="35"/>
      <c r="E816" s="35"/>
      <c r="F816" s="35"/>
      <c r="G816" s="35"/>
      <c r="H816" s="35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1:20" ht="15" customHeight="1">
      <c r="A817" s="13"/>
      <c r="B817" s="13"/>
      <c r="C817" s="35"/>
      <c r="D817" s="35"/>
      <c r="E817" s="35"/>
      <c r="F817" s="35"/>
      <c r="G817" s="35"/>
      <c r="H817" s="35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1:20" ht="15" customHeight="1">
      <c r="A818" s="13"/>
      <c r="B818" s="13"/>
      <c r="C818" s="35"/>
      <c r="D818" s="35"/>
      <c r="E818" s="35"/>
      <c r="F818" s="35"/>
      <c r="G818" s="35"/>
      <c r="H818" s="35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1:20" ht="15" customHeight="1">
      <c r="A819" s="13"/>
      <c r="B819" s="13"/>
      <c r="C819" s="35"/>
      <c r="D819" s="35"/>
      <c r="E819" s="35"/>
      <c r="F819" s="35"/>
      <c r="G819" s="35"/>
      <c r="H819" s="35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1:20" ht="15" customHeight="1">
      <c r="A820" s="13"/>
      <c r="B820" s="13"/>
      <c r="C820" s="35"/>
      <c r="D820" s="35"/>
      <c r="E820" s="35"/>
      <c r="F820" s="35"/>
      <c r="G820" s="35"/>
      <c r="H820" s="35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1:20" ht="15" customHeight="1">
      <c r="A821" s="13"/>
      <c r="B821" s="13"/>
      <c r="C821" s="35"/>
      <c r="D821" s="35"/>
      <c r="E821" s="35"/>
      <c r="F821" s="35"/>
      <c r="G821" s="35"/>
      <c r="H821" s="35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1:20" ht="15" customHeight="1">
      <c r="A822" s="13"/>
      <c r="B822" s="13"/>
      <c r="C822" s="35"/>
      <c r="D822" s="35"/>
      <c r="E822" s="35"/>
      <c r="F822" s="35"/>
      <c r="G822" s="35"/>
      <c r="H822" s="35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1:20" ht="15" customHeight="1">
      <c r="A823" s="13"/>
      <c r="B823" s="13"/>
      <c r="C823" s="35"/>
      <c r="D823" s="35"/>
      <c r="E823" s="35"/>
      <c r="F823" s="35"/>
      <c r="G823" s="35"/>
      <c r="H823" s="35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1:20" ht="15" customHeight="1">
      <c r="A824" s="13"/>
      <c r="B824" s="13"/>
      <c r="C824" s="35"/>
      <c r="D824" s="35"/>
      <c r="E824" s="35"/>
      <c r="F824" s="35"/>
      <c r="G824" s="35"/>
      <c r="H824" s="35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1:20" ht="15" customHeight="1">
      <c r="A825" s="13"/>
      <c r="B825" s="13"/>
      <c r="C825" s="35"/>
      <c r="D825" s="35"/>
      <c r="E825" s="35"/>
      <c r="F825" s="35"/>
      <c r="G825" s="35"/>
      <c r="H825" s="35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1:20" ht="15" customHeight="1">
      <c r="A826" s="13"/>
      <c r="B826" s="13"/>
      <c r="C826" s="35"/>
      <c r="D826" s="35"/>
      <c r="E826" s="35"/>
      <c r="F826" s="35"/>
      <c r="G826" s="35"/>
      <c r="H826" s="35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1:20" ht="15" customHeight="1">
      <c r="A827" s="13"/>
      <c r="B827" s="13"/>
      <c r="C827" s="35"/>
      <c r="D827" s="35"/>
      <c r="E827" s="35"/>
      <c r="F827" s="35"/>
      <c r="G827" s="35"/>
      <c r="H827" s="35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1:20" ht="15" customHeight="1">
      <c r="A828" s="13"/>
      <c r="B828" s="13"/>
      <c r="C828" s="35"/>
      <c r="D828" s="35"/>
      <c r="E828" s="35"/>
      <c r="F828" s="35"/>
      <c r="G828" s="35"/>
      <c r="H828" s="35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1:20" ht="15" customHeight="1">
      <c r="A829" s="13"/>
      <c r="B829" s="13"/>
      <c r="C829" s="35"/>
      <c r="D829" s="35"/>
      <c r="E829" s="35"/>
      <c r="F829" s="35"/>
      <c r="G829" s="35"/>
      <c r="H829" s="35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1:20" ht="15" customHeight="1">
      <c r="A830" s="13"/>
      <c r="B830" s="13"/>
      <c r="C830" s="35"/>
      <c r="D830" s="35"/>
      <c r="E830" s="35"/>
      <c r="F830" s="35"/>
      <c r="G830" s="35"/>
      <c r="H830" s="35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1:20" ht="15" customHeight="1">
      <c r="A831" s="13"/>
      <c r="B831" s="13"/>
      <c r="C831" s="35"/>
      <c r="D831" s="35"/>
      <c r="E831" s="35"/>
      <c r="F831" s="35"/>
      <c r="G831" s="35"/>
      <c r="H831" s="35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1:20" ht="15" customHeight="1">
      <c r="A832" s="13"/>
      <c r="B832" s="13"/>
      <c r="C832" s="35"/>
      <c r="D832" s="35"/>
      <c r="E832" s="35"/>
      <c r="F832" s="35"/>
      <c r="G832" s="35"/>
      <c r="H832" s="35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1:20" ht="15" customHeight="1">
      <c r="A833" s="13"/>
      <c r="B833" s="13"/>
      <c r="C833" s="35"/>
      <c r="D833" s="35"/>
      <c r="E833" s="35"/>
      <c r="F833" s="35"/>
      <c r="G833" s="35"/>
      <c r="H833" s="35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1:20" ht="15" customHeight="1">
      <c r="A834" s="13"/>
      <c r="B834" s="13"/>
      <c r="C834" s="35"/>
      <c r="D834" s="35"/>
      <c r="E834" s="35"/>
      <c r="F834" s="35"/>
      <c r="G834" s="35"/>
      <c r="H834" s="35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1:20" ht="15" customHeight="1">
      <c r="A835" s="13"/>
      <c r="B835" s="13"/>
      <c r="C835" s="35"/>
      <c r="D835" s="35"/>
      <c r="E835" s="35"/>
      <c r="F835" s="35"/>
      <c r="G835" s="35"/>
      <c r="H835" s="35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1:20" ht="15" customHeight="1">
      <c r="A836" s="13"/>
      <c r="B836" s="13"/>
      <c r="C836" s="35"/>
      <c r="D836" s="35"/>
      <c r="E836" s="35"/>
      <c r="F836" s="35"/>
      <c r="G836" s="35"/>
      <c r="H836" s="35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1:20" ht="15" customHeight="1">
      <c r="A837" s="13"/>
      <c r="B837" s="13"/>
      <c r="C837" s="35"/>
      <c r="D837" s="35"/>
      <c r="E837" s="35"/>
      <c r="F837" s="35"/>
      <c r="G837" s="35"/>
      <c r="H837" s="35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1:20" ht="15" customHeight="1">
      <c r="A838" s="13"/>
      <c r="B838" s="13"/>
      <c r="C838" s="35"/>
      <c r="D838" s="35"/>
      <c r="E838" s="35"/>
      <c r="F838" s="35"/>
      <c r="G838" s="35"/>
      <c r="H838" s="35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1:20" ht="15" customHeight="1">
      <c r="A839" s="13"/>
      <c r="B839" s="13"/>
      <c r="C839" s="35"/>
      <c r="D839" s="35"/>
      <c r="E839" s="35"/>
      <c r="F839" s="35"/>
      <c r="G839" s="35"/>
      <c r="H839" s="35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1:20" ht="15" customHeight="1">
      <c r="A840" s="13"/>
      <c r="B840" s="13"/>
      <c r="C840" s="35"/>
      <c r="D840" s="35"/>
      <c r="E840" s="35"/>
      <c r="F840" s="35"/>
      <c r="G840" s="35"/>
      <c r="H840" s="35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1:20" ht="15" customHeight="1">
      <c r="A841" s="13"/>
      <c r="B841" s="13"/>
      <c r="C841" s="35"/>
      <c r="D841" s="35"/>
      <c r="E841" s="35"/>
      <c r="F841" s="35"/>
      <c r="G841" s="35"/>
      <c r="H841" s="35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1:20" ht="15" customHeight="1">
      <c r="A842" s="13"/>
      <c r="B842" s="13"/>
      <c r="C842" s="35"/>
      <c r="D842" s="35"/>
      <c r="E842" s="35"/>
      <c r="F842" s="35"/>
      <c r="G842" s="35"/>
      <c r="H842" s="35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1:20" ht="15" customHeight="1">
      <c r="A843" s="13"/>
      <c r="B843" s="13"/>
      <c r="C843" s="35"/>
      <c r="D843" s="35"/>
      <c r="E843" s="35"/>
      <c r="F843" s="35"/>
      <c r="G843" s="35"/>
      <c r="H843" s="35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1:20" ht="15" customHeight="1">
      <c r="A844" s="13"/>
      <c r="B844" s="13"/>
      <c r="C844" s="35"/>
      <c r="D844" s="35"/>
      <c r="E844" s="35"/>
      <c r="F844" s="35"/>
      <c r="G844" s="35"/>
      <c r="H844" s="35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1:20" ht="15" customHeight="1">
      <c r="A845" s="13"/>
      <c r="B845" s="13"/>
      <c r="C845" s="35"/>
      <c r="D845" s="35"/>
      <c r="E845" s="35"/>
      <c r="F845" s="35"/>
      <c r="G845" s="35"/>
      <c r="H845" s="35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1:20" ht="15" customHeight="1">
      <c r="A846" s="13"/>
      <c r="B846" s="13"/>
      <c r="C846" s="35"/>
      <c r="D846" s="35"/>
      <c r="E846" s="35"/>
      <c r="F846" s="35"/>
      <c r="G846" s="35"/>
      <c r="H846" s="35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1:20" ht="15" customHeight="1">
      <c r="A847" s="13"/>
      <c r="B847" s="13"/>
      <c r="C847" s="35"/>
      <c r="D847" s="35"/>
      <c r="E847" s="35"/>
      <c r="F847" s="35"/>
      <c r="G847" s="35"/>
      <c r="H847" s="35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1:20" ht="15" customHeight="1">
      <c r="A848" s="13"/>
      <c r="B848" s="13"/>
      <c r="C848" s="35"/>
      <c r="D848" s="35"/>
      <c r="E848" s="35"/>
      <c r="F848" s="35"/>
      <c r="G848" s="35"/>
      <c r="H848" s="35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1:20" ht="15" customHeight="1">
      <c r="A849" s="13"/>
      <c r="B849" s="13"/>
      <c r="C849" s="35"/>
      <c r="D849" s="35"/>
      <c r="E849" s="35"/>
      <c r="F849" s="35"/>
      <c r="G849" s="35"/>
      <c r="H849" s="35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1:20" ht="15" customHeight="1">
      <c r="A850" s="13"/>
      <c r="B850" s="13"/>
      <c r="C850" s="35"/>
      <c r="D850" s="35"/>
      <c r="E850" s="35"/>
      <c r="F850" s="35"/>
      <c r="G850" s="35"/>
      <c r="H850" s="35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1:20" ht="15" customHeight="1">
      <c r="A851" s="13"/>
      <c r="B851" s="13"/>
      <c r="C851" s="35"/>
      <c r="D851" s="35"/>
      <c r="E851" s="35"/>
      <c r="F851" s="35"/>
      <c r="G851" s="35"/>
      <c r="H851" s="35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1:20" ht="15" customHeight="1">
      <c r="A852" s="13"/>
      <c r="B852" s="13"/>
      <c r="C852" s="35"/>
      <c r="D852" s="35"/>
      <c r="E852" s="35"/>
      <c r="F852" s="35"/>
      <c r="G852" s="35"/>
      <c r="H852" s="35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1:20" ht="15" customHeight="1">
      <c r="A853" s="13"/>
      <c r="B853" s="13"/>
      <c r="C853" s="35"/>
      <c r="D853" s="35"/>
      <c r="E853" s="35"/>
      <c r="F853" s="35"/>
      <c r="G853" s="35"/>
      <c r="H853" s="35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1:20" ht="15" customHeight="1">
      <c r="A854" s="13"/>
      <c r="B854" s="13"/>
      <c r="C854" s="35"/>
      <c r="D854" s="35"/>
      <c r="E854" s="35"/>
      <c r="F854" s="35"/>
      <c r="G854" s="35"/>
      <c r="H854" s="35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1:20" ht="15" customHeight="1">
      <c r="A855" s="13"/>
      <c r="B855" s="13"/>
      <c r="C855" s="35"/>
      <c r="D855" s="35"/>
      <c r="E855" s="35"/>
      <c r="F855" s="35"/>
      <c r="G855" s="35"/>
      <c r="H855" s="35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1:20" ht="15" customHeight="1">
      <c r="A856" s="13"/>
      <c r="B856" s="13"/>
      <c r="C856" s="35"/>
      <c r="D856" s="35"/>
      <c r="E856" s="35"/>
      <c r="F856" s="35"/>
      <c r="G856" s="35"/>
      <c r="H856" s="35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1:20" ht="15" customHeight="1">
      <c r="A857" s="13"/>
      <c r="B857" s="13"/>
      <c r="C857" s="35"/>
      <c r="D857" s="35"/>
      <c r="E857" s="35"/>
      <c r="F857" s="35"/>
      <c r="G857" s="35"/>
      <c r="H857" s="35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1:20" ht="15" customHeight="1">
      <c r="A858" s="13"/>
      <c r="B858" s="13"/>
      <c r="C858" s="35"/>
      <c r="D858" s="35"/>
      <c r="E858" s="35"/>
      <c r="F858" s="35"/>
      <c r="G858" s="35"/>
      <c r="H858" s="35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1:20" ht="15" customHeight="1">
      <c r="A859" s="13"/>
      <c r="B859" s="13"/>
      <c r="C859" s="35"/>
      <c r="D859" s="35"/>
      <c r="E859" s="35"/>
      <c r="F859" s="35"/>
      <c r="G859" s="35"/>
      <c r="H859" s="35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1:20" ht="15" customHeight="1">
      <c r="A860" s="13"/>
      <c r="B860" s="13"/>
      <c r="C860" s="35"/>
      <c r="D860" s="35"/>
      <c r="E860" s="35"/>
      <c r="F860" s="35"/>
      <c r="G860" s="35"/>
      <c r="H860" s="35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1:20" ht="15" customHeight="1">
      <c r="A861" s="13"/>
      <c r="B861" s="13"/>
      <c r="C861" s="35"/>
      <c r="D861" s="35"/>
      <c r="E861" s="35"/>
      <c r="F861" s="35"/>
      <c r="G861" s="35"/>
      <c r="H861" s="35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1:20" ht="15" customHeight="1">
      <c r="A862" s="13"/>
      <c r="B862" s="13"/>
      <c r="C862" s="35"/>
      <c r="D862" s="35"/>
      <c r="E862" s="35"/>
      <c r="F862" s="35"/>
      <c r="G862" s="35"/>
      <c r="H862" s="35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1:20" ht="15" customHeight="1">
      <c r="A863" s="13"/>
      <c r="B863" s="13"/>
      <c r="C863" s="35"/>
      <c r="D863" s="35"/>
      <c r="E863" s="35"/>
      <c r="F863" s="35"/>
      <c r="G863" s="35"/>
      <c r="H863" s="35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1:20" ht="15" customHeight="1">
      <c r="A864" s="13"/>
      <c r="B864" s="13"/>
      <c r="C864" s="35"/>
      <c r="D864" s="35"/>
      <c r="E864" s="35"/>
      <c r="F864" s="35"/>
      <c r="G864" s="35"/>
      <c r="H864" s="35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1:20" ht="15" customHeight="1">
      <c r="A865" s="13"/>
      <c r="B865" s="13"/>
      <c r="C865" s="35"/>
      <c r="D865" s="35"/>
      <c r="E865" s="35"/>
      <c r="F865" s="35"/>
      <c r="G865" s="35"/>
      <c r="H865" s="35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1:20" ht="15" customHeight="1">
      <c r="A866" s="13"/>
      <c r="B866" s="13"/>
      <c r="C866" s="35"/>
      <c r="D866" s="35"/>
      <c r="E866" s="35"/>
      <c r="F866" s="35"/>
      <c r="G866" s="35"/>
      <c r="H866" s="35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1:20" ht="15" customHeight="1">
      <c r="A867" s="13"/>
      <c r="B867" s="13"/>
      <c r="C867" s="35"/>
      <c r="D867" s="35"/>
      <c r="E867" s="35"/>
      <c r="F867" s="35"/>
      <c r="G867" s="35"/>
      <c r="H867" s="35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1:20" ht="15" customHeight="1">
      <c r="A868" s="13"/>
      <c r="B868" s="13"/>
      <c r="C868" s="35"/>
      <c r="D868" s="35"/>
      <c r="E868" s="35"/>
      <c r="F868" s="35"/>
      <c r="G868" s="35"/>
      <c r="H868" s="35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1:20" ht="15" customHeight="1">
      <c r="A869" s="13"/>
      <c r="B869" s="13"/>
      <c r="C869" s="35"/>
      <c r="D869" s="35"/>
      <c r="E869" s="35"/>
      <c r="F869" s="35"/>
      <c r="G869" s="35"/>
      <c r="H869" s="35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1:20" ht="15" customHeight="1">
      <c r="A870" s="13"/>
      <c r="B870" s="13"/>
      <c r="C870" s="35"/>
      <c r="D870" s="35"/>
      <c r="E870" s="35"/>
      <c r="F870" s="35"/>
      <c r="G870" s="35"/>
      <c r="H870" s="35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1:20" ht="15" customHeight="1">
      <c r="A871" s="13"/>
      <c r="B871" s="13"/>
      <c r="C871" s="35"/>
      <c r="D871" s="35"/>
      <c r="E871" s="35"/>
      <c r="F871" s="35"/>
      <c r="G871" s="35"/>
      <c r="H871" s="35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1:20" ht="15" customHeight="1">
      <c r="A872" s="13"/>
      <c r="B872" s="13"/>
      <c r="C872" s="35"/>
      <c r="D872" s="35"/>
      <c r="E872" s="35"/>
      <c r="F872" s="35"/>
      <c r="G872" s="35"/>
      <c r="H872" s="35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1:20" ht="15" customHeight="1">
      <c r="A873" s="13"/>
      <c r="B873" s="13"/>
      <c r="C873" s="35"/>
      <c r="D873" s="35"/>
      <c r="E873" s="35"/>
      <c r="F873" s="35"/>
      <c r="G873" s="35"/>
      <c r="H873" s="35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1:20" ht="15" customHeight="1">
      <c r="A874" s="13"/>
      <c r="B874" s="13"/>
      <c r="C874" s="35"/>
      <c r="D874" s="35"/>
      <c r="E874" s="35"/>
      <c r="F874" s="35"/>
      <c r="G874" s="35"/>
      <c r="H874" s="35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1:20" ht="15" customHeight="1">
      <c r="A875" s="13"/>
      <c r="B875" s="13"/>
      <c r="C875" s="35"/>
      <c r="D875" s="35"/>
      <c r="E875" s="35"/>
      <c r="F875" s="35"/>
      <c r="G875" s="35"/>
      <c r="H875" s="35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1:20" ht="15" customHeight="1">
      <c r="A876" s="13"/>
      <c r="B876" s="13"/>
      <c r="C876" s="35"/>
      <c r="D876" s="35"/>
      <c r="E876" s="35"/>
      <c r="F876" s="35"/>
      <c r="G876" s="35"/>
      <c r="H876" s="35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1:20" ht="15" customHeight="1">
      <c r="A877" s="13"/>
      <c r="B877" s="13"/>
      <c r="C877" s="35"/>
      <c r="D877" s="35"/>
      <c r="E877" s="35"/>
      <c r="F877" s="35"/>
      <c r="G877" s="35"/>
      <c r="H877" s="35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1:20" ht="15" customHeight="1">
      <c r="A878" s="13"/>
      <c r="B878" s="13"/>
      <c r="C878" s="35"/>
      <c r="D878" s="35"/>
      <c r="E878" s="35"/>
      <c r="F878" s="35"/>
      <c r="G878" s="35"/>
      <c r="H878" s="35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1:20" ht="15" customHeight="1">
      <c r="A879" s="13"/>
      <c r="B879" s="13"/>
      <c r="C879" s="35"/>
      <c r="D879" s="35"/>
      <c r="E879" s="35"/>
      <c r="F879" s="35"/>
      <c r="G879" s="35"/>
      <c r="H879" s="35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1:20" ht="15" customHeight="1">
      <c r="A880" s="13"/>
      <c r="B880" s="13"/>
      <c r="C880" s="35"/>
      <c r="D880" s="35"/>
      <c r="E880" s="35"/>
      <c r="F880" s="35"/>
      <c r="G880" s="35"/>
      <c r="H880" s="35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1:20" ht="15" customHeight="1">
      <c r="A881" s="13"/>
      <c r="B881" s="13"/>
      <c r="C881" s="35"/>
      <c r="D881" s="35"/>
      <c r="E881" s="35"/>
      <c r="F881" s="35"/>
      <c r="G881" s="35"/>
      <c r="H881" s="35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1:20" ht="15" customHeight="1">
      <c r="A882" s="13"/>
      <c r="B882" s="13"/>
      <c r="C882" s="35"/>
      <c r="D882" s="35"/>
      <c r="E882" s="35"/>
      <c r="F882" s="35"/>
      <c r="G882" s="35"/>
      <c r="H882" s="35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1:20" ht="15" customHeight="1">
      <c r="A883" s="13"/>
      <c r="B883" s="13"/>
      <c r="C883" s="35"/>
      <c r="D883" s="35"/>
      <c r="E883" s="35"/>
      <c r="F883" s="35"/>
      <c r="G883" s="35"/>
      <c r="H883" s="35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1:20" ht="15" customHeight="1">
      <c r="A884" s="13"/>
      <c r="B884" s="13"/>
      <c r="C884" s="35"/>
      <c r="D884" s="35"/>
      <c r="E884" s="35"/>
      <c r="F884" s="35"/>
      <c r="G884" s="35"/>
      <c r="H884" s="35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1:20" ht="15" customHeight="1">
      <c r="A885" s="13"/>
      <c r="B885" s="13"/>
      <c r="C885" s="35"/>
      <c r="D885" s="35"/>
      <c r="E885" s="35"/>
      <c r="F885" s="35"/>
      <c r="G885" s="35"/>
      <c r="H885" s="35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1:20" ht="15" customHeight="1">
      <c r="A886" s="13"/>
      <c r="B886" s="13"/>
      <c r="C886" s="35"/>
      <c r="D886" s="35"/>
      <c r="E886" s="35"/>
      <c r="F886" s="35"/>
      <c r="G886" s="35"/>
      <c r="H886" s="35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1:20" ht="15" customHeight="1">
      <c r="A887" s="13"/>
      <c r="B887" s="13"/>
      <c r="C887" s="35"/>
      <c r="D887" s="35"/>
      <c r="E887" s="35"/>
      <c r="F887" s="35"/>
      <c r="G887" s="35"/>
      <c r="H887" s="35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1:20" ht="15" customHeight="1">
      <c r="A888" s="13"/>
      <c r="B888" s="13"/>
      <c r="C888" s="35"/>
      <c r="D888" s="35"/>
      <c r="E888" s="35"/>
      <c r="F888" s="35"/>
      <c r="G888" s="35"/>
      <c r="H888" s="35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1:20" ht="15" customHeight="1">
      <c r="A889" s="13"/>
      <c r="B889" s="13"/>
      <c r="C889" s="35"/>
      <c r="D889" s="35"/>
      <c r="E889" s="35"/>
      <c r="F889" s="35"/>
      <c r="G889" s="35"/>
      <c r="H889" s="35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1:20" ht="15" customHeight="1">
      <c r="A890" s="13"/>
      <c r="B890" s="13"/>
      <c r="C890" s="35"/>
      <c r="D890" s="35"/>
      <c r="E890" s="35"/>
      <c r="F890" s="35"/>
      <c r="G890" s="35"/>
      <c r="H890" s="35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1:20" ht="15" customHeight="1">
      <c r="A891" s="13"/>
      <c r="B891" s="13"/>
      <c r="C891" s="35"/>
      <c r="D891" s="35"/>
      <c r="E891" s="35"/>
      <c r="F891" s="35"/>
      <c r="G891" s="35"/>
      <c r="H891" s="35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1:20" ht="15" customHeight="1">
      <c r="A892" s="13"/>
      <c r="B892" s="13"/>
      <c r="C892" s="35"/>
      <c r="D892" s="35"/>
      <c r="E892" s="35"/>
      <c r="F892" s="35"/>
      <c r="G892" s="35"/>
      <c r="H892" s="35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1:20" ht="15" customHeight="1">
      <c r="A893" s="13"/>
      <c r="B893" s="13"/>
      <c r="C893" s="35"/>
      <c r="D893" s="35"/>
      <c r="E893" s="35"/>
      <c r="F893" s="35"/>
      <c r="G893" s="35"/>
      <c r="H893" s="35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1:20" ht="15" customHeight="1">
      <c r="A894" s="13"/>
      <c r="B894" s="13"/>
      <c r="C894" s="35"/>
      <c r="D894" s="35"/>
      <c r="E894" s="35"/>
      <c r="F894" s="35"/>
      <c r="G894" s="35"/>
      <c r="H894" s="35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1:20" ht="15" customHeight="1">
      <c r="A895" s="13"/>
      <c r="B895" s="13"/>
      <c r="C895" s="35"/>
      <c r="D895" s="35"/>
      <c r="E895" s="35"/>
      <c r="F895" s="35"/>
      <c r="G895" s="35"/>
      <c r="H895" s="35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1:20" ht="15" customHeight="1">
      <c r="A896" s="13"/>
      <c r="B896" s="13"/>
      <c r="C896" s="35"/>
      <c r="D896" s="35"/>
      <c r="E896" s="35"/>
      <c r="F896" s="35"/>
      <c r="G896" s="35"/>
      <c r="H896" s="35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1:20" ht="15" customHeight="1">
      <c r="A897" s="13"/>
      <c r="B897" s="13"/>
      <c r="C897" s="35"/>
      <c r="D897" s="35"/>
      <c r="E897" s="35"/>
      <c r="F897" s="35"/>
      <c r="G897" s="35"/>
      <c r="H897" s="35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1:20" ht="15" customHeight="1">
      <c r="A898" s="13"/>
      <c r="B898" s="13"/>
      <c r="C898" s="35"/>
      <c r="D898" s="35"/>
      <c r="E898" s="35"/>
      <c r="F898" s="35"/>
      <c r="G898" s="35"/>
      <c r="H898" s="35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1:20" ht="15" customHeight="1">
      <c r="A899" s="13"/>
      <c r="B899" s="13"/>
      <c r="C899" s="35"/>
      <c r="D899" s="35"/>
      <c r="E899" s="35"/>
      <c r="F899" s="35"/>
      <c r="G899" s="35"/>
      <c r="H899" s="35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1:20" ht="15" customHeight="1">
      <c r="A900" s="13"/>
      <c r="B900" s="13"/>
      <c r="C900" s="35"/>
      <c r="D900" s="35"/>
      <c r="E900" s="35"/>
      <c r="F900" s="35"/>
      <c r="G900" s="35"/>
      <c r="H900" s="35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1:20" ht="15" customHeight="1">
      <c r="A901" s="13"/>
      <c r="B901" s="13"/>
      <c r="C901" s="35"/>
      <c r="D901" s="35"/>
      <c r="E901" s="35"/>
      <c r="F901" s="35"/>
      <c r="G901" s="35"/>
      <c r="H901" s="35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1:20" ht="15" customHeight="1">
      <c r="A902" s="13"/>
      <c r="B902" s="13"/>
      <c r="C902" s="35"/>
      <c r="D902" s="35"/>
      <c r="E902" s="35"/>
      <c r="F902" s="35"/>
      <c r="G902" s="35"/>
      <c r="H902" s="35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1:20" ht="15" customHeight="1">
      <c r="A903" s="13"/>
      <c r="B903" s="13"/>
      <c r="C903" s="35"/>
      <c r="D903" s="35"/>
      <c r="E903" s="35"/>
      <c r="F903" s="35"/>
      <c r="G903" s="35"/>
      <c r="H903" s="35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1:20" ht="15" customHeight="1">
      <c r="A904" s="13"/>
      <c r="B904" s="13"/>
      <c r="C904" s="35"/>
      <c r="D904" s="35"/>
      <c r="E904" s="35"/>
      <c r="F904" s="35"/>
      <c r="G904" s="35"/>
      <c r="H904" s="35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1:20" ht="15" customHeight="1">
      <c r="A905" s="13"/>
      <c r="B905" s="13"/>
      <c r="C905" s="35"/>
      <c r="D905" s="35"/>
      <c r="E905" s="35"/>
      <c r="F905" s="35"/>
      <c r="G905" s="35"/>
      <c r="H905" s="35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1:20" ht="15" customHeight="1">
      <c r="A906" s="13"/>
      <c r="B906" s="13"/>
      <c r="C906" s="35"/>
      <c r="D906" s="35"/>
      <c r="E906" s="35"/>
      <c r="F906" s="35"/>
      <c r="G906" s="35"/>
      <c r="H906" s="35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1:20" ht="15" customHeight="1">
      <c r="A907" s="13"/>
      <c r="B907" s="13"/>
      <c r="C907" s="35"/>
      <c r="D907" s="35"/>
      <c r="E907" s="35"/>
      <c r="F907" s="35"/>
      <c r="G907" s="35"/>
      <c r="H907" s="35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1:20" ht="15" customHeight="1">
      <c r="A908" s="13"/>
      <c r="B908" s="13"/>
      <c r="C908" s="35"/>
      <c r="D908" s="35"/>
      <c r="E908" s="35"/>
      <c r="F908" s="35"/>
      <c r="G908" s="35"/>
      <c r="H908" s="35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1:20" ht="15" customHeight="1">
      <c r="A909" s="13"/>
      <c r="B909" s="13"/>
      <c r="C909" s="35"/>
      <c r="D909" s="35"/>
      <c r="E909" s="35"/>
      <c r="F909" s="35"/>
      <c r="G909" s="35"/>
      <c r="H909" s="35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1:20" ht="15" customHeight="1">
      <c r="A910" s="13"/>
      <c r="B910" s="13"/>
      <c r="C910" s="35"/>
      <c r="D910" s="35"/>
      <c r="E910" s="35"/>
      <c r="F910" s="35"/>
      <c r="G910" s="35"/>
      <c r="H910" s="35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1:20" ht="15" customHeight="1">
      <c r="A911" s="13"/>
      <c r="B911" s="13"/>
      <c r="C911" s="35"/>
      <c r="D911" s="35"/>
      <c r="E911" s="35"/>
      <c r="F911" s="35"/>
      <c r="G911" s="35"/>
      <c r="H911" s="35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1:20" ht="15" customHeight="1">
      <c r="A912" s="13"/>
      <c r="B912" s="13"/>
      <c r="C912" s="35"/>
      <c r="D912" s="35"/>
      <c r="E912" s="35"/>
      <c r="F912" s="35"/>
      <c r="G912" s="35"/>
      <c r="H912" s="35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1:20" ht="15" customHeight="1">
      <c r="A913" s="13"/>
      <c r="B913" s="13"/>
      <c r="C913" s="35"/>
      <c r="D913" s="35"/>
      <c r="E913" s="35"/>
      <c r="F913" s="35"/>
      <c r="G913" s="35"/>
      <c r="H913" s="35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1:20" ht="15" customHeight="1">
      <c r="A914" s="13"/>
      <c r="B914" s="13"/>
      <c r="C914" s="35"/>
      <c r="D914" s="35"/>
      <c r="E914" s="35"/>
      <c r="F914" s="35"/>
      <c r="G914" s="35"/>
      <c r="H914" s="35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1:20" ht="15" customHeight="1">
      <c r="A915" s="13"/>
      <c r="B915" s="13"/>
      <c r="C915" s="35"/>
      <c r="D915" s="35"/>
      <c r="E915" s="35"/>
      <c r="F915" s="35"/>
      <c r="G915" s="35"/>
      <c r="H915" s="35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1:20" ht="15" customHeight="1">
      <c r="A916" s="13"/>
      <c r="B916" s="13"/>
      <c r="C916" s="35"/>
      <c r="D916" s="35"/>
      <c r="E916" s="35"/>
      <c r="F916" s="35"/>
      <c r="G916" s="35"/>
      <c r="H916" s="35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1:20" ht="15" customHeight="1">
      <c r="A917" s="13"/>
      <c r="B917" s="13"/>
      <c r="C917" s="35"/>
      <c r="D917" s="35"/>
      <c r="E917" s="35"/>
      <c r="F917" s="35"/>
      <c r="G917" s="35"/>
      <c r="H917" s="35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1:20" ht="15" customHeight="1">
      <c r="A918" s="13"/>
      <c r="B918" s="13"/>
      <c r="C918" s="35"/>
      <c r="D918" s="35"/>
      <c r="E918" s="35"/>
      <c r="F918" s="35"/>
      <c r="G918" s="35"/>
      <c r="H918" s="35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1:20" ht="15" customHeight="1">
      <c r="A919" s="13"/>
      <c r="B919" s="13"/>
      <c r="C919" s="35"/>
      <c r="D919" s="35"/>
      <c r="E919" s="35"/>
      <c r="F919" s="35"/>
      <c r="G919" s="35"/>
      <c r="H919" s="35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1:20" ht="15" customHeight="1">
      <c r="A920" s="13"/>
      <c r="B920" s="13"/>
      <c r="C920" s="35"/>
      <c r="D920" s="35"/>
      <c r="E920" s="35"/>
      <c r="F920" s="35"/>
      <c r="G920" s="35"/>
      <c r="H920" s="35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1:20" ht="15" customHeight="1">
      <c r="A921" s="13"/>
      <c r="B921" s="13"/>
      <c r="C921" s="35"/>
      <c r="D921" s="35"/>
      <c r="E921" s="35"/>
      <c r="F921" s="35"/>
      <c r="G921" s="35"/>
      <c r="H921" s="35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1:20" ht="15" customHeight="1">
      <c r="A922" s="13"/>
      <c r="B922" s="13"/>
      <c r="C922" s="35"/>
      <c r="D922" s="35"/>
      <c r="E922" s="35"/>
      <c r="F922" s="35"/>
      <c r="G922" s="35"/>
      <c r="H922" s="35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1:20" ht="15" customHeight="1">
      <c r="A923" s="13"/>
      <c r="B923" s="13"/>
      <c r="C923" s="35"/>
      <c r="D923" s="35"/>
      <c r="E923" s="35"/>
      <c r="F923" s="35"/>
      <c r="G923" s="35"/>
      <c r="H923" s="35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1:20" ht="15" customHeight="1">
      <c r="A924" s="13"/>
      <c r="B924" s="13"/>
      <c r="C924" s="35"/>
      <c r="D924" s="35"/>
      <c r="E924" s="35"/>
      <c r="F924" s="35"/>
      <c r="G924" s="35"/>
      <c r="H924" s="35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1:20" ht="15" customHeight="1">
      <c r="A925" s="13"/>
      <c r="B925" s="13"/>
      <c r="C925" s="35"/>
      <c r="D925" s="35"/>
      <c r="E925" s="35"/>
      <c r="F925" s="35"/>
      <c r="G925" s="35"/>
      <c r="H925" s="35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1:20" ht="15" customHeight="1">
      <c r="A926" s="13"/>
      <c r="B926" s="13"/>
      <c r="C926" s="35"/>
      <c r="D926" s="35"/>
      <c r="E926" s="35"/>
      <c r="F926" s="35"/>
      <c r="G926" s="35"/>
      <c r="H926" s="35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1:20" ht="15" customHeight="1">
      <c r="A927" s="13"/>
      <c r="B927" s="13"/>
      <c r="C927" s="35"/>
      <c r="D927" s="35"/>
      <c r="E927" s="35"/>
      <c r="F927" s="35"/>
      <c r="G927" s="35"/>
      <c r="H927" s="35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1:20" ht="15" customHeight="1">
      <c r="A928" s="13"/>
      <c r="B928" s="13"/>
      <c r="C928" s="35"/>
      <c r="D928" s="35"/>
      <c r="E928" s="35"/>
      <c r="F928" s="35"/>
      <c r="G928" s="35"/>
      <c r="H928" s="35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1:20" ht="15" customHeight="1">
      <c r="A929" s="13"/>
      <c r="B929" s="13"/>
      <c r="C929" s="35"/>
      <c r="D929" s="35"/>
      <c r="E929" s="35"/>
      <c r="F929" s="35"/>
      <c r="G929" s="35"/>
      <c r="H929" s="35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1:20" ht="15" customHeight="1">
      <c r="A930" s="13"/>
      <c r="B930" s="13"/>
      <c r="C930" s="35"/>
      <c r="D930" s="35"/>
      <c r="E930" s="35"/>
      <c r="F930" s="35"/>
      <c r="G930" s="35"/>
      <c r="H930" s="35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1:20" ht="15" customHeight="1">
      <c r="A931" s="13"/>
      <c r="B931" s="13"/>
      <c r="C931" s="35"/>
      <c r="D931" s="35"/>
      <c r="E931" s="35"/>
      <c r="F931" s="35"/>
      <c r="G931" s="35"/>
      <c r="H931" s="35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1:20" ht="15" customHeight="1">
      <c r="A932" s="13"/>
      <c r="B932" s="13"/>
      <c r="C932" s="35"/>
      <c r="D932" s="35"/>
      <c r="E932" s="35"/>
      <c r="F932" s="35"/>
      <c r="G932" s="35"/>
      <c r="H932" s="35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1:20" ht="15" customHeight="1">
      <c r="A933" s="13"/>
      <c r="B933" s="13"/>
      <c r="C933" s="35"/>
      <c r="D933" s="35"/>
      <c r="E933" s="35"/>
      <c r="F933" s="35"/>
      <c r="G933" s="35"/>
      <c r="H933" s="35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1:20" ht="15" customHeight="1">
      <c r="A934" s="13"/>
      <c r="B934" s="13"/>
      <c r="C934" s="35"/>
      <c r="D934" s="35"/>
      <c r="E934" s="35"/>
      <c r="F934" s="35"/>
      <c r="G934" s="35"/>
      <c r="H934" s="35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1:20" ht="15" customHeight="1">
      <c r="A935" s="13"/>
      <c r="B935" s="13"/>
      <c r="C935" s="35"/>
      <c r="D935" s="35"/>
      <c r="E935" s="35"/>
      <c r="F935" s="35"/>
      <c r="G935" s="35"/>
      <c r="H935" s="35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1:20" ht="15" customHeight="1">
      <c r="A936" s="13"/>
      <c r="B936" s="13"/>
      <c r="C936" s="35"/>
      <c r="D936" s="35"/>
      <c r="E936" s="35"/>
      <c r="F936" s="35"/>
      <c r="G936" s="35"/>
      <c r="H936" s="35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1:20" ht="15" customHeight="1">
      <c r="A937" s="13"/>
      <c r="B937" s="13"/>
      <c r="C937" s="35"/>
      <c r="D937" s="35"/>
      <c r="E937" s="35"/>
      <c r="F937" s="35"/>
      <c r="G937" s="35"/>
      <c r="H937" s="35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1:20" ht="15" customHeight="1">
      <c r="A938" s="13"/>
      <c r="B938" s="13"/>
      <c r="C938" s="35"/>
      <c r="D938" s="35"/>
      <c r="E938" s="35"/>
      <c r="F938" s="35"/>
      <c r="G938" s="35"/>
      <c r="H938" s="35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1:20" ht="15" customHeight="1">
      <c r="A939" s="13"/>
      <c r="B939" s="13"/>
      <c r="C939" s="35"/>
      <c r="D939" s="35"/>
      <c r="E939" s="35"/>
      <c r="F939" s="35"/>
      <c r="G939" s="35"/>
      <c r="H939" s="35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1:20" ht="15" customHeight="1">
      <c r="A940" s="13"/>
      <c r="B940" s="13"/>
      <c r="C940" s="35"/>
      <c r="D940" s="35"/>
      <c r="E940" s="35"/>
      <c r="F940" s="35"/>
      <c r="G940" s="35"/>
      <c r="H940" s="35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1:20" ht="15" customHeight="1">
      <c r="A941" s="13"/>
      <c r="B941" s="13"/>
      <c r="C941" s="35"/>
      <c r="D941" s="35"/>
      <c r="E941" s="35"/>
      <c r="F941" s="35"/>
      <c r="G941" s="35"/>
      <c r="H941" s="35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1:20" ht="15" customHeight="1">
      <c r="A942" s="13"/>
      <c r="B942" s="13"/>
      <c r="C942" s="35"/>
      <c r="D942" s="35"/>
      <c r="E942" s="35"/>
      <c r="F942" s="35"/>
      <c r="G942" s="35"/>
      <c r="H942" s="35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1:20" ht="15" customHeight="1">
      <c r="A943" s="13"/>
      <c r="B943" s="13"/>
      <c r="C943" s="35"/>
      <c r="D943" s="35"/>
      <c r="E943" s="35"/>
      <c r="F943" s="35"/>
      <c r="G943" s="35"/>
      <c r="H943" s="35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1:20" ht="15" customHeight="1">
      <c r="A944" s="13"/>
      <c r="B944" s="13"/>
      <c r="C944" s="35"/>
      <c r="D944" s="35"/>
      <c r="E944" s="35"/>
      <c r="F944" s="35"/>
      <c r="G944" s="35"/>
      <c r="H944" s="35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1:20" ht="15" customHeight="1">
      <c r="A945" s="13"/>
      <c r="B945" s="13"/>
      <c r="C945" s="35"/>
      <c r="D945" s="35"/>
      <c r="E945" s="35"/>
      <c r="F945" s="35"/>
      <c r="G945" s="35"/>
      <c r="H945" s="35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1:20" ht="15" customHeight="1">
      <c r="A946" s="13"/>
      <c r="B946" s="13"/>
      <c r="C946" s="35"/>
      <c r="D946" s="35"/>
      <c r="E946" s="35"/>
      <c r="F946" s="35"/>
      <c r="G946" s="35"/>
      <c r="H946" s="35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1:20" ht="15" customHeight="1">
      <c r="A947" s="13"/>
      <c r="B947" s="13"/>
      <c r="C947" s="35"/>
      <c r="D947" s="35"/>
      <c r="E947" s="35"/>
      <c r="F947" s="35"/>
      <c r="G947" s="35"/>
      <c r="H947" s="35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1:20" ht="15" customHeight="1">
      <c r="A948" s="13"/>
      <c r="B948" s="13"/>
      <c r="C948" s="35"/>
      <c r="D948" s="35"/>
      <c r="E948" s="35"/>
      <c r="F948" s="35"/>
      <c r="G948" s="35"/>
      <c r="H948" s="35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1:20" ht="15" customHeight="1">
      <c r="A949" s="13"/>
      <c r="B949" s="13"/>
      <c r="C949" s="35"/>
      <c r="D949" s="35"/>
      <c r="E949" s="35"/>
      <c r="F949" s="35"/>
      <c r="G949" s="35"/>
      <c r="H949" s="35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1:20" ht="15" customHeight="1">
      <c r="A950" s="13"/>
      <c r="B950" s="13"/>
      <c r="C950" s="35"/>
      <c r="D950" s="35"/>
      <c r="E950" s="35"/>
      <c r="F950" s="35"/>
      <c r="G950" s="35"/>
      <c r="H950" s="35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1:20" ht="15" customHeight="1">
      <c r="A951" s="13"/>
      <c r="B951" s="13"/>
      <c r="C951" s="35"/>
      <c r="D951" s="35"/>
      <c r="E951" s="35"/>
      <c r="F951" s="35"/>
      <c r="G951" s="35"/>
      <c r="H951" s="35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1:20" ht="15" customHeight="1">
      <c r="A952" s="13"/>
      <c r="B952" s="13"/>
      <c r="C952" s="35"/>
      <c r="D952" s="35"/>
      <c r="E952" s="35"/>
      <c r="F952" s="35"/>
      <c r="G952" s="35"/>
      <c r="H952" s="35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1:20" ht="15" customHeight="1">
      <c r="A953" s="13"/>
      <c r="B953" s="13"/>
      <c r="C953" s="35"/>
      <c r="D953" s="35"/>
      <c r="E953" s="35"/>
      <c r="F953" s="35"/>
      <c r="G953" s="35"/>
      <c r="H953" s="35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1:20" ht="15" customHeight="1">
      <c r="A954" s="13"/>
      <c r="B954" s="13"/>
      <c r="C954" s="35"/>
      <c r="D954" s="35"/>
      <c r="E954" s="35"/>
      <c r="F954" s="35"/>
      <c r="G954" s="35"/>
      <c r="H954" s="35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1:20" ht="15" customHeight="1">
      <c r="A955" s="13"/>
      <c r="B955" s="13"/>
      <c r="C955" s="35"/>
      <c r="D955" s="35"/>
      <c r="E955" s="35"/>
      <c r="F955" s="35"/>
      <c r="G955" s="35"/>
      <c r="H955" s="35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1:20" ht="15" customHeight="1">
      <c r="A956" s="13"/>
      <c r="B956" s="13"/>
      <c r="C956" s="35"/>
      <c r="D956" s="35"/>
      <c r="E956" s="35"/>
      <c r="F956" s="35"/>
      <c r="G956" s="35"/>
      <c r="H956" s="35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1:20" ht="15" customHeight="1">
      <c r="A957" s="13"/>
      <c r="B957" s="13"/>
      <c r="C957" s="35"/>
      <c r="D957" s="35"/>
      <c r="E957" s="35"/>
      <c r="F957" s="35"/>
      <c r="G957" s="35"/>
      <c r="H957" s="35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1:20" ht="15" customHeight="1">
      <c r="A958" s="13"/>
      <c r="B958" s="13"/>
      <c r="C958" s="35"/>
      <c r="D958" s="35"/>
      <c r="E958" s="35"/>
      <c r="F958" s="35"/>
      <c r="G958" s="35"/>
      <c r="H958" s="35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1:20" ht="15" customHeight="1">
      <c r="A959" s="13"/>
      <c r="B959" s="13"/>
      <c r="C959" s="35"/>
      <c r="D959" s="35"/>
      <c r="E959" s="35"/>
      <c r="F959" s="35"/>
      <c r="G959" s="35"/>
      <c r="H959" s="35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1:20" ht="15" customHeight="1">
      <c r="A960" s="13"/>
      <c r="B960" s="13"/>
      <c r="C960" s="35"/>
      <c r="D960" s="35"/>
      <c r="E960" s="35"/>
      <c r="F960" s="35"/>
      <c r="G960" s="35"/>
      <c r="H960" s="35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1:20" ht="15" customHeight="1">
      <c r="A961" s="13"/>
      <c r="B961" s="13"/>
      <c r="C961" s="35"/>
      <c r="D961" s="35"/>
      <c r="E961" s="35"/>
      <c r="F961" s="35"/>
      <c r="G961" s="35"/>
      <c r="H961" s="35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1:20" ht="15" customHeight="1">
      <c r="A962" s="13"/>
      <c r="B962" s="13"/>
      <c r="C962" s="35"/>
      <c r="D962" s="35"/>
      <c r="E962" s="35"/>
      <c r="F962" s="35"/>
      <c r="G962" s="35"/>
      <c r="H962" s="35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1:20" ht="15" customHeight="1">
      <c r="A963" s="13"/>
      <c r="B963" s="13"/>
      <c r="C963" s="35"/>
      <c r="D963" s="35"/>
      <c r="E963" s="35"/>
      <c r="F963" s="35"/>
      <c r="G963" s="35"/>
      <c r="H963" s="35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1:20" ht="15" customHeight="1">
      <c r="A964" s="13"/>
      <c r="B964" s="13"/>
      <c r="C964" s="35"/>
      <c r="D964" s="35"/>
      <c r="E964" s="35"/>
      <c r="F964" s="35"/>
      <c r="G964" s="35"/>
      <c r="H964" s="35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1:20" ht="15" customHeight="1">
      <c r="A965" s="13"/>
      <c r="B965" s="13"/>
      <c r="C965" s="35"/>
      <c r="D965" s="35"/>
      <c r="E965" s="35"/>
      <c r="F965" s="35"/>
      <c r="G965" s="35"/>
      <c r="H965" s="35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1:20" ht="15" customHeight="1">
      <c r="A966" s="13"/>
      <c r="B966" s="13"/>
      <c r="C966" s="35"/>
      <c r="D966" s="35"/>
      <c r="E966" s="35"/>
      <c r="F966" s="35"/>
      <c r="G966" s="35"/>
      <c r="H966" s="35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1:20" ht="15" customHeight="1">
      <c r="A967" s="13"/>
      <c r="B967" s="13"/>
      <c r="C967" s="35"/>
      <c r="D967" s="35"/>
      <c r="E967" s="35"/>
      <c r="F967" s="35"/>
      <c r="G967" s="35"/>
      <c r="H967" s="35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1:20" ht="15" customHeight="1">
      <c r="A968" s="13"/>
      <c r="B968" s="13"/>
      <c r="C968" s="35"/>
      <c r="D968" s="35"/>
      <c r="E968" s="35"/>
      <c r="F968" s="35"/>
      <c r="G968" s="35"/>
      <c r="H968" s="35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1:20" ht="15" customHeight="1">
      <c r="A969" s="13"/>
      <c r="B969" s="13"/>
      <c r="C969" s="35"/>
      <c r="D969" s="35"/>
      <c r="E969" s="35"/>
      <c r="F969" s="35"/>
      <c r="G969" s="35"/>
      <c r="H969" s="35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1:20" ht="15" customHeight="1">
      <c r="A970" s="13"/>
      <c r="B970" s="13"/>
      <c r="C970" s="35"/>
      <c r="D970" s="35"/>
      <c r="E970" s="35"/>
      <c r="F970" s="35"/>
      <c r="G970" s="35"/>
      <c r="H970" s="35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1:20" ht="15" customHeight="1">
      <c r="A971" s="13"/>
      <c r="B971" s="13"/>
      <c r="C971" s="35"/>
      <c r="D971" s="35"/>
      <c r="E971" s="35"/>
      <c r="F971" s="35"/>
      <c r="G971" s="35"/>
      <c r="H971" s="35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1:20" ht="15" customHeight="1">
      <c r="A972" s="13"/>
      <c r="B972" s="13"/>
      <c r="C972" s="35"/>
      <c r="D972" s="35"/>
      <c r="E972" s="35"/>
      <c r="F972" s="35"/>
      <c r="G972" s="35"/>
      <c r="H972" s="35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1:20" ht="15" customHeight="1">
      <c r="A973" s="13"/>
      <c r="B973" s="13"/>
      <c r="C973" s="35"/>
      <c r="D973" s="35"/>
      <c r="E973" s="35"/>
      <c r="F973" s="35"/>
      <c r="G973" s="35"/>
      <c r="H973" s="35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1:20" ht="15" customHeight="1">
      <c r="A974" s="13"/>
      <c r="B974" s="13"/>
      <c r="C974" s="35"/>
      <c r="D974" s="35"/>
      <c r="E974" s="35"/>
      <c r="F974" s="35"/>
      <c r="G974" s="35"/>
      <c r="H974" s="35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1:20" ht="15" customHeight="1">
      <c r="A975" s="13"/>
      <c r="B975" s="13"/>
      <c r="C975" s="35"/>
      <c r="D975" s="35"/>
      <c r="E975" s="35"/>
      <c r="F975" s="35"/>
      <c r="G975" s="35"/>
      <c r="H975" s="35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1:20" ht="15" customHeight="1">
      <c r="A976" s="13"/>
      <c r="B976" s="13"/>
      <c r="C976" s="35"/>
      <c r="D976" s="35"/>
      <c r="E976" s="35"/>
      <c r="F976" s="35"/>
      <c r="G976" s="35"/>
      <c r="H976" s="35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1:20" ht="15" customHeight="1">
      <c r="A977" s="13"/>
      <c r="B977" s="13"/>
      <c r="C977" s="35"/>
      <c r="D977" s="35"/>
      <c r="E977" s="35"/>
      <c r="F977" s="35"/>
      <c r="G977" s="35"/>
      <c r="H977" s="35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1:20" ht="15" customHeight="1">
      <c r="A978" s="13"/>
      <c r="B978" s="13"/>
      <c r="C978" s="35"/>
      <c r="D978" s="35"/>
      <c r="E978" s="35"/>
      <c r="F978" s="35"/>
      <c r="G978" s="35"/>
      <c r="H978" s="35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1:20" ht="15" customHeight="1">
      <c r="A979" s="13"/>
      <c r="B979" s="13"/>
      <c r="C979" s="35"/>
      <c r="D979" s="35"/>
      <c r="E979" s="35"/>
      <c r="F979" s="35"/>
      <c r="G979" s="35"/>
      <c r="H979" s="35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1:20" ht="15" customHeight="1">
      <c r="A980" s="13"/>
      <c r="B980" s="13"/>
      <c r="C980" s="35"/>
      <c r="D980" s="35"/>
      <c r="E980" s="35"/>
      <c r="F980" s="35"/>
      <c r="G980" s="35"/>
      <c r="H980" s="35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1:20" ht="15" customHeight="1">
      <c r="A981" s="13"/>
      <c r="B981" s="13"/>
      <c r="C981" s="35"/>
      <c r="D981" s="35"/>
      <c r="E981" s="35"/>
      <c r="F981" s="35"/>
      <c r="G981" s="35"/>
      <c r="H981" s="35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1:20" ht="15" customHeight="1">
      <c r="A982" s="13"/>
      <c r="B982" s="13"/>
      <c r="C982" s="35"/>
      <c r="D982" s="35"/>
      <c r="E982" s="35"/>
      <c r="F982" s="35"/>
      <c r="G982" s="35"/>
      <c r="H982" s="35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1:20" ht="15" customHeight="1">
      <c r="A983" s="13"/>
      <c r="B983" s="13"/>
      <c r="C983" s="35"/>
      <c r="D983" s="35"/>
      <c r="E983" s="35"/>
      <c r="F983" s="35"/>
      <c r="G983" s="35"/>
      <c r="H983" s="35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1:20" ht="15" customHeight="1">
      <c r="A984" s="13"/>
      <c r="B984" s="13"/>
      <c r="C984" s="35"/>
      <c r="D984" s="35"/>
      <c r="E984" s="35"/>
      <c r="F984" s="35"/>
      <c r="G984" s="35"/>
      <c r="H984" s="35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1:20" ht="15" customHeight="1">
      <c r="A985" s="13"/>
      <c r="B985" s="13"/>
      <c r="C985" s="35"/>
      <c r="D985" s="35"/>
      <c r="E985" s="35"/>
      <c r="F985" s="35"/>
      <c r="G985" s="35"/>
      <c r="H985" s="35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1:20" ht="15" customHeight="1">
      <c r="A986" s="13"/>
      <c r="B986" s="13"/>
      <c r="C986" s="35"/>
      <c r="D986" s="35"/>
      <c r="E986" s="35"/>
      <c r="F986" s="35"/>
      <c r="G986" s="35"/>
      <c r="H986" s="35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1:20" ht="15" customHeight="1">
      <c r="A987" s="13"/>
      <c r="B987" s="13"/>
      <c r="C987" s="35"/>
      <c r="D987" s="35"/>
      <c r="E987" s="35"/>
      <c r="F987" s="35"/>
      <c r="G987" s="35"/>
      <c r="H987" s="35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1:20" ht="15" customHeight="1">
      <c r="A988" s="13"/>
      <c r="B988" s="13"/>
      <c r="C988" s="35"/>
      <c r="D988" s="35"/>
      <c r="E988" s="35"/>
      <c r="F988" s="35"/>
      <c r="G988" s="35"/>
      <c r="H988" s="35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1:20" ht="15" customHeight="1">
      <c r="A989" s="13"/>
      <c r="B989" s="13"/>
      <c r="C989" s="35"/>
      <c r="D989" s="35"/>
      <c r="E989" s="35"/>
      <c r="F989" s="35"/>
      <c r="G989" s="35"/>
      <c r="H989" s="35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1:20" ht="15" customHeight="1">
      <c r="A990" s="13"/>
      <c r="B990" s="13"/>
      <c r="C990" s="35"/>
      <c r="D990" s="35"/>
      <c r="E990" s="35"/>
      <c r="F990" s="35"/>
      <c r="G990" s="35"/>
      <c r="H990" s="35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1:20" ht="15" customHeight="1">
      <c r="A991" s="13"/>
      <c r="B991" s="13"/>
      <c r="C991" s="35"/>
      <c r="D991" s="35"/>
      <c r="E991" s="35"/>
      <c r="F991" s="35"/>
      <c r="G991" s="35"/>
      <c r="H991" s="35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1:20" ht="15" customHeight="1">
      <c r="A992" s="13"/>
      <c r="B992" s="13"/>
      <c r="C992" s="35"/>
      <c r="D992" s="35"/>
      <c r="E992" s="35"/>
      <c r="F992" s="35"/>
      <c r="G992" s="35"/>
      <c r="H992" s="35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1:20" ht="15" customHeight="1">
      <c r="A993" s="13"/>
      <c r="B993" s="13"/>
      <c r="C993" s="35"/>
      <c r="D993" s="35"/>
      <c r="E993" s="35"/>
      <c r="F993" s="35"/>
      <c r="G993" s="35"/>
      <c r="H993" s="35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1:20" ht="15" customHeight="1">
      <c r="A994" s="13"/>
      <c r="B994" s="13"/>
      <c r="C994" s="35"/>
      <c r="D994" s="35"/>
      <c r="E994" s="35"/>
      <c r="F994" s="35"/>
      <c r="G994" s="35"/>
      <c r="H994" s="35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1:20" ht="15" customHeight="1">
      <c r="A995" s="13"/>
      <c r="B995" s="13"/>
      <c r="C995" s="35"/>
      <c r="D995" s="35"/>
      <c r="E995" s="35"/>
      <c r="F995" s="35"/>
      <c r="G995" s="35"/>
      <c r="H995" s="35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1:20" ht="15" customHeight="1">
      <c r="A996" s="13"/>
      <c r="B996" s="13"/>
      <c r="C996" s="35"/>
      <c r="D996" s="35"/>
      <c r="E996" s="35"/>
      <c r="F996" s="35"/>
      <c r="G996" s="35"/>
      <c r="H996" s="35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1:20" ht="15" customHeight="1">
      <c r="A997" s="13"/>
      <c r="B997" s="13"/>
      <c r="C997" s="35"/>
      <c r="D997" s="35"/>
      <c r="E997" s="35"/>
      <c r="F997" s="35"/>
      <c r="G997" s="35"/>
      <c r="H997" s="35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1:20" ht="15" customHeight="1">
      <c r="A998" s="13"/>
      <c r="B998" s="13"/>
      <c r="C998" s="35"/>
      <c r="D998" s="35"/>
      <c r="E998" s="35"/>
      <c r="F998" s="35"/>
      <c r="G998" s="35"/>
      <c r="H998" s="35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1:20" ht="15" customHeight="1">
      <c r="A999" s="13"/>
      <c r="B999" s="13"/>
      <c r="C999" s="35"/>
      <c r="D999" s="35"/>
      <c r="E999" s="35"/>
      <c r="F999" s="35"/>
      <c r="G999" s="35"/>
      <c r="H999" s="35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1:20" ht="15" customHeight="1">
      <c r="A1000" s="13"/>
      <c r="B1000" s="13"/>
      <c r="C1000" s="35"/>
      <c r="D1000" s="35"/>
      <c r="E1000" s="35"/>
      <c r="F1000" s="35"/>
      <c r="G1000" s="35"/>
      <c r="H1000" s="35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  <row r="1001" spans="1:20" ht="15" customHeight="1">
      <c r="A1001" s="13"/>
      <c r="B1001" s="13"/>
      <c r="C1001" s="35"/>
      <c r="D1001" s="35"/>
      <c r="E1001" s="35"/>
      <c r="F1001" s="35"/>
      <c r="G1001" s="35"/>
      <c r="H1001" s="35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</row>
    <row r="1002" spans="1:20" ht="15" customHeight="1">
      <c r="A1002" s="13"/>
      <c r="B1002" s="13"/>
      <c r="C1002" s="35"/>
      <c r="D1002" s="35"/>
      <c r="E1002" s="35"/>
      <c r="F1002" s="35"/>
      <c r="G1002" s="35"/>
      <c r="H1002" s="35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</row>
    <row r="1003" spans="1:20" ht="15" customHeight="1">
      <c r="A1003" s="13"/>
      <c r="B1003" s="13"/>
      <c r="C1003" s="35"/>
      <c r="D1003" s="35"/>
      <c r="E1003" s="35"/>
      <c r="F1003" s="35"/>
      <c r="G1003" s="35"/>
      <c r="H1003" s="35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</row>
    <row r="1004" spans="1:20" ht="15" customHeight="1">
      <c r="A1004" s="13"/>
      <c r="B1004" s="13"/>
      <c r="C1004" s="35"/>
      <c r="D1004" s="35"/>
      <c r="E1004" s="35"/>
      <c r="F1004" s="35"/>
      <c r="G1004" s="35"/>
      <c r="H1004" s="35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</row>
    <row r="1005" spans="1:20" ht="15" customHeight="1">
      <c r="A1005" s="13"/>
      <c r="B1005" s="13"/>
      <c r="C1005" s="35"/>
      <c r="D1005" s="35"/>
      <c r="E1005" s="35"/>
      <c r="F1005" s="35"/>
      <c r="G1005" s="35"/>
      <c r="H1005" s="35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</row>
    <row r="1006" spans="1:20" ht="15" customHeight="1">
      <c r="A1006" s="13"/>
      <c r="B1006" s="13"/>
      <c r="C1006" s="35"/>
      <c r="D1006" s="35"/>
      <c r="E1006" s="35"/>
      <c r="F1006" s="35"/>
      <c r="G1006" s="35"/>
      <c r="H1006" s="35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</row>
    <row r="1007" spans="1:20" ht="15" customHeight="1">
      <c r="A1007" s="13"/>
      <c r="B1007" s="13"/>
      <c r="C1007" s="35"/>
      <c r="D1007" s="35"/>
      <c r="E1007" s="35"/>
      <c r="F1007" s="35"/>
      <c r="G1007" s="35"/>
      <c r="H1007" s="35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</row>
    <row r="1008" spans="1:20" ht="15" customHeight="1">
      <c r="A1008" s="13"/>
      <c r="B1008" s="13"/>
      <c r="C1008" s="35"/>
      <c r="D1008" s="35"/>
      <c r="E1008" s="35"/>
      <c r="F1008" s="35"/>
      <c r="G1008" s="35"/>
      <c r="H1008" s="35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</row>
    <row r="1009" spans="1:20" ht="15" customHeight="1">
      <c r="A1009" s="13"/>
      <c r="B1009" s="13"/>
      <c r="C1009" s="35"/>
      <c r="D1009" s="35"/>
      <c r="E1009" s="35"/>
      <c r="F1009" s="35"/>
      <c r="G1009" s="35"/>
      <c r="H1009" s="35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</row>
    <row r="1010" spans="1:20" ht="15" customHeight="1">
      <c r="A1010" s="13"/>
      <c r="B1010" s="13"/>
      <c r="C1010" s="35"/>
      <c r="D1010" s="35"/>
      <c r="E1010" s="35"/>
      <c r="F1010" s="35"/>
      <c r="G1010" s="35"/>
      <c r="H1010" s="35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</row>
    <row r="1011" spans="1:20" ht="15" customHeight="1">
      <c r="A1011" s="13"/>
      <c r="B1011" s="13"/>
      <c r="C1011" s="35"/>
      <c r="D1011" s="35"/>
      <c r="E1011" s="35"/>
      <c r="F1011" s="35"/>
      <c r="G1011" s="35"/>
      <c r="H1011" s="35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</row>
    <row r="1012" spans="1:20" ht="15" customHeight="1">
      <c r="A1012" s="13"/>
      <c r="B1012" s="13"/>
      <c r="C1012" s="35"/>
      <c r="D1012" s="35"/>
      <c r="E1012" s="35"/>
      <c r="F1012" s="35"/>
      <c r="G1012" s="35"/>
      <c r="H1012" s="35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</row>
    <row r="1013" spans="1:20" ht="15" customHeight="1">
      <c r="A1013" s="13"/>
      <c r="B1013" s="13"/>
      <c r="C1013" s="35"/>
      <c r="D1013" s="35"/>
      <c r="E1013" s="35"/>
      <c r="F1013" s="35"/>
      <c r="G1013" s="35"/>
      <c r="H1013" s="35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</row>
    <row r="1014" spans="1:20" ht="15" customHeight="1">
      <c r="A1014" s="13"/>
      <c r="B1014" s="13"/>
      <c r="C1014" s="35"/>
      <c r="D1014" s="35"/>
      <c r="E1014" s="35"/>
      <c r="F1014" s="35"/>
      <c r="G1014" s="35"/>
      <c r="H1014" s="35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</row>
    <row r="1015" spans="1:20" ht="15" customHeight="1">
      <c r="A1015" s="13"/>
      <c r="B1015" s="13"/>
      <c r="C1015" s="35"/>
      <c r="D1015" s="35"/>
      <c r="E1015" s="35"/>
      <c r="F1015" s="35"/>
      <c r="G1015" s="35"/>
      <c r="H1015" s="35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</row>
    <row r="1016" spans="1:20" ht="15" customHeight="1">
      <c r="A1016" s="13"/>
      <c r="B1016" s="13"/>
      <c r="C1016" s="35"/>
      <c r="D1016" s="35"/>
      <c r="E1016" s="35"/>
      <c r="F1016" s="35"/>
      <c r="G1016" s="35"/>
      <c r="H1016" s="35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</row>
    <row r="1017" spans="1:20" ht="15" customHeight="1">
      <c r="A1017" s="13"/>
      <c r="B1017" s="13"/>
      <c r="C1017" s="35"/>
      <c r="D1017" s="35"/>
      <c r="E1017" s="35"/>
      <c r="F1017" s="35"/>
      <c r="G1017" s="35"/>
      <c r="H1017" s="35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</row>
    <row r="1018" spans="1:20" ht="15" customHeight="1">
      <c r="A1018" s="13"/>
      <c r="B1018" s="13"/>
      <c r="C1018" s="35"/>
      <c r="D1018" s="35"/>
      <c r="E1018" s="35"/>
      <c r="F1018" s="35"/>
      <c r="G1018" s="35"/>
      <c r="H1018" s="35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</row>
    <row r="1019" spans="1:20" ht="15" customHeight="1">
      <c r="A1019" s="13"/>
      <c r="B1019" s="13"/>
      <c r="C1019" s="35"/>
      <c r="D1019" s="35"/>
      <c r="E1019" s="35"/>
      <c r="F1019" s="35"/>
      <c r="G1019" s="35"/>
      <c r="H1019" s="35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</row>
    <row r="1020" spans="1:20" ht="15" customHeight="1">
      <c r="A1020" s="13"/>
      <c r="B1020" s="13"/>
      <c r="C1020" s="35"/>
      <c r="D1020" s="35"/>
      <c r="E1020" s="35"/>
      <c r="F1020" s="35"/>
      <c r="G1020" s="35"/>
      <c r="H1020" s="35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</row>
    <row r="1021" spans="1:20" ht="15" customHeight="1">
      <c r="A1021" s="13"/>
      <c r="B1021" s="13"/>
      <c r="C1021" s="35"/>
      <c r="D1021" s="35"/>
      <c r="E1021" s="35"/>
      <c r="F1021" s="35"/>
      <c r="G1021" s="35"/>
      <c r="H1021" s="35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</row>
    <row r="1022" spans="1:20" ht="15" customHeight="1">
      <c r="A1022" s="13"/>
      <c r="B1022" s="13"/>
      <c r="C1022" s="35"/>
      <c r="D1022" s="35"/>
      <c r="E1022" s="35"/>
      <c r="F1022" s="35"/>
      <c r="G1022" s="35"/>
      <c r="H1022" s="35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</row>
    <row r="1023" spans="1:20" ht="15" customHeight="1">
      <c r="A1023" s="13"/>
      <c r="B1023" s="13"/>
      <c r="C1023" s="35"/>
      <c r="D1023" s="35"/>
      <c r="E1023" s="35"/>
      <c r="F1023" s="35"/>
      <c r="G1023" s="35"/>
      <c r="H1023" s="35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</row>
    <row r="1024" spans="1:20" ht="15" customHeight="1">
      <c r="A1024" s="13"/>
      <c r="B1024" s="13"/>
      <c r="C1024" s="35"/>
      <c r="D1024" s="35"/>
      <c r="E1024" s="35"/>
      <c r="F1024" s="35"/>
      <c r="G1024" s="35"/>
      <c r="H1024" s="35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</row>
    <row r="1025" spans="1:20" ht="15" customHeight="1">
      <c r="A1025" s="13"/>
      <c r="B1025" s="13"/>
      <c r="C1025" s="35"/>
      <c r="D1025" s="35"/>
      <c r="E1025" s="35"/>
      <c r="F1025" s="35"/>
      <c r="G1025" s="35"/>
      <c r="H1025" s="35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</row>
    <row r="1026" spans="1:20" ht="15" customHeight="1">
      <c r="A1026" s="13"/>
      <c r="B1026" s="13"/>
      <c r="C1026" s="35"/>
      <c r="D1026" s="35"/>
      <c r="E1026" s="35"/>
      <c r="F1026" s="35"/>
      <c r="G1026" s="35"/>
      <c r="H1026" s="35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</row>
    <row r="1027" spans="1:20" ht="15" customHeight="1">
      <c r="A1027" s="13"/>
      <c r="B1027" s="13"/>
      <c r="C1027" s="35"/>
      <c r="D1027" s="35"/>
      <c r="E1027" s="35"/>
      <c r="F1027" s="35"/>
      <c r="G1027" s="35"/>
      <c r="H1027" s="35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</row>
    <row r="1028" spans="1:20" ht="15" customHeight="1">
      <c r="A1028" s="13"/>
      <c r="B1028" s="13"/>
      <c r="C1028" s="35"/>
      <c r="D1028" s="35"/>
      <c r="E1028" s="35"/>
      <c r="F1028" s="35"/>
      <c r="G1028" s="35"/>
      <c r="H1028" s="35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</row>
    <row r="1029" spans="1:20" ht="15" customHeight="1">
      <c r="A1029" s="13"/>
      <c r="B1029" s="13"/>
      <c r="C1029" s="35"/>
      <c r="D1029" s="35"/>
      <c r="E1029" s="35"/>
      <c r="F1029" s="35"/>
      <c r="G1029" s="35"/>
      <c r="H1029" s="35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</row>
    <row r="1030" spans="1:20" ht="15" customHeight="1">
      <c r="A1030" s="13"/>
      <c r="B1030" s="13"/>
      <c r="C1030" s="35"/>
      <c r="D1030" s="35"/>
      <c r="E1030" s="35"/>
      <c r="F1030" s="35"/>
      <c r="G1030" s="35"/>
      <c r="H1030" s="35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</row>
    <row r="1031" spans="1:20" ht="15" customHeight="1">
      <c r="A1031" s="13"/>
      <c r="B1031" s="13"/>
      <c r="C1031" s="35"/>
      <c r="D1031" s="35"/>
      <c r="E1031" s="35"/>
      <c r="F1031" s="35"/>
      <c r="G1031" s="35"/>
      <c r="H1031" s="35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</row>
    <row r="1032" spans="1:20" ht="15" customHeight="1">
      <c r="A1032" s="13"/>
      <c r="B1032" s="13"/>
      <c r="C1032" s="35"/>
      <c r="D1032" s="35"/>
      <c r="E1032" s="35"/>
      <c r="F1032" s="35"/>
      <c r="G1032" s="35"/>
      <c r="H1032" s="35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</row>
    <row r="1033" spans="1:20" ht="15" customHeight="1">
      <c r="A1033" s="13"/>
      <c r="B1033" s="13"/>
      <c r="C1033" s="35"/>
      <c r="D1033" s="35"/>
      <c r="E1033" s="35"/>
      <c r="F1033" s="35"/>
      <c r="G1033" s="35"/>
      <c r="H1033" s="35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</row>
    <row r="1034" spans="1:20" ht="15" customHeight="1">
      <c r="A1034" s="13"/>
      <c r="B1034" s="13"/>
      <c r="C1034" s="35"/>
      <c r="D1034" s="35"/>
      <c r="E1034" s="35"/>
      <c r="F1034" s="35"/>
      <c r="G1034" s="35"/>
      <c r="H1034" s="35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</row>
    <row r="1035" spans="1:20" ht="15" customHeight="1">
      <c r="A1035" s="13"/>
      <c r="B1035" s="13"/>
      <c r="C1035" s="35"/>
      <c r="D1035" s="35"/>
      <c r="E1035" s="35"/>
      <c r="F1035" s="35"/>
      <c r="G1035" s="35"/>
      <c r="H1035" s="35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</row>
    <row r="1036" spans="1:20" ht="15" customHeight="1">
      <c r="A1036" s="13"/>
      <c r="B1036" s="13"/>
      <c r="C1036" s="35"/>
      <c r="D1036" s="35"/>
      <c r="E1036" s="35"/>
      <c r="F1036" s="35"/>
      <c r="G1036" s="35"/>
      <c r="H1036" s="35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</row>
    <row r="1037" spans="1:20" ht="15" customHeight="1">
      <c r="A1037" s="13"/>
      <c r="B1037" s="13"/>
      <c r="C1037" s="35"/>
      <c r="D1037" s="35"/>
      <c r="E1037" s="35"/>
      <c r="F1037" s="35"/>
      <c r="G1037" s="35"/>
      <c r="H1037" s="35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</row>
    <row r="1038" spans="1:20" ht="15" customHeight="1">
      <c r="A1038" s="13"/>
      <c r="B1038" s="13"/>
      <c r="C1038" s="35"/>
      <c r="D1038" s="35"/>
      <c r="E1038" s="35"/>
      <c r="F1038" s="35"/>
      <c r="G1038" s="35"/>
      <c r="H1038" s="35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</row>
    <row r="1039" spans="1:20" ht="15" customHeight="1">
      <c r="A1039" s="13"/>
      <c r="B1039" s="13"/>
      <c r="C1039" s="35"/>
      <c r="D1039" s="35"/>
      <c r="E1039" s="35"/>
      <c r="F1039" s="35"/>
      <c r="G1039" s="35"/>
      <c r="H1039" s="35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</row>
    <row r="1040" spans="1:20" ht="15" customHeight="1">
      <c r="A1040" s="13"/>
      <c r="B1040" s="13"/>
      <c r="C1040" s="35"/>
      <c r="D1040" s="35"/>
      <c r="E1040" s="35"/>
      <c r="F1040" s="35"/>
      <c r="G1040" s="35"/>
      <c r="H1040" s="35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</row>
    <row r="1041" spans="1:20" ht="15" customHeight="1">
      <c r="A1041" s="13"/>
      <c r="B1041" s="13"/>
      <c r="C1041" s="35"/>
      <c r="D1041" s="35"/>
      <c r="E1041" s="35"/>
      <c r="F1041" s="35"/>
      <c r="G1041" s="35"/>
      <c r="H1041" s="35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</row>
  </sheetData>
  <mergeCells count="7">
    <mergeCell ref="A204:H204"/>
    <mergeCell ref="A205:H205"/>
    <mergeCell ref="A1:H1"/>
    <mergeCell ref="A3:B4"/>
    <mergeCell ref="C3:C4"/>
    <mergeCell ref="D3:H3"/>
    <mergeCell ref="C5:H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"/>
  <sheetViews>
    <sheetView showGridLines="0" zoomScaleNormal="100" workbookViewId="0">
      <pane ySplit="5" topLeftCell="A195" activePane="bottomLeft" state="frozen"/>
      <selection pane="bottomLeft" activeCell="D202" sqref="D202:H202"/>
    </sheetView>
  </sheetViews>
  <sheetFormatPr defaultColWidth="13.125" defaultRowHeight="14.25"/>
  <cols>
    <col min="1" max="1" width="7" customWidth="1"/>
    <col min="2" max="3" width="11.125" customWidth="1"/>
    <col min="4" max="4" width="12.125" customWidth="1"/>
    <col min="5" max="5" width="11.625" customWidth="1"/>
    <col min="6" max="6" width="12.75" customWidth="1"/>
    <col min="7" max="7" width="12" customWidth="1"/>
    <col min="10" max="10" width="19.25" customWidth="1"/>
    <col min="11" max="11" width="19.25" bestFit="1" customWidth="1"/>
    <col min="26" max="26" width="13.125" style="36"/>
  </cols>
  <sheetData>
    <row r="1" spans="1:25" ht="15" customHeight="1">
      <c r="A1" s="147" t="s">
        <v>50</v>
      </c>
      <c r="B1" s="147"/>
      <c r="C1" s="147"/>
      <c r="D1" s="147"/>
      <c r="E1" s="147"/>
      <c r="F1" s="147"/>
      <c r="G1" s="147"/>
      <c r="H1" s="14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5" customHeight="1">
      <c r="A2" s="37"/>
      <c r="B2" s="37"/>
      <c r="C2" s="37"/>
      <c r="D2" s="37"/>
      <c r="E2" s="37"/>
      <c r="F2" s="37"/>
      <c r="G2" s="37"/>
      <c r="H2" s="37"/>
      <c r="I2" s="8"/>
      <c r="J2" s="8"/>
      <c r="K2" s="8"/>
      <c r="L2" s="8"/>
      <c r="M2" s="8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ht="15" customHeight="1">
      <c r="A3" s="148" t="s">
        <v>14</v>
      </c>
      <c r="B3" s="148"/>
      <c r="C3" s="149" t="s">
        <v>15</v>
      </c>
      <c r="D3" s="150" t="s">
        <v>16</v>
      </c>
      <c r="E3" s="150"/>
      <c r="F3" s="150"/>
      <c r="G3" s="150"/>
      <c r="H3" s="150"/>
      <c r="I3" s="8"/>
      <c r="J3" s="8"/>
      <c r="K3" s="8"/>
      <c r="L3" s="8"/>
      <c r="M3" s="8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ht="21.75" customHeight="1">
      <c r="A4" s="148"/>
      <c r="B4" s="148"/>
      <c r="C4" s="149"/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8"/>
      <c r="J4" s="8"/>
      <c r="K4" s="8"/>
      <c r="L4" s="8"/>
      <c r="M4" s="8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1:25" ht="15" customHeight="1">
      <c r="A5" s="9"/>
      <c r="B5" s="24"/>
      <c r="C5" s="151" t="s">
        <v>22</v>
      </c>
      <c r="D5" s="151"/>
      <c r="E5" s="151"/>
      <c r="F5" s="151"/>
      <c r="G5" s="151"/>
      <c r="H5" s="151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 ht="15" customHeight="1">
      <c r="A6" s="9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 ht="15" customHeight="1">
      <c r="A7" s="18">
        <v>2010</v>
      </c>
      <c r="B7" s="18" t="s">
        <v>23</v>
      </c>
      <c r="C7" s="38">
        <v>12465303</v>
      </c>
      <c r="D7" s="21">
        <v>6456821</v>
      </c>
      <c r="E7" s="22">
        <v>562621</v>
      </c>
      <c r="F7" s="22">
        <v>3931294</v>
      </c>
      <c r="G7" s="22">
        <v>1051913</v>
      </c>
      <c r="H7" s="22">
        <v>462654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ht="15" customHeight="1">
      <c r="A8" s="19"/>
      <c r="B8" s="18" t="s">
        <v>24</v>
      </c>
      <c r="C8" s="38">
        <v>13764010</v>
      </c>
      <c r="D8" s="21">
        <v>6201381</v>
      </c>
      <c r="E8" s="22">
        <v>1080846</v>
      </c>
      <c r="F8" s="22">
        <v>3734331</v>
      </c>
      <c r="G8" s="22">
        <v>2256009</v>
      </c>
      <c r="H8" s="22">
        <v>491443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ht="15" customHeight="1">
      <c r="A9" s="19"/>
      <c r="B9" s="18" t="s">
        <v>25</v>
      </c>
      <c r="C9" s="38">
        <v>12927032</v>
      </c>
      <c r="D9" s="21">
        <v>6288226</v>
      </c>
      <c r="E9" s="22">
        <v>931390</v>
      </c>
      <c r="F9" s="22">
        <v>3922852</v>
      </c>
      <c r="G9" s="22">
        <v>1093883</v>
      </c>
      <c r="H9" s="22">
        <v>690681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ht="15" customHeight="1">
      <c r="A10" s="19"/>
      <c r="B10" s="18" t="s">
        <v>26</v>
      </c>
      <c r="C10" s="38">
        <v>15538434</v>
      </c>
      <c r="D10" s="21">
        <v>6117504</v>
      </c>
      <c r="E10" s="22">
        <v>1141102</v>
      </c>
      <c r="F10" s="22">
        <v>4741064</v>
      </c>
      <c r="G10" s="22">
        <v>2748523</v>
      </c>
      <c r="H10" s="22">
        <v>790241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8"/>
      <c r="U10" s="8"/>
      <c r="V10" s="8"/>
      <c r="W10" s="8"/>
      <c r="X10" s="8"/>
      <c r="Y10" s="8"/>
    </row>
    <row r="11" spans="1:25" ht="15" customHeight="1">
      <c r="A11" s="19"/>
      <c r="B11" s="18" t="s">
        <v>27</v>
      </c>
      <c r="C11" s="38">
        <v>13593987</v>
      </c>
      <c r="D11" s="21">
        <v>6085730</v>
      </c>
      <c r="E11" s="22">
        <v>820846</v>
      </c>
      <c r="F11" s="22">
        <v>4529190</v>
      </c>
      <c r="G11" s="22">
        <v>1197299</v>
      </c>
      <c r="H11" s="22">
        <v>960922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8"/>
      <c r="U11" s="8"/>
      <c r="V11" s="8"/>
      <c r="W11" s="8"/>
      <c r="X11" s="8"/>
      <c r="Y11" s="8"/>
    </row>
    <row r="12" spans="1:25" ht="15" customHeight="1">
      <c r="A12" s="19"/>
      <c r="B12" s="18" t="s">
        <v>28</v>
      </c>
      <c r="C12" s="38">
        <v>15063222</v>
      </c>
      <c r="D12" s="21">
        <v>6282479</v>
      </c>
      <c r="E12" s="22">
        <v>1076609</v>
      </c>
      <c r="F12" s="22">
        <v>4270785</v>
      </c>
      <c r="G12" s="22">
        <v>2463069</v>
      </c>
      <c r="H12" s="22">
        <v>970280</v>
      </c>
      <c r="I12" s="8"/>
      <c r="J12" s="8"/>
      <c r="K12" s="8"/>
      <c r="L12" s="8"/>
      <c r="M12" s="8"/>
      <c r="N12" s="24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15" customHeight="1">
      <c r="A13" s="19"/>
      <c r="B13" s="18" t="s">
        <v>29</v>
      </c>
      <c r="C13" s="38">
        <v>14532162</v>
      </c>
      <c r="D13" s="21">
        <v>6934151</v>
      </c>
      <c r="E13" s="22">
        <v>766053</v>
      </c>
      <c r="F13" s="22">
        <v>4602433</v>
      </c>
      <c r="G13" s="22">
        <v>1234228</v>
      </c>
      <c r="H13" s="22">
        <v>995297</v>
      </c>
      <c r="I13" s="8"/>
      <c r="J13" s="8"/>
      <c r="K13" s="8"/>
      <c r="L13" s="8"/>
      <c r="M13" s="8"/>
      <c r="N13" s="24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15" customHeight="1">
      <c r="A14" s="19"/>
      <c r="B14" s="18" t="s">
        <v>30</v>
      </c>
      <c r="C14" s="38">
        <v>16761704</v>
      </c>
      <c r="D14" s="21">
        <v>7200822</v>
      </c>
      <c r="E14" s="22">
        <v>1181414</v>
      </c>
      <c r="F14" s="22">
        <v>4682416</v>
      </c>
      <c r="G14" s="22">
        <v>2836461</v>
      </c>
      <c r="H14" s="22">
        <v>860591</v>
      </c>
      <c r="I14" s="8"/>
      <c r="J14" s="8"/>
      <c r="K14" s="8"/>
      <c r="L14" s="8"/>
      <c r="M14" s="8"/>
      <c r="N14" s="24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15" customHeight="1">
      <c r="A15" s="19"/>
      <c r="B15" s="18" t="s">
        <v>31</v>
      </c>
      <c r="C15" s="38">
        <v>14358387</v>
      </c>
      <c r="D15" s="21">
        <v>7212260</v>
      </c>
      <c r="E15" s="22">
        <v>792542</v>
      </c>
      <c r="F15" s="22">
        <v>4431827</v>
      </c>
      <c r="G15" s="22">
        <v>1184711</v>
      </c>
      <c r="H15" s="22">
        <v>737047</v>
      </c>
      <c r="I15" s="8"/>
      <c r="J15" s="8"/>
      <c r="K15" s="8"/>
      <c r="L15" s="8"/>
      <c r="M15" s="8"/>
      <c r="N15" s="24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15" customHeight="1">
      <c r="A16" s="19"/>
      <c r="B16" s="18" t="s">
        <v>32</v>
      </c>
      <c r="C16" s="38">
        <v>15952672</v>
      </c>
      <c r="D16" s="21">
        <v>6996376</v>
      </c>
      <c r="E16" s="22">
        <v>932663</v>
      </c>
      <c r="F16" s="22">
        <v>4624192</v>
      </c>
      <c r="G16" s="22">
        <v>2818153</v>
      </c>
      <c r="H16" s="22">
        <v>581288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15" customHeight="1">
      <c r="A17" s="19"/>
      <c r="B17" s="18" t="s">
        <v>33</v>
      </c>
      <c r="C17" s="38">
        <v>17663237</v>
      </c>
      <c r="D17" s="21">
        <v>10707942</v>
      </c>
      <c r="E17" s="22">
        <v>727219</v>
      </c>
      <c r="F17" s="22">
        <v>4492342</v>
      </c>
      <c r="G17" s="22">
        <v>1259905</v>
      </c>
      <c r="H17" s="22">
        <v>475829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8"/>
      <c r="U17" s="8"/>
      <c r="V17" s="8"/>
      <c r="W17" s="8"/>
      <c r="X17" s="8"/>
      <c r="Y17" s="8"/>
    </row>
    <row r="18" spans="1:25" ht="15" customHeight="1">
      <c r="A18" s="19"/>
      <c r="B18" s="18" t="s">
        <v>34</v>
      </c>
      <c r="C18" s="38">
        <v>14988420</v>
      </c>
      <c r="D18" s="21">
        <v>6648121</v>
      </c>
      <c r="E18" s="22">
        <v>877216</v>
      </c>
      <c r="F18" s="22">
        <v>4564518</v>
      </c>
      <c r="G18" s="22">
        <v>2498859</v>
      </c>
      <c r="H18" s="22">
        <v>399706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8"/>
      <c r="U18" s="8"/>
      <c r="V18" s="8"/>
      <c r="W18" s="8"/>
      <c r="X18" s="8"/>
      <c r="Y18" s="8"/>
    </row>
    <row r="19" spans="1:25" ht="15" customHeight="1">
      <c r="A19" s="18">
        <v>2011</v>
      </c>
      <c r="B19" s="18" t="s">
        <v>23</v>
      </c>
      <c r="C19" s="38">
        <v>11562914</v>
      </c>
      <c r="D19" s="22">
        <v>6501731</v>
      </c>
      <c r="E19" s="22">
        <v>61578</v>
      </c>
      <c r="F19" s="22">
        <v>3574394</v>
      </c>
      <c r="G19" s="22">
        <v>960329</v>
      </c>
      <c r="H19" s="22">
        <v>464882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ht="15" customHeight="1">
      <c r="A20" s="19"/>
      <c r="B20" s="18" t="s">
        <v>24</v>
      </c>
      <c r="C20" s="38">
        <v>13102637</v>
      </c>
      <c r="D20" s="22">
        <v>6324527</v>
      </c>
      <c r="E20" s="22">
        <v>708726</v>
      </c>
      <c r="F20" s="22">
        <v>3836818</v>
      </c>
      <c r="G20" s="22">
        <v>1727128</v>
      </c>
      <c r="H20" s="22">
        <v>505438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ht="15" customHeight="1">
      <c r="A21" s="19"/>
      <c r="B21" s="18" t="s">
        <v>25</v>
      </c>
      <c r="C21" s="38">
        <v>13574530</v>
      </c>
      <c r="D21" s="22">
        <v>7129821</v>
      </c>
      <c r="E21" s="22">
        <v>678382</v>
      </c>
      <c r="F21" s="22">
        <v>3980161</v>
      </c>
      <c r="G21" s="22">
        <v>1091539</v>
      </c>
      <c r="H21" s="22">
        <v>694627</v>
      </c>
      <c r="I21" s="8"/>
      <c r="J21" s="8"/>
      <c r="K21" s="8"/>
      <c r="L21" s="8"/>
      <c r="M21" s="8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ht="15" customHeight="1">
      <c r="A22" s="19"/>
      <c r="B22" s="18" t="s">
        <v>26</v>
      </c>
      <c r="C22" s="38">
        <v>15618382</v>
      </c>
      <c r="D22" s="22">
        <v>6585593</v>
      </c>
      <c r="E22" s="22">
        <v>859732</v>
      </c>
      <c r="F22" s="22">
        <v>4694475</v>
      </c>
      <c r="G22" s="22">
        <v>2696708</v>
      </c>
      <c r="H22" s="22">
        <v>781874</v>
      </c>
      <c r="I22" s="8"/>
      <c r="J22" s="8"/>
      <c r="K22" s="8"/>
      <c r="L22" s="8"/>
      <c r="M22" s="8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ht="15" customHeight="1">
      <c r="A23" s="19"/>
      <c r="B23" s="18" t="s">
        <v>27</v>
      </c>
      <c r="C23" s="38">
        <v>14460439</v>
      </c>
      <c r="D23" s="22">
        <v>6855208</v>
      </c>
      <c r="E23" s="22">
        <v>726003</v>
      </c>
      <c r="F23" s="22">
        <v>4691003</v>
      </c>
      <c r="G23" s="22">
        <v>1223776</v>
      </c>
      <c r="H23" s="22">
        <v>964449</v>
      </c>
      <c r="I23" s="24"/>
      <c r="J23" s="8"/>
      <c r="K23" s="8"/>
      <c r="L23" s="8"/>
      <c r="M23" s="8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ht="15" customHeight="1">
      <c r="A24" s="19"/>
      <c r="B24" s="18" t="s">
        <v>28</v>
      </c>
      <c r="C24" s="38">
        <v>16604135</v>
      </c>
      <c r="D24" s="22">
        <v>6949083</v>
      </c>
      <c r="E24" s="22">
        <v>1018669</v>
      </c>
      <c r="F24" s="22">
        <v>4776497</v>
      </c>
      <c r="G24" s="22">
        <v>2891402</v>
      </c>
      <c r="H24" s="22">
        <v>968484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8"/>
      <c r="U24" s="8"/>
      <c r="V24" s="8"/>
      <c r="W24" s="8"/>
      <c r="X24" s="8"/>
      <c r="Y24" s="8"/>
    </row>
    <row r="25" spans="1:25" ht="15" customHeight="1">
      <c r="A25" s="19"/>
      <c r="B25" s="18" t="s">
        <v>29</v>
      </c>
      <c r="C25" s="38">
        <v>15657383</v>
      </c>
      <c r="D25" s="22">
        <v>7745990</v>
      </c>
      <c r="E25" s="22">
        <v>668424</v>
      </c>
      <c r="F25" s="22">
        <v>4946155</v>
      </c>
      <c r="G25" s="22">
        <v>1293262</v>
      </c>
      <c r="H25" s="22">
        <v>1003552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 ht="15" customHeight="1">
      <c r="A26" s="19"/>
      <c r="B26" s="18" t="s">
        <v>30</v>
      </c>
      <c r="C26" s="38">
        <v>16534701</v>
      </c>
      <c r="D26" s="22">
        <v>7548260</v>
      </c>
      <c r="E26" s="22">
        <v>972856</v>
      </c>
      <c r="F26" s="22">
        <v>4611228</v>
      </c>
      <c r="G26" s="22">
        <v>2541770</v>
      </c>
      <c r="H26" s="22">
        <v>860587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 ht="15" customHeight="1">
      <c r="A27" s="19"/>
      <c r="B27" s="18" t="s">
        <v>31</v>
      </c>
      <c r="C27" s="38">
        <v>14761965</v>
      </c>
      <c r="D27" s="22">
        <v>7313993</v>
      </c>
      <c r="E27" s="22">
        <v>708731</v>
      </c>
      <c r="F27" s="22">
        <v>4701377</v>
      </c>
      <c r="G27" s="22">
        <v>1305509</v>
      </c>
      <c r="H27" s="22">
        <v>732355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1:25" ht="15" customHeight="1">
      <c r="A28" s="19"/>
      <c r="B28" s="18" t="s">
        <v>32</v>
      </c>
      <c r="C28" s="38">
        <v>16700577</v>
      </c>
      <c r="D28" s="22">
        <v>7622671</v>
      </c>
      <c r="E28" s="22">
        <v>841862</v>
      </c>
      <c r="F28" s="22">
        <v>4954890</v>
      </c>
      <c r="G28" s="22">
        <v>2709952</v>
      </c>
      <c r="H28" s="22">
        <v>571202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spans="1:25" ht="15" customHeight="1">
      <c r="A29" s="19"/>
      <c r="B29" s="18" t="s">
        <v>33</v>
      </c>
      <c r="C29" s="38">
        <v>14184589</v>
      </c>
      <c r="D29" s="22">
        <v>7409041</v>
      </c>
      <c r="E29" s="22">
        <v>764654</v>
      </c>
      <c r="F29" s="22">
        <v>4284911</v>
      </c>
      <c r="G29" s="22">
        <v>1258462</v>
      </c>
      <c r="H29" s="22">
        <v>467521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ht="15" customHeight="1">
      <c r="A30" s="19"/>
      <c r="B30" s="18" t="s">
        <v>34</v>
      </c>
      <c r="C30" s="38">
        <v>15201655</v>
      </c>
      <c r="D30" s="22">
        <v>7207571</v>
      </c>
      <c r="E30" s="22">
        <v>794366</v>
      </c>
      <c r="F30" s="22">
        <v>4348070</v>
      </c>
      <c r="G30" s="22">
        <v>2451939</v>
      </c>
      <c r="H30" s="22">
        <v>399709</v>
      </c>
      <c r="I30" s="8"/>
      <c r="J30" s="8"/>
      <c r="K30" s="8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 ht="15" customHeight="1">
      <c r="A31" s="18">
        <v>2012</v>
      </c>
      <c r="B31" s="18" t="s">
        <v>23</v>
      </c>
      <c r="C31" s="38">
        <v>13704331</v>
      </c>
      <c r="D31" s="22">
        <v>7622339</v>
      </c>
      <c r="E31" s="22">
        <v>625060</v>
      </c>
      <c r="F31" s="22">
        <v>3931631</v>
      </c>
      <c r="G31" s="22">
        <v>1062054</v>
      </c>
      <c r="H31" s="22">
        <v>463247</v>
      </c>
      <c r="I31" s="8"/>
      <c r="J31" s="8"/>
      <c r="K31" s="8"/>
      <c r="L31" s="8"/>
      <c r="M31" s="8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spans="1:25" ht="15" customHeight="1">
      <c r="A32" s="19"/>
      <c r="B32" s="18" t="s">
        <v>24</v>
      </c>
      <c r="C32" s="38">
        <v>14537505</v>
      </c>
      <c r="D32" s="22">
        <v>7459976</v>
      </c>
      <c r="E32" s="22">
        <v>712760</v>
      </c>
      <c r="F32" s="22">
        <v>3626417</v>
      </c>
      <c r="G32" s="22">
        <v>2252129</v>
      </c>
      <c r="H32" s="22">
        <v>486223</v>
      </c>
      <c r="I32" s="8"/>
      <c r="J32" s="8"/>
      <c r="K32" s="8"/>
      <c r="L32" s="8"/>
      <c r="M32" s="8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25" ht="15" customHeight="1">
      <c r="A33" s="19"/>
      <c r="B33" s="18" t="s">
        <v>25</v>
      </c>
      <c r="C33" s="38">
        <v>14291038</v>
      </c>
      <c r="D33" s="22">
        <v>7777819</v>
      </c>
      <c r="E33" s="22">
        <v>708018</v>
      </c>
      <c r="F33" s="22">
        <v>3978013</v>
      </c>
      <c r="G33" s="22">
        <v>1135635</v>
      </c>
      <c r="H33" s="22">
        <v>691553</v>
      </c>
      <c r="I33" s="8"/>
      <c r="J33" s="8"/>
      <c r="K33" s="8"/>
      <c r="L33" s="8"/>
      <c r="M33" s="8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 ht="15" customHeight="1">
      <c r="A34" s="19"/>
      <c r="B34" s="18" t="s">
        <v>26</v>
      </c>
      <c r="C34" s="38">
        <v>15580056</v>
      </c>
      <c r="D34" s="22">
        <v>7249239</v>
      </c>
      <c r="E34" s="22">
        <v>850604</v>
      </c>
      <c r="F34" s="22">
        <v>4254915</v>
      </c>
      <c r="G34" s="22">
        <v>2448603</v>
      </c>
      <c r="H34" s="22">
        <v>776695</v>
      </c>
      <c r="I34" s="8"/>
      <c r="J34" s="8"/>
      <c r="K34" s="8"/>
      <c r="L34" s="8"/>
      <c r="M34" s="8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 ht="15" customHeight="1">
      <c r="A35" s="19"/>
      <c r="B35" s="18" t="s">
        <v>27</v>
      </c>
      <c r="C35" s="38">
        <v>16071464</v>
      </c>
      <c r="D35" s="22">
        <v>8093571</v>
      </c>
      <c r="E35" s="22">
        <v>805607</v>
      </c>
      <c r="F35" s="22">
        <v>4919559</v>
      </c>
      <c r="G35" s="22">
        <v>1293134</v>
      </c>
      <c r="H35" s="22">
        <v>959593</v>
      </c>
      <c r="I35" s="8"/>
      <c r="J35" s="8"/>
      <c r="K35" s="8"/>
      <c r="L35" s="8"/>
      <c r="M35" s="8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 ht="15" customHeight="1">
      <c r="A36" s="19"/>
      <c r="B36" s="18" t="s">
        <v>28</v>
      </c>
      <c r="C36" s="38">
        <v>17459685</v>
      </c>
      <c r="D36" s="22">
        <v>7730777</v>
      </c>
      <c r="E36" s="22">
        <v>899257</v>
      </c>
      <c r="F36" s="22">
        <v>5104339</v>
      </c>
      <c r="G36" s="22">
        <v>2760128</v>
      </c>
      <c r="H36" s="22">
        <v>965184</v>
      </c>
      <c r="I36" s="8"/>
      <c r="J36" s="8"/>
      <c r="K36" s="8"/>
      <c r="L36" s="8"/>
      <c r="M36" s="8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 ht="15" customHeight="1">
      <c r="A37" s="19"/>
      <c r="B37" s="18" t="s">
        <v>29</v>
      </c>
      <c r="C37" s="38">
        <v>16586666</v>
      </c>
      <c r="D37" s="22">
        <v>8179989</v>
      </c>
      <c r="E37" s="22">
        <v>805882</v>
      </c>
      <c r="F37" s="22">
        <v>5268071</v>
      </c>
      <c r="G37" s="22">
        <v>1339341</v>
      </c>
      <c r="H37" s="22">
        <v>993383</v>
      </c>
      <c r="I37" s="8"/>
      <c r="J37" s="8"/>
      <c r="K37" s="8"/>
      <c r="L37" s="8"/>
      <c r="M37" s="8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 ht="15" customHeight="1">
      <c r="A38" s="19"/>
      <c r="B38" s="18" t="s">
        <v>30</v>
      </c>
      <c r="C38" s="38">
        <v>18809458</v>
      </c>
      <c r="D38" s="22">
        <v>9105709</v>
      </c>
      <c r="E38" s="22">
        <v>1006805</v>
      </c>
      <c r="F38" s="22">
        <v>5155661</v>
      </c>
      <c r="G38" s="22">
        <v>2688123</v>
      </c>
      <c r="H38" s="22">
        <v>853160</v>
      </c>
      <c r="I38" s="8"/>
      <c r="J38" s="8"/>
      <c r="K38" s="8"/>
      <c r="L38" s="8"/>
      <c r="M38" s="8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 ht="15" customHeight="1">
      <c r="A39" s="19"/>
      <c r="B39" s="18" t="s">
        <v>31</v>
      </c>
      <c r="C39" s="38">
        <v>15416431</v>
      </c>
      <c r="D39" s="22">
        <v>8319563</v>
      </c>
      <c r="E39" s="22">
        <v>786222</v>
      </c>
      <c r="F39" s="22">
        <v>4420947</v>
      </c>
      <c r="G39" s="22">
        <v>1167949</v>
      </c>
      <c r="H39" s="22">
        <v>721750</v>
      </c>
      <c r="I39" s="8"/>
      <c r="J39" s="8"/>
      <c r="K39" s="8"/>
      <c r="L39" s="8"/>
      <c r="M39" s="8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 ht="15" customHeight="1">
      <c r="A40" s="19"/>
      <c r="B40" s="18" t="s">
        <v>32</v>
      </c>
      <c r="C40" s="38">
        <v>16707286</v>
      </c>
      <c r="D40" s="22">
        <v>8469478</v>
      </c>
      <c r="E40" s="22">
        <v>862720</v>
      </c>
      <c r="F40" s="22">
        <v>4424494</v>
      </c>
      <c r="G40" s="22">
        <v>2367027</v>
      </c>
      <c r="H40" s="22">
        <v>583567</v>
      </c>
      <c r="I40" s="8"/>
      <c r="J40" s="8"/>
      <c r="K40" s="8"/>
      <c r="L40" s="8"/>
      <c r="M40" s="8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 ht="15" customHeight="1">
      <c r="A41" s="19"/>
      <c r="B41" s="18" t="s">
        <v>33</v>
      </c>
      <c r="C41" s="38">
        <v>15108448</v>
      </c>
      <c r="D41" s="22">
        <v>7746251</v>
      </c>
      <c r="E41" s="22">
        <v>813474</v>
      </c>
      <c r="F41" s="22">
        <v>4801512</v>
      </c>
      <c r="G41" s="22">
        <v>1291995</v>
      </c>
      <c r="H41" s="22">
        <v>455216</v>
      </c>
      <c r="I41" s="8"/>
      <c r="J41" s="8"/>
      <c r="K41" s="8"/>
      <c r="L41" s="8"/>
      <c r="M41" s="8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 ht="15" customHeight="1">
      <c r="A42" s="19"/>
      <c r="B42" s="18" t="s">
        <v>34</v>
      </c>
      <c r="C42" s="38">
        <v>15203936</v>
      </c>
      <c r="D42" s="22">
        <v>7363483</v>
      </c>
      <c r="E42" s="22">
        <v>810124</v>
      </c>
      <c r="F42" s="22">
        <v>4260023</v>
      </c>
      <c r="G42" s="22">
        <v>2359330</v>
      </c>
      <c r="H42" s="22">
        <v>410976</v>
      </c>
      <c r="I42" s="8"/>
      <c r="J42" s="8"/>
      <c r="K42" s="8"/>
      <c r="L42" s="8"/>
      <c r="M42" s="8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 ht="15" customHeight="1">
      <c r="A43" s="18">
        <v>2013</v>
      </c>
      <c r="B43" s="18" t="s">
        <v>23</v>
      </c>
      <c r="C43" s="38">
        <v>13812275</v>
      </c>
      <c r="D43" s="22">
        <v>7516246</v>
      </c>
      <c r="E43" s="22">
        <v>748288</v>
      </c>
      <c r="F43" s="22">
        <v>4039407</v>
      </c>
      <c r="G43" s="22">
        <v>1057853</v>
      </c>
      <c r="H43" s="22">
        <v>450481</v>
      </c>
      <c r="I43" s="24"/>
      <c r="J43" s="24"/>
      <c r="K43" s="8"/>
      <c r="L43" s="8"/>
      <c r="M43" s="8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 ht="15" customHeight="1">
      <c r="A44" s="19"/>
      <c r="B44" s="18" t="s">
        <v>24</v>
      </c>
      <c r="C44" s="38">
        <v>15007438</v>
      </c>
      <c r="D44" s="22">
        <v>6855592</v>
      </c>
      <c r="E44" s="22">
        <v>738642</v>
      </c>
      <c r="F44" s="22">
        <v>4376359</v>
      </c>
      <c r="G44" s="22">
        <v>2535876</v>
      </c>
      <c r="H44" s="22">
        <v>500969</v>
      </c>
      <c r="I44" s="8"/>
      <c r="J44" s="8"/>
      <c r="K44" s="8"/>
      <c r="L44" s="8"/>
      <c r="M44" s="8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 ht="15" customHeight="1">
      <c r="A45" s="19"/>
      <c r="B45" s="18" t="s">
        <v>25</v>
      </c>
      <c r="C45" s="38">
        <v>14689848</v>
      </c>
      <c r="D45" s="22">
        <v>7934315</v>
      </c>
      <c r="E45" s="22">
        <v>810462</v>
      </c>
      <c r="F45" s="22">
        <v>4125767</v>
      </c>
      <c r="G45" s="22">
        <v>1140843</v>
      </c>
      <c r="H45" s="22">
        <v>678461</v>
      </c>
      <c r="I45" s="8"/>
      <c r="J45" s="8"/>
      <c r="K45" s="8"/>
      <c r="L45" s="8"/>
      <c r="M45" s="8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 ht="15" customHeight="1">
      <c r="A46" s="19"/>
      <c r="B46" s="18" t="s">
        <v>26</v>
      </c>
      <c r="C46" s="38">
        <v>16017004</v>
      </c>
      <c r="D46" s="22">
        <v>7721268</v>
      </c>
      <c r="E46" s="22">
        <v>852320</v>
      </c>
      <c r="F46" s="22">
        <v>4195538</v>
      </c>
      <c r="G46" s="22">
        <v>2457135</v>
      </c>
      <c r="H46" s="22">
        <v>790743</v>
      </c>
      <c r="I46" s="8"/>
      <c r="J46" s="8"/>
      <c r="K46" s="8"/>
      <c r="L46" s="8"/>
      <c r="M46" s="8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ht="15" customHeight="1">
      <c r="A47" s="19"/>
      <c r="B47" s="18" t="s">
        <v>27</v>
      </c>
      <c r="C47" s="38">
        <v>16032941</v>
      </c>
      <c r="D47" s="22">
        <v>8017365</v>
      </c>
      <c r="E47" s="22">
        <v>837902</v>
      </c>
      <c r="F47" s="22">
        <v>4958341</v>
      </c>
      <c r="G47" s="22">
        <v>1276850</v>
      </c>
      <c r="H47" s="22">
        <v>942483</v>
      </c>
      <c r="I47" s="8"/>
      <c r="J47" s="8"/>
      <c r="K47" s="8"/>
      <c r="L47" s="8"/>
      <c r="M47" s="8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ht="15" customHeight="1">
      <c r="A48" s="19"/>
      <c r="B48" s="18" t="s">
        <v>28</v>
      </c>
      <c r="C48" s="38">
        <v>18318392</v>
      </c>
      <c r="D48" s="22">
        <v>8511613</v>
      </c>
      <c r="E48" s="22">
        <v>901731</v>
      </c>
      <c r="F48" s="22">
        <v>5166958</v>
      </c>
      <c r="G48" s="22">
        <v>2762154</v>
      </c>
      <c r="H48" s="22">
        <v>975936</v>
      </c>
      <c r="I48" s="8"/>
      <c r="J48" s="8"/>
      <c r="K48" s="8"/>
      <c r="L48" s="8"/>
      <c r="M48" s="8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 ht="15" customHeight="1">
      <c r="A49" s="19"/>
      <c r="B49" s="18" t="s">
        <v>29</v>
      </c>
      <c r="C49" s="38">
        <v>17932376</v>
      </c>
      <c r="D49" s="22">
        <v>9202144</v>
      </c>
      <c r="E49" s="22">
        <v>907771</v>
      </c>
      <c r="F49" s="22">
        <v>5482946</v>
      </c>
      <c r="G49" s="22">
        <v>1353582</v>
      </c>
      <c r="H49" s="22">
        <v>985933</v>
      </c>
      <c r="I49" s="8"/>
      <c r="J49" s="8"/>
      <c r="K49" s="8"/>
      <c r="L49" s="8"/>
      <c r="M49" s="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 ht="15" customHeight="1">
      <c r="A50" s="19"/>
      <c r="B50" s="18" t="s">
        <v>30</v>
      </c>
      <c r="C50" s="38">
        <v>19825306</v>
      </c>
      <c r="D50" s="22">
        <v>9078562</v>
      </c>
      <c r="E50" s="22">
        <v>980941</v>
      </c>
      <c r="F50" s="22">
        <v>5729305</v>
      </c>
      <c r="G50" s="22">
        <v>2966932</v>
      </c>
      <c r="H50" s="22">
        <v>1069566</v>
      </c>
      <c r="I50" s="8"/>
      <c r="J50" s="8"/>
      <c r="K50" s="8"/>
      <c r="L50" s="8"/>
      <c r="M50" s="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ht="15" customHeight="1">
      <c r="A51" s="19"/>
      <c r="B51" s="18" t="s">
        <v>31</v>
      </c>
      <c r="C51" s="38">
        <v>17065068</v>
      </c>
      <c r="D51" s="22">
        <v>8836877</v>
      </c>
      <c r="E51" s="22">
        <v>949590</v>
      </c>
      <c r="F51" s="22">
        <v>5237909</v>
      </c>
      <c r="G51" s="22">
        <v>1321041</v>
      </c>
      <c r="H51" s="22">
        <v>719651</v>
      </c>
      <c r="I51" s="8"/>
      <c r="J51" s="8"/>
      <c r="K51" s="8"/>
      <c r="L51" s="8"/>
      <c r="M51" s="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ht="15" customHeight="1">
      <c r="A52" s="19"/>
      <c r="B52" s="18" t="s">
        <v>32</v>
      </c>
      <c r="C52" s="38">
        <v>18438940</v>
      </c>
      <c r="D52" s="22">
        <v>8556954</v>
      </c>
      <c r="E52" s="22">
        <v>927331</v>
      </c>
      <c r="F52" s="22">
        <v>5499952</v>
      </c>
      <c r="G52" s="22">
        <v>2873959</v>
      </c>
      <c r="H52" s="22">
        <v>580744</v>
      </c>
      <c r="I52" s="8"/>
      <c r="J52" s="8"/>
      <c r="K52" s="8"/>
      <c r="L52" s="8"/>
      <c r="M52" s="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 ht="15" customHeight="1">
      <c r="A53" s="19"/>
      <c r="B53" s="18" t="s">
        <v>33</v>
      </c>
      <c r="C53" s="38">
        <v>15617300.33</v>
      </c>
      <c r="D53" s="22">
        <v>8379698</v>
      </c>
      <c r="E53" s="22">
        <v>875518</v>
      </c>
      <c r="F53" s="22">
        <v>4703673</v>
      </c>
      <c r="G53" s="22">
        <v>1199727</v>
      </c>
      <c r="H53" s="22">
        <v>458684.33</v>
      </c>
      <c r="I53" s="8"/>
      <c r="J53" s="8"/>
      <c r="K53" s="8"/>
      <c r="L53" s="8"/>
      <c r="M53" s="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 ht="15" customHeight="1">
      <c r="A54" s="19"/>
      <c r="B54" s="18" t="s">
        <v>34</v>
      </c>
      <c r="C54" s="38">
        <v>16105572</v>
      </c>
      <c r="D54" s="22">
        <v>8100233</v>
      </c>
      <c r="E54" s="22">
        <v>859383</v>
      </c>
      <c r="F54" s="22">
        <v>4255130</v>
      </c>
      <c r="G54" s="22">
        <v>2480269</v>
      </c>
      <c r="H54" s="22">
        <v>410557</v>
      </c>
      <c r="I54" s="8"/>
      <c r="J54" s="8"/>
      <c r="K54" s="8"/>
      <c r="L54" s="8"/>
      <c r="M54" s="8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 ht="15" customHeight="1">
      <c r="A55" s="18">
        <v>2014</v>
      </c>
      <c r="B55" s="18" t="s">
        <v>23</v>
      </c>
      <c r="C55" s="38">
        <v>14741019</v>
      </c>
      <c r="D55" s="22">
        <v>7874486</v>
      </c>
      <c r="E55" s="22">
        <v>804425</v>
      </c>
      <c r="F55" s="22">
        <v>4440460</v>
      </c>
      <c r="G55" s="22">
        <v>1168557</v>
      </c>
      <c r="H55" s="22">
        <v>453091</v>
      </c>
      <c r="I55" s="8"/>
      <c r="J55" s="8"/>
      <c r="K55" s="8"/>
      <c r="L55" s="8"/>
      <c r="M55" s="8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 ht="15" customHeight="1">
      <c r="A56" s="19"/>
      <c r="B56" s="18" t="s">
        <v>24</v>
      </c>
      <c r="C56" s="38">
        <v>12472840.528000001</v>
      </c>
      <c r="D56" s="22">
        <v>7643903</v>
      </c>
      <c r="E56" s="22">
        <v>806999</v>
      </c>
      <c r="F56" s="22">
        <v>2279086</v>
      </c>
      <c r="G56" s="22">
        <v>1245046</v>
      </c>
      <c r="H56" s="22">
        <v>497806.52799999999</v>
      </c>
      <c r="I56" s="24"/>
      <c r="J56" s="24"/>
      <c r="K56" s="8"/>
      <c r="L56" s="8"/>
      <c r="M56" s="8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 ht="15" customHeight="1">
      <c r="A57" s="19"/>
      <c r="B57" s="18" t="s">
        <v>25</v>
      </c>
      <c r="C57" s="38">
        <v>15975198.43</v>
      </c>
      <c r="D57" s="22">
        <v>8184594</v>
      </c>
      <c r="E57" s="22">
        <v>886657</v>
      </c>
      <c r="F57" s="22">
        <v>4471349</v>
      </c>
      <c r="G57" s="22">
        <v>1755061</v>
      </c>
      <c r="H57" s="22">
        <v>677537.43</v>
      </c>
      <c r="I57" s="24"/>
      <c r="J57" s="24"/>
      <c r="K57" s="8"/>
      <c r="L57" s="8"/>
      <c r="M57" s="8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 ht="15" customHeight="1">
      <c r="A58" s="19"/>
      <c r="B58" s="18" t="s">
        <v>26</v>
      </c>
      <c r="C58" s="38">
        <v>16184966.93</v>
      </c>
      <c r="D58" s="22">
        <v>8253039</v>
      </c>
      <c r="E58" s="22">
        <v>922299</v>
      </c>
      <c r="F58" s="22">
        <v>4417634</v>
      </c>
      <c r="G58" s="22">
        <v>1799622</v>
      </c>
      <c r="H58" s="22">
        <v>792372.93</v>
      </c>
      <c r="I58" s="24"/>
      <c r="J58" s="24"/>
      <c r="K58" s="8"/>
      <c r="L58" s="8"/>
      <c r="M58" s="8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 ht="15" customHeight="1">
      <c r="A59" s="19"/>
      <c r="B59" s="18" t="s">
        <v>27</v>
      </c>
      <c r="C59" s="38">
        <v>16605821.421</v>
      </c>
      <c r="D59" s="22">
        <v>8501222</v>
      </c>
      <c r="E59" s="22">
        <v>929818</v>
      </c>
      <c r="F59" s="22">
        <v>4490494</v>
      </c>
      <c r="G59" s="22">
        <v>1746954</v>
      </c>
      <c r="H59" s="22">
        <v>937333.42099999997</v>
      </c>
      <c r="I59" s="24"/>
      <c r="J59" s="24"/>
      <c r="K59" s="8"/>
      <c r="L59" s="8"/>
      <c r="M59" s="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 ht="15" customHeight="1">
      <c r="A60" s="19"/>
      <c r="B60" s="18" t="s">
        <v>28</v>
      </c>
      <c r="C60" s="38">
        <v>16794930.230999999</v>
      </c>
      <c r="D60" s="22">
        <v>7872664</v>
      </c>
      <c r="E60" s="22">
        <v>1016458</v>
      </c>
      <c r="F60" s="22">
        <v>4965155</v>
      </c>
      <c r="G60" s="22">
        <v>1964587</v>
      </c>
      <c r="H60" s="22">
        <v>976066.23100000003</v>
      </c>
      <c r="I60" s="24"/>
      <c r="J60" s="24"/>
      <c r="K60" s="8"/>
      <c r="L60" s="8"/>
      <c r="M60" s="8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 ht="15" customHeight="1">
      <c r="A61" s="19"/>
      <c r="B61" s="18" t="s">
        <v>29</v>
      </c>
      <c r="C61" s="38">
        <v>17381442.230999999</v>
      </c>
      <c r="D61" s="22">
        <v>8542604</v>
      </c>
      <c r="E61" s="22">
        <v>955089</v>
      </c>
      <c r="F61" s="22">
        <v>4893633</v>
      </c>
      <c r="G61" s="22">
        <v>2012430</v>
      </c>
      <c r="H61" s="22">
        <v>977686.23100000003</v>
      </c>
      <c r="I61" s="8"/>
      <c r="J61" s="8"/>
      <c r="K61" s="8"/>
      <c r="L61" s="8"/>
      <c r="M61" s="8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 ht="15" customHeight="1">
      <c r="A62" s="19"/>
      <c r="B62" s="18" t="s">
        <v>30</v>
      </c>
      <c r="C62" s="38">
        <v>18529073.914000001</v>
      </c>
      <c r="D62" s="22">
        <v>8938956</v>
      </c>
      <c r="E62" s="22">
        <v>990893</v>
      </c>
      <c r="F62" s="22">
        <v>5598864</v>
      </c>
      <c r="G62" s="22">
        <v>2131375</v>
      </c>
      <c r="H62" s="22">
        <v>868985.91399999999</v>
      </c>
      <c r="I62" s="8"/>
      <c r="J62" s="8"/>
      <c r="K62" s="8"/>
      <c r="L62" s="8"/>
      <c r="M62" s="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 ht="15" customHeight="1">
      <c r="A63" s="19"/>
      <c r="B63" s="18" t="s">
        <v>31</v>
      </c>
      <c r="C63" s="38">
        <v>18431389.579999998</v>
      </c>
      <c r="D63" s="22">
        <v>8949605</v>
      </c>
      <c r="E63" s="22">
        <v>958675</v>
      </c>
      <c r="F63" s="22">
        <v>5665983</v>
      </c>
      <c r="G63" s="22">
        <v>2150147</v>
      </c>
      <c r="H63" s="22">
        <v>706979.58</v>
      </c>
      <c r="I63" s="8"/>
      <c r="J63" s="8"/>
      <c r="K63" s="8"/>
      <c r="L63" s="8"/>
      <c r="M63" s="8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 ht="15" customHeight="1">
      <c r="A64" s="19"/>
      <c r="B64" s="18" t="s">
        <v>32</v>
      </c>
      <c r="C64" s="38">
        <v>18292785.056000002</v>
      </c>
      <c r="D64" s="22">
        <v>9228927</v>
      </c>
      <c r="E64" s="22">
        <v>969565</v>
      </c>
      <c r="F64" s="22">
        <v>5390233</v>
      </c>
      <c r="G64" s="22">
        <v>2120622</v>
      </c>
      <c r="H64" s="22">
        <v>583438.05599999998</v>
      </c>
      <c r="I64" s="8"/>
      <c r="J64" s="8"/>
      <c r="K64" s="8"/>
      <c r="L64" s="8"/>
      <c r="M64" s="8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 ht="15" customHeight="1">
      <c r="A65" s="19"/>
      <c r="B65" s="18" t="s">
        <v>33</v>
      </c>
      <c r="C65" s="38">
        <v>17111837</v>
      </c>
      <c r="D65" s="22">
        <v>8662714</v>
      </c>
      <c r="E65" s="22">
        <v>896126</v>
      </c>
      <c r="F65" s="22">
        <v>5098023</v>
      </c>
      <c r="G65" s="22">
        <v>1999981</v>
      </c>
      <c r="H65" s="22">
        <v>454993</v>
      </c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 ht="15" customHeight="1">
      <c r="A66" s="19"/>
      <c r="B66" s="18" t="s">
        <v>34</v>
      </c>
      <c r="C66" s="38">
        <v>16777263</v>
      </c>
      <c r="D66" s="22">
        <v>8509575</v>
      </c>
      <c r="E66" s="22">
        <v>899305</v>
      </c>
      <c r="F66" s="22">
        <v>4949939</v>
      </c>
      <c r="G66" s="22">
        <v>2006415</v>
      </c>
      <c r="H66" s="22">
        <v>412029</v>
      </c>
      <c r="I66" s="8"/>
      <c r="J66" s="8"/>
      <c r="K66" s="8"/>
      <c r="L66" s="8"/>
      <c r="M66" s="8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 ht="15" customHeight="1">
      <c r="A67" s="18">
        <v>2015</v>
      </c>
      <c r="B67" s="18" t="s">
        <v>23</v>
      </c>
      <c r="C67" s="38">
        <v>16454677.419</v>
      </c>
      <c r="D67" s="22">
        <v>8304172</v>
      </c>
      <c r="E67" s="22">
        <v>843254</v>
      </c>
      <c r="F67" s="22">
        <v>4911669</v>
      </c>
      <c r="G67" s="22">
        <v>1945226</v>
      </c>
      <c r="H67" s="22">
        <v>450356.41899999999</v>
      </c>
      <c r="I67" s="8"/>
      <c r="J67" s="8"/>
      <c r="K67" s="8"/>
      <c r="L67" s="8"/>
      <c r="M67" s="8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 ht="15" customHeight="1">
      <c r="A68" s="19"/>
      <c r="B68" s="18" t="s">
        <v>24</v>
      </c>
      <c r="C68" s="38">
        <v>15853993.528000001</v>
      </c>
      <c r="D68" s="22">
        <v>7804994</v>
      </c>
      <c r="E68" s="22">
        <v>811325</v>
      </c>
      <c r="F68" s="22">
        <v>4796067</v>
      </c>
      <c r="G68" s="22">
        <v>1940764</v>
      </c>
      <c r="H68" s="22">
        <v>500843.52799999999</v>
      </c>
      <c r="I68" s="8"/>
      <c r="J68" s="8"/>
      <c r="K68" s="8"/>
      <c r="L68" s="8"/>
      <c r="M68" s="8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 ht="15" customHeight="1">
      <c r="A69" s="19"/>
      <c r="B69" s="18" t="s">
        <v>25</v>
      </c>
      <c r="C69" s="38">
        <v>16706033.43</v>
      </c>
      <c r="D69" s="22">
        <v>8901862</v>
      </c>
      <c r="E69" s="22">
        <v>896241</v>
      </c>
      <c r="F69" s="22">
        <v>4400863</v>
      </c>
      <c r="G69" s="22">
        <v>1831020</v>
      </c>
      <c r="H69" s="22">
        <v>676047.43</v>
      </c>
      <c r="I69" s="8"/>
      <c r="J69" s="8"/>
      <c r="K69" s="8"/>
      <c r="L69" s="8"/>
      <c r="M69" s="8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 ht="15" customHeight="1">
      <c r="A70" s="19"/>
      <c r="B70" s="18" t="s">
        <v>26</v>
      </c>
      <c r="C70" s="38">
        <v>16677542.93</v>
      </c>
      <c r="D70" s="22">
        <v>8486995</v>
      </c>
      <c r="E70" s="22">
        <v>897092</v>
      </c>
      <c r="F70" s="22">
        <v>4613843</v>
      </c>
      <c r="G70" s="22">
        <v>1889181</v>
      </c>
      <c r="H70" s="22">
        <v>790431.93</v>
      </c>
      <c r="I70" s="8"/>
      <c r="J70" s="8"/>
      <c r="K70" s="8"/>
      <c r="L70" s="8"/>
      <c r="M70" s="8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 ht="15" customHeight="1">
      <c r="A71" s="19"/>
      <c r="B71" s="18" t="s">
        <v>27</v>
      </c>
      <c r="C71" s="38">
        <v>17836992.421</v>
      </c>
      <c r="D71" s="22">
        <v>9123819</v>
      </c>
      <c r="E71" s="22">
        <v>911333</v>
      </c>
      <c r="F71" s="22">
        <v>4937109</v>
      </c>
      <c r="G71" s="22">
        <v>1927375</v>
      </c>
      <c r="H71" s="22">
        <v>937356.42099999997</v>
      </c>
      <c r="I71" s="8"/>
      <c r="J71" s="8"/>
      <c r="K71" s="8"/>
      <c r="L71" s="8"/>
      <c r="M71" s="8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 ht="15" customHeight="1">
      <c r="A72" s="19"/>
      <c r="B72" s="18" t="s">
        <v>28</v>
      </c>
      <c r="C72" s="38">
        <v>18675943.230999999</v>
      </c>
      <c r="D72" s="22">
        <v>9482717</v>
      </c>
      <c r="E72" s="22">
        <v>936435</v>
      </c>
      <c r="F72" s="22">
        <v>5209006</v>
      </c>
      <c r="G72" s="22">
        <v>2070634</v>
      </c>
      <c r="H72" s="22">
        <v>977151.23100000003</v>
      </c>
      <c r="I72" s="8"/>
      <c r="J72" s="8"/>
      <c r="K72" s="8"/>
      <c r="L72" s="8"/>
      <c r="M72" s="8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 ht="15" customHeight="1">
      <c r="A73" s="19"/>
      <c r="B73" s="18" t="s">
        <v>29</v>
      </c>
      <c r="C73" s="38">
        <v>19933315.230999999</v>
      </c>
      <c r="D73" s="22">
        <v>9643094</v>
      </c>
      <c r="E73" s="22">
        <v>941210</v>
      </c>
      <c r="F73" s="22">
        <v>6195555</v>
      </c>
      <c r="G73" s="22">
        <v>2175502</v>
      </c>
      <c r="H73" s="22">
        <v>977954.23100000003</v>
      </c>
      <c r="I73" s="8"/>
      <c r="J73" s="8"/>
      <c r="K73" s="8"/>
      <c r="L73" s="8"/>
      <c r="M73" s="8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 ht="15" customHeight="1">
      <c r="A74" s="19"/>
      <c r="B74" s="18" t="s">
        <v>30</v>
      </c>
      <c r="C74" s="38">
        <v>21367642.914000001</v>
      </c>
      <c r="D74" s="22">
        <v>9702560</v>
      </c>
      <c r="E74" s="22">
        <v>953692</v>
      </c>
      <c r="F74" s="22">
        <v>6510256</v>
      </c>
      <c r="G74" s="22">
        <v>3356258</v>
      </c>
      <c r="H74" s="22">
        <v>844876.91399999999</v>
      </c>
      <c r="I74" s="8"/>
      <c r="J74" s="8"/>
      <c r="K74" s="8"/>
      <c r="L74" s="8"/>
      <c r="M74" s="8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 ht="15" customHeight="1">
      <c r="A75" s="19"/>
      <c r="B75" s="18" t="s">
        <v>31</v>
      </c>
      <c r="C75" s="38">
        <v>19633403.579999998</v>
      </c>
      <c r="D75" s="22">
        <v>9584005</v>
      </c>
      <c r="E75" s="22">
        <v>927557</v>
      </c>
      <c r="F75" s="22">
        <v>6141838</v>
      </c>
      <c r="G75" s="22">
        <v>2274377</v>
      </c>
      <c r="H75" s="22">
        <v>705626.58</v>
      </c>
      <c r="I75" s="8"/>
      <c r="J75" s="8"/>
      <c r="K75" s="8"/>
      <c r="L75" s="8"/>
      <c r="M75" s="8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 ht="15" customHeight="1">
      <c r="A76" s="19"/>
      <c r="B76" s="18" t="s">
        <v>32</v>
      </c>
      <c r="C76" s="38">
        <v>19609860.056000002</v>
      </c>
      <c r="D76" s="22">
        <v>9590208</v>
      </c>
      <c r="E76" s="22">
        <v>940420</v>
      </c>
      <c r="F76" s="22">
        <v>6211209</v>
      </c>
      <c r="G76" s="22">
        <v>2286384</v>
      </c>
      <c r="H76" s="22">
        <v>581639.05599999998</v>
      </c>
      <c r="I76" s="8"/>
      <c r="J76" s="8"/>
      <c r="K76" s="8"/>
      <c r="L76" s="8"/>
      <c r="M76" s="8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 ht="15" customHeight="1">
      <c r="A77" s="19"/>
      <c r="B77" s="18" t="s">
        <v>33</v>
      </c>
      <c r="C77" s="38">
        <v>18453185</v>
      </c>
      <c r="D77" s="22">
        <v>9078240</v>
      </c>
      <c r="E77" s="22">
        <v>841507</v>
      </c>
      <c r="F77" s="22">
        <v>5907795</v>
      </c>
      <c r="G77" s="22">
        <v>2170530</v>
      </c>
      <c r="H77" s="22">
        <v>455113</v>
      </c>
      <c r="I77" s="8"/>
      <c r="J77" s="8"/>
      <c r="K77" s="8"/>
      <c r="L77" s="8"/>
      <c r="M77" s="8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 ht="15" customHeight="1">
      <c r="A78" s="19"/>
      <c r="B78" s="18" t="s">
        <v>34</v>
      </c>
      <c r="C78" s="38">
        <v>17890238</v>
      </c>
      <c r="D78" s="22">
        <v>8988672</v>
      </c>
      <c r="E78" s="22">
        <v>829062</v>
      </c>
      <c r="F78" s="22">
        <v>5546958</v>
      </c>
      <c r="G78" s="22">
        <v>2114189</v>
      </c>
      <c r="H78" s="22">
        <v>411357</v>
      </c>
      <c r="I78" s="8"/>
      <c r="J78" s="8"/>
      <c r="K78" s="8"/>
      <c r="L78" s="8"/>
      <c r="M78" s="8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1:25" ht="15" customHeight="1">
      <c r="A79" s="18">
        <v>2016</v>
      </c>
      <c r="B79" s="18" t="s">
        <v>23</v>
      </c>
      <c r="C79" s="38">
        <v>16980149.419</v>
      </c>
      <c r="D79" s="22">
        <v>8508567</v>
      </c>
      <c r="E79" s="22">
        <v>795174</v>
      </c>
      <c r="F79" s="22">
        <v>5207602</v>
      </c>
      <c r="G79" s="22">
        <v>2019597</v>
      </c>
      <c r="H79" s="22">
        <v>449209.41899999999</v>
      </c>
      <c r="I79" s="8"/>
      <c r="J79" s="8"/>
      <c r="K79" s="8"/>
      <c r="L79" s="8"/>
      <c r="M79" s="8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1:25" ht="15" customHeight="1">
      <c r="A80" s="19"/>
      <c r="B80" s="18" t="s">
        <v>24</v>
      </c>
      <c r="C80" s="38">
        <v>16761113.528000001</v>
      </c>
      <c r="D80" s="22">
        <v>8529095</v>
      </c>
      <c r="E80" s="22">
        <v>785611</v>
      </c>
      <c r="F80" s="22">
        <v>4951079</v>
      </c>
      <c r="G80" s="22">
        <v>1994627</v>
      </c>
      <c r="H80" s="22">
        <v>500701.52799999999</v>
      </c>
      <c r="I80" s="8"/>
      <c r="J80" s="8"/>
      <c r="K80" s="8"/>
      <c r="L80" s="8"/>
      <c r="M80" s="8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1:25" ht="15" customHeight="1">
      <c r="A81" s="19"/>
      <c r="B81" s="18" t="s">
        <v>25</v>
      </c>
      <c r="C81" s="38">
        <v>18169977.43</v>
      </c>
      <c r="D81" s="22">
        <v>9464744</v>
      </c>
      <c r="E81" s="22">
        <v>848839</v>
      </c>
      <c r="F81" s="22">
        <v>5170988</v>
      </c>
      <c r="G81" s="22">
        <v>2008933</v>
      </c>
      <c r="H81" s="22">
        <v>676473.43</v>
      </c>
      <c r="I81" s="8"/>
      <c r="J81" s="8"/>
      <c r="K81" s="8"/>
      <c r="L81" s="8"/>
      <c r="M81" s="8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1:25" ht="15" customHeight="1">
      <c r="A82" s="19"/>
      <c r="B82" s="18" t="s">
        <v>26</v>
      </c>
      <c r="C82" s="38">
        <v>18219684.93</v>
      </c>
      <c r="D82" s="22">
        <v>8994233</v>
      </c>
      <c r="E82" s="22">
        <v>843336</v>
      </c>
      <c r="F82" s="22">
        <v>5476861</v>
      </c>
      <c r="G82" s="22">
        <v>2114805</v>
      </c>
      <c r="H82" s="22">
        <v>790449.93</v>
      </c>
      <c r="I82" s="8"/>
      <c r="J82" s="8"/>
      <c r="K82" s="8"/>
      <c r="L82" s="8"/>
      <c r="M82" s="8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1:25" ht="15" customHeight="1">
      <c r="A83" s="19"/>
      <c r="B83" s="18" t="s">
        <v>27</v>
      </c>
      <c r="C83" s="38">
        <v>18501100.421</v>
      </c>
      <c r="D83" s="22">
        <v>9101900</v>
      </c>
      <c r="E83" s="22">
        <v>850645</v>
      </c>
      <c r="F83" s="22">
        <v>5499214</v>
      </c>
      <c r="G83" s="22">
        <v>2114673</v>
      </c>
      <c r="H83" s="22">
        <v>934668.42099999997</v>
      </c>
      <c r="I83" s="8"/>
      <c r="J83" s="8"/>
      <c r="K83" s="8"/>
      <c r="L83" s="8"/>
      <c r="M83" s="8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spans="1:25" ht="15" customHeight="1">
      <c r="A84" s="19"/>
      <c r="B84" s="18" t="s">
        <v>28</v>
      </c>
      <c r="C84" s="38">
        <v>17779801.230999999</v>
      </c>
      <c r="D84" s="22">
        <v>8196685</v>
      </c>
      <c r="E84" s="22">
        <v>821555</v>
      </c>
      <c r="F84" s="22">
        <v>5722956</v>
      </c>
      <c r="G84" s="22">
        <v>2067553</v>
      </c>
      <c r="H84" s="22">
        <v>971052.23100000003</v>
      </c>
      <c r="I84" s="8"/>
      <c r="J84" s="8"/>
      <c r="K84" s="8"/>
      <c r="L84" s="8"/>
      <c r="M84" s="8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1:25" ht="15" customHeight="1">
      <c r="A85" s="19"/>
      <c r="B85" s="18" t="s">
        <v>29</v>
      </c>
      <c r="C85" s="38">
        <v>18503087.230999999</v>
      </c>
      <c r="D85" s="22">
        <v>8424252</v>
      </c>
      <c r="E85" s="22">
        <v>871658</v>
      </c>
      <c r="F85" s="22">
        <v>6081247</v>
      </c>
      <c r="G85" s="22">
        <v>2152880</v>
      </c>
      <c r="H85" s="22">
        <v>973050.23100000003</v>
      </c>
      <c r="I85" s="8"/>
      <c r="J85" s="8"/>
      <c r="K85" s="8"/>
      <c r="L85" s="8"/>
      <c r="M85" s="8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spans="1:25" ht="15" customHeight="1">
      <c r="A86" s="19"/>
      <c r="B86" s="18" t="s">
        <v>30</v>
      </c>
      <c r="C86" s="38">
        <v>19192816.914000001</v>
      </c>
      <c r="D86" s="22">
        <v>9243711</v>
      </c>
      <c r="E86" s="22">
        <v>911448</v>
      </c>
      <c r="F86" s="22">
        <v>5893907</v>
      </c>
      <c r="G86" s="22">
        <v>2276519</v>
      </c>
      <c r="H86" s="22">
        <v>867231.91399999999</v>
      </c>
      <c r="I86" s="8"/>
      <c r="J86" s="8"/>
      <c r="K86" s="8"/>
      <c r="L86" s="8"/>
      <c r="M86" s="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1:25" ht="15" customHeight="1">
      <c r="A87" s="19"/>
      <c r="B87" s="18" t="s">
        <v>31</v>
      </c>
      <c r="C87" s="38">
        <v>19062231.579999998</v>
      </c>
      <c r="D87" s="22">
        <v>9177592</v>
      </c>
      <c r="E87" s="22">
        <v>861511</v>
      </c>
      <c r="F87" s="22">
        <v>6010748</v>
      </c>
      <c r="G87" s="22">
        <v>2305364</v>
      </c>
      <c r="H87" s="22">
        <v>707016.58</v>
      </c>
      <c r="I87" s="8"/>
      <c r="J87" s="8"/>
      <c r="K87" s="8"/>
      <c r="L87" s="8"/>
      <c r="M87" s="8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1:25" ht="15" customHeight="1">
      <c r="A88" s="19"/>
      <c r="B88" s="18" t="s">
        <v>32</v>
      </c>
      <c r="C88" s="38">
        <v>18820508.056000002</v>
      </c>
      <c r="D88" s="22">
        <v>9087304</v>
      </c>
      <c r="E88" s="22">
        <v>827528</v>
      </c>
      <c r="F88" s="22">
        <v>6042810</v>
      </c>
      <c r="G88" s="22">
        <v>2279954</v>
      </c>
      <c r="H88" s="22">
        <v>582912.05599999998</v>
      </c>
      <c r="I88" s="8"/>
      <c r="J88" s="8"/>
      <c r="K88" s="8"/>
      <c r="L88" s="8"/>
      <c r="M88" s="8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spans="1:25" ht="15" customHeight="1">
      <c r="A89" s="19"/>
      <c r="B89" s="18" t="s">
        <v>33</v>
      </c>
      <c r="C89" s="38">
        <v>17145805.329999998</v>
      </c>
      <c r="D89" s="22">
        <v>8693170</v>
      </c>
      <c r="E89" s="22">
        <v>816895</v>
      </c>
      <c r="F89" s="22">
        <v>5100449</v>
      </c>
      <c r="G89" s="22">
        <v>2080225</v>
      </c>
      <c r="H89" s="22">
        <v>455066.33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5" customHeight="1">
      <c r="A90" s="19"/>
      <c r="B90" s="18" t="s">
        <v>34</v>
      </c>
      <c r="C90" s="38">
        <v>15878451.325999999</v>
      </c>
      <c r="D90" s="22">
        <v>8055109</v>
      </c>
      <c r="E90" s="22">
        <v>804868</v>
      </c>
      <c r="F90" s="22">
        <v>4735028</v>
      </c>
      <c r="G90" s="22">
        <v>1872119</v>
      </c>
      <c r="H90" s="22">
        <v>411327.326</v>
      </c>
      <c r="I90" s="8"/>
      <c r="J90" s="8"/>
      <c r="K90" s="8"/>
      <c r="L90" s="8"/>
      <c r="M90" s="24"/>
      <c r="N90" s="8"/>
      <c r="O90" s="24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5" customHeight="1">
      <c r="A91" s="18">
        <v>2017</v>
      </c>
      <c r="B91" s="18" t="s">
        <v>23</v>
      </c>
      <c r="C91" s="38">
        <v>15563038</v>
      </c>
      <c r="D91" s="22">
        <v>7485079</v>
      </c>
      <c r="E91" s="22">
        <v>789557</v>
      </c>
      <c r="F91" s="22">
        <v>4911196</v>
      </c>
      <c r="G91" s="22">
        <v>1928021</v>
      </c>
      <c r="H91" s="22">
        <v>449185</v>
      </c>
      <c r="I91" s="8"/>
      <c r="J91" s="8"/>
      <c r="K91" s="8"/>
      <c r="L91" s="8"/>
      <c r="M91" s="24"/>
      <c r="N91" s="8"/>
      <c r="O91" s="24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5" customHeight="1">
      <c r="A92" s="19"/>
      <c r="B92" s="18" t="s">
        <v>24</v>
      </c>
      <c r="C92" s="38">
        <v>14944440</v>
      </c>
      <c r="D92" s="22">
        <v>6990709</v>
      </c>
      <c r="E92" s="22">
        <v>763503</v>
      </c>
      <c r="F92" s="22">
        <v>4724307</v>
      </c>
      <c r="G92" s="22">
        <v>1965289</v>
      </c>
      <c r="H92" s="22">
        <v>500632</v>
      </c>
      <c r="I92" s="8"/>
      <c r="J92" s="8"/>
      <c r="K92" s="8"/>
      <c r="L92" s="8"/>
      <c r="M92" s="24"/>
      <c r="N92" s="8"/>
      <c r="O92" s="24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5" customHeight="1">
      <c r="A93" s="19"/>
      <c r="B93" s="18" t="s">
        <v>25</v>
      </c>
      <c r="C93" s="38">
        <v>15722230</v>
      </c>
      <c r="D93" s="22">
        <v>7455713</v>
      </c>
      <c r="E93" s="22">
        <v>859173</v>
      </c>
      <c r="F93" s="22">
        <v>4759438</v>
      </c>
      <c r="G93" s="22">
        <v>1970778</v>
      </c>
      <c r="H93" s="22">
        <v>677128</v>
      </c>
      <c r="I93" s="8"/>
      <c r="J93" s="8"/>
      <c r="K93" s="8"/>
      <c r="L93" s="8"/>
      <c r="M93" s="24"/>
      <c r="N93" s="8"/>
      <c r="O93" s="24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5" customHeight="1">
      <c r="A94" s="19"/>
      <c r="B94" s="18" t="s">
        <v>26</v>
      </c>
      <c r="C94" s="38">
        <v>16527738</v>
      </c>
      <c r="D94" s="22">
        <v>7938791</v>
      </c>
      <c r="E94" s="22">
        <v>828852</v>
      </c>
      <c r="F94" s="22">
        <v>4993327</v>
      </c>
      <c r="G94" s="22">
        <v>1975673</v>
      </c>
      <c r="H94" s="22">
        <v>791095</v>
      </c>
      <c r="I94" s="8"/>
      <c r="J94" s="8"/>
      <c r="K94" s="8"/>
      <c r="L94" s="8"/>
      <c r="M94" s="24"/>
      <c r="N94" s="8"/>
      <c r="O94" s="24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5" customHeight="1">
      <c r="A95" s="19"/>
      <c r="B95" s="18" t="s">
        <v>27</v>
      </c>
      <c r="C95" s="38">
        <v>17877970</v>
      </c>
      <c r="D95" s="22">
        <v>9010606</v>
      </c>
      <c r="E95" s="22">
        <v>866770</v>
      </c>
      <c r="F95" s="22">
        <v>5075772</v>
      </c>
      <c r="G95" s="22">
        <v>1989190</v>
      </c>
      <c r="H95" s="22">
        <v>935632</v>
      </c>
      <c r="I95" s="8"/>
      <c r="J95" s="8"/>
      <c r="K95" s="8"/>
      <c r="L95" s="8"/>
      <c r="M95" s="24"/>
      <c r="N95" s="8"/>
      <c r="O95" s="24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5" customHeight="1">
      <c r="A96" s="19"/>
      <c r="B96" s="18" t="s">
        <v>28</v>
      </c>
      <c r="C96" s="38">
        <v>18178239</v>
      </c>
      <c r="D96" s="22">
        <v>8780030</v>
      </c>
      <c r="E96" s="22">
        <v>883766</v>
      </c>
      <c r="F96" s="22">
        <v>5439685</v>
      </c>
      <c r="G96" s="22">
        <v>2104074</v>
      </c>
      <c r="H96" s="22">
        <v>970684</v>
      </c>
      <c r="I96" s="8"/>
      <c r="J96" s="8"/>
      <c r="K96" s="8"/>
      <c r="L96" s="8"/>
      <c r="M96" s="24"/>
      <c r="N96" s="8"/>
      <c r="O96" s="24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5" customHeight="1">
      <c r="A97" s="19"/>
      <c r="B97" s="18" t="s">
        <v>29</v>
      </c>
      <c r="C97" s="38">
        <v>19296466</v>
      </c>
      <c r="D97" s="22">
        <v>8997834</v>
      </c>
      <c r="E97" s="22">
        <v>876827</v>
      </c>
      <c r="F97" s="22">
        <v>6194076</v>
      </c>
      <c r="G97" s="22">
        <v>2250820</v>
      </c>
      <c r="H97" s="22">
        <v>976909</v>
      </c>
      <c r="I97" s="8"/>
      <c r="J97" s="8"/>
      <c r="K97" s="8"/>
      <c r="L97" s="8"/>
      <c r="M97" s="24"/>
      <c r="N97" s="8"/>
      <c r="O97" s="24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5" customHeight="1">
      <c r="A98" s="19"/>
      <c r="B98" s="18" t="s">
        <v>30</v>
      </c>
      <c r="C98" s="38">
        <v>19782437</v>
      </c>
      <c r="D98" s="22">
        <v>9437912</v>
      </c>
      <c r="E98" s="22">
        <v>921679</v>
      </c>
      <c r="F98" s="22">
        <v>6321831</v>
      </c>
      <c r="G98" s="22">
        <v>2232780</v>
      </c>
      <c r="H98" s="22">
        <v>868235</v>
      </c>
      <c r="I98" s="8"/>
      <c r="J98" s="8"/>
      <c r="K98" s="8"/>
      <c r="L98" s="8"/>
      <c r="M98" s="24"/>
      <c r="N98" s="8"/>
      <c r="O98" s="24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5" customHeight="1">
      <c r="A99" s="19"/>
      <c r="B99" s="18" t="s">
        <v>31</v>
      </c>
      <c r="C99" s="38">
        <v>18711084</v>
      </c>
      <c r="D99" s="22">
        <v>9164064</v>
      </c>
      <c r="E99" s="22">
        <v>876532</v>
      </c>
      <c r="F99" s="22">
        <v>5800238</v>
      </c>
      <c r="G99" s="22">
        <v>2164419</v>
      </c>
      <c r="H99" s="22">
        <v>705831</v>
      </c>
      <c r="I99" s="8"/>
      <c r="J99" s="8"/>
      <c r="K99" s="8"/>
      <c r="L99" s="8"/>
      <c r="M99" s="24"/>
      <c r="N99" s="8"/>
      <c r="O99" s="24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5" customHeight="1">
      <c r="A100" s="19"/>
      <c r="B100" s="18" t="s">
        <v>32</v>
      </c>
      <c r="C100" s="38">
        <v>18170628</v>
      </c>
      <c r="D100" s="22">
        <v>8902238</v>
      </c>
      <c r="E100" s="22">
        <v>873283</v>
      </c>
      <c r="F100" s="22">
        <v>5672381</v>
      </c>
      <c r="G100" s="22">
        <v>2141039</v>
      </c>
      <c r="H100" s="22">
        <v>581687</v>
      </c>
      <c r="I100" s="8"/>
      <c r="J100" s="8"/>
      <c r="K100" s="8"/>
      <c r="L100" s="8"/>
      <c r="M100" s="24"/>
      <c r="N100" s="8"/>
      <c r="O100" s="24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5" customHeight="1">
      <c r="A101" s="19"/>
      <c r="B101" s="18" t="s">
        <v>33</v>
      </c>
      <c r="C101" s="38">
        <v>17609107</v>
      </c>
      <c r="D101" s="22">
        <v>8391780</v>
      </c>
      <c r="E101" s="22">
        <v>843958</v>
      </c>
      <c r="F101" s="22">
        <v>5762749</v>
      </c>
      <c r="G101" s="22">
        <v>2154535</v>
      </c>
      <c r="H101" s="22">
        <v>456085</v>
      </c>
      <c r="I101" s="8"/>
      <c r="J101" s="8"/>
      <c r="K101" s="8"/>
      <c r="L101" s="8"/>
      <c r="M101" s="24"/>
      <c r="N101" s="8"/>
      <c r="O101" s="24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5" customHeight="1">
      <c r="A102" s="19"/>
      <c r="B102" s="18" t="s">
        <v>34</v>
      </c>
      <c r="C102" s="38">
        <v>16934084</v>
      </c>
      <c r="D102" s="22">
        <v>8187827</v>
      </c>
      <c r="E102" s="22">
        <v>796771</v>
      </c>
      <c r="F102" s="22">
        <v>5390993</v>
      </c>
      <c r="G102" s="22">
        <v>2144630</v>
      </c>
      <c r="H102" s="22">
        <v>413863</v>
      </c>
      <c r="I102" s="8"/>
      <c r="J102" s="8"/>
      <c r="K102" s="8"/>
      <c r="L102" s="8"/>
      <c r="M102" s="24"/>
      <c r="N102" s="8"/>
      <c r="O102" s="24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5" customHeight="1">
      <c r="A103" s="18">
        <v>2018</v>
      </c>
      <c r="B103" s="18" t="s">
        <v>23</v>
      </c>
      <c r="C103" s="38">
        <v>16381597</v>
      </c>
      <c r="D103" s="22">
        <v>8189944</v>
      </c>
      <c r="E103" s="22">
        <v>758568</v>
      </c>
      <c r="F103" s="22">
        <v>4942804</v>
      </c>
      <c r="G103" s="22">
        <v>2039118</v>
      </c>
      <c r="H103" s="22">
        <v>451163</v>
      </c>
      <c r="I103" s="8"/>
      <c r="J103" s="8"/>
      <c r="K103" s="8"/>
      <c r="L103" s="8"/>
      <c r="M103" s="24"/>
      <c r="N103" s="8"/>
      <c r="O103" s="24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5" customHeight="1">
      <c r="A104" s="19"/>
      <c r="B104" s="18" t="s">
        <v>24</v>
      </c>
      <c r="C104" s="38">
        <v>15536354</v>
      </c>
      <c r="D104" s="22">
        <v>7530599</v>
      </c>
      <c r="E104" s="22">
        <v>713422</v>
      </c>
      <c r="F104" s="22">
        <v>4822828</v>
      </c>
      <c r="G104" s="22">
        <v>1967665</v>
      </c>
      <c r="H104" s="22">
        <v>501840</v>
      </c>
      <c r="I104" s="8"/>
      <c r="J104" s="8"/>
      <c r="K104" s="8"/>
      <c r="L104" s="8"/>
      <c r="M104" s="24"/>
      <c r="N104" s="8"/>
      <c r="O104" s="24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5" customHeight="1">
      <c r="A105" s="19"/>
      <c r="B105" s="18" t="s">
        <v>25</v>
      </c>
      <c r="C105" s="38">
        <v>17484062</v>
      </c>
      <c r="D105" s="22">
        <v>9173046</v>
      </c>
      <c r="E105" s="22">
        <v>858427</v>
      </c>
      <c r="F105" s="22">
        <v>4815171</v>
      </c>
      <c r="G105" s="22">
        <v>1961282</v>
      </c>
      <c r="H105" s="22">
        <v>676136</v>
      </c>
      <c r="I105" s="8"/>
      <c r="J105" s="8"/>
      <c r="K105" s="8"/>
      <c r="L105" s="8"/>
      <c r="M105" s="24"/>
      <c r="N105" s="8"/>
      <c r="O105" s="24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5" customHeight="1">
      <c r="A106" s="19"/>
      <c r="B106" s="18" t="s">
        <v>26</v>
      </c>
      <c r="C106" s="38">
        <v>17020248</v>
      </c>
      <c r="D106" s="22">
        <v>8596405</v>
      </c>
      <c r="E106" s="22">
        <v>817533</v>
      </c>
      <c r="F106" s="22">
        <v>4900440</v>
      </c>
      <c r="G106" s="22">
        <v>1914675</v>
      </c>
      <c r="H106" s="22">
        <v>791195</v>
      </c>
      <c r="I106" s="8"/>
      <c r="J106" s="8"/>
      <c r="K106" s="8"/>
      <c r="L106" s="8"/>
      <c r="M106" s="24"/>
      <c r="N106" s="8"/>
      <c r="O106" s="24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5" customHeight="1">
      <c r="A107" s="19"/>
      <c r="B107" s="18" t="s">
        <v>27</v>
      </c>
      <c r="C107" s="38">
        <v>18631702</v>
      </c>
      <c r="D107" s="22">
        <v>9584323</v>
      </c>
      <c r="E107" s="22">
        <v>858014</v>
      </c>
      <c r="F107" s="22">
        <v>5253739</v>
      </c>
      <c r="G107" s="22">
        <v>1997947</v>
      </c>
      <c r="H107" s="22">
        <v>937679</v>
      </c>
      <c r="I107" s="8"/>
      <c r="J107" s="8"/>
      <c r="K107" s="8"/>
      <c r="L107" s="8"/>
      <c r="M107" s="24"/>
      <c r="N107" s="8"/>
      <c r="O107" s="24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5" customHeight="1">
      <c r="A108" s="19"/>
      <c r="B108" s="18" t="s">
        <v>28</v>
      </c>
      <c r="C108" s="38">
        <v>18789670</v>
      </c>
      <c r="D108" s="22">
        <v>9050013</v>
      </c>
      <c r="E108" s="22">
        <v>841000</v>
      </c>
      <c r="F108" s="22">
        <v>5776155</v>
      </c>
      <c r="G108" s="22">
        <v>2148771</v>
      </c>
      <c r="H108" s="22">
        <v>973731</v>
      </c>
      <c r="I108" s="8"/>
      <c r="J108" s="8"/>
      <c r="K108" s="8"/>
      <c r="L108" s="8"/>
      <c r="M108" s="24"/>
      <c r="N108" s="8"/>
      <c r="O108" s="24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5" customHeight="1">
      <c r="A109" s="19"/>
      <c r="B109" s="18" t="s">
        <v>29</v>
      </c>
      <c r="C109" s="38">
        <v>19975845</v>
      </c>
      <c r="D109" s="22">
        <v>9405263</v>
      </c>
      <c r="E109" s="22">
        <v>861233</v>
      </c>
      <c r="F109" s="22">
        <v>6428037</v>
      </c>
      <c r="G109" s="22">
        <v>2301368</v>
      </c>
      <c r="H109" s="22">
        <v>979944</v>
      </c>
      <c r="I109" s="8"/>
      <c r="J109" s="8"/>
      <c r="K109" s="8"/>
      <c r="L109" s="8"/>
      <c r="M109" s="24"/>
      <c r="N109" s="8"/>
      <c r="O109" s="24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5" customHeight="1">
      <c r="A110" s="19"/>
      <c r="B110" s="18" t="s">
        <v>30</v>
      </c>
      <c r="C110" s="38">
        <v>19779588</v>
      </c>
      <c r="D110" s="22">
        <v>9207927</v>
      </c>
      <c r="E110" s="22">
        <v>912782</v>
      </c>
      <c r="F110" s="22">
        <v>6416754</v>
      </c>
      <c r="G110" s="22">
        <v>2370684</v>
      </c>
      <c r="H110" s="22">
        <v>871441</v>
      </c>
      <c r="I110" s="8"/>
      <c r="J110" s="8"/>
      <c r="K110" s="8"/>
      <c r="L110" s="8"/>
      <c r="M110" s="24"/>
      <c r="N110" s="8"/>
      <c r="O110" s="24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5" customHeight="1">
      <c r="A111" s="19"/>
      <c r="B111" s="18" t="s">
        <v>31</v>
      </c>
      <c r="C111" s="38">
        <v>18983015</v>
      </c>
      <c r="D111" s="22">
        <v>9319575</v>
      </c>
      <c r="E111" s="22">
        <v>836387</v>
      </c>
      <c r="F111" s="22">
        <v>5887134</v>
      </c>
      <c r="G111" s="22">
        <v>2231900</v>
      </c>
      <c r="H111" s="22">
        <v>708019</v>
      </c>
      <c r="I111" s="8"/>
      <c r="J111" s="8"/>
      <c r="K111" s="8"/>
      <c r="L111" s="8"/>
      <c r="M111" s="24"/>
      <c r="N111" s="8"/>
      <c r="O111" s="24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5" customHeight="1">
      <c r="A112" s="19"/>
      <c r="B112" s="18" t="s">
        <v>32</v>
      </c>
      <c r="C112" s="38">
        <v>18800067</v>
      </c>
      <c r="D112" s="22">
        <v>9259148</v>
      </c>
      <c r="E112" s="22">
        <v>828411</v>
      </c>
      <c r="F112" s="22">
        <v>5866982</v>
      </c>
      <c r="G112" s="22">
        <v>2260860</v>
      </c>
      <c r="H112" s="22">
        <v>584666</v>
      </c>
      <c r="I112" s="8"/>
      <c r="J112" s="8"/>
      <c r="K112" s="8"/>
      <c r="L112" s="8"/>
      <c r="M112" s="24"/>
      <c r="N112" s="8"/>
      <c r="O112" s="24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5" customHeight="1">
      <c r="A113" s="19"/>
      <c r="B113" s="18" t="s">
        <v>33</v>
      </c>
      <c r="C113" s="38">
        <v>17713892</v>
      </c>
      <c r="D113" s="22">
        <v>8306800</v>
      </c>
      <c r="E113" s="22">
        <v>822806</v>
      </c>
      <c r="F113" s="22">
        <v>5858099</v>
      </c>
      <c r="G113" s="22">
        <v>2267414</v>
      </c>
      <c r="H113" s="22">
        <v>458773</v>
      </c>
      <c r="I113" s="8"/>
      <c r="J113" s="8"/>
      <c r="K113" s="8"/>
      <c r="L113" s="8"/>
      <c r="M113" s="24"/>
      <c r="N113" s="8"/>
      <c r="O113" s="24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5" customHeight="1">
      <c r="A114" s="19"/>
      <c r="B114" s="18" t="s">
        <v>34</v>
      </c>
      <c r="C114" s="38">
        <v>16106269</v>
      </c>
      <c r="D114" s="22">
        <v>7503981</v>
      </c>
      <c r="E114" s="22">
        <v>757863</v>
      </c>
      <c r="F114" s="22">
        <v>5388186</v>
      </c>
      <c r="G114" s="22">
        <v>2042074</v>
      </c>
      <c r="H114" s="22">
        <v>414165</v>
      </c>
      <c r="I114" s="8"/>
      <c r="J114" s="8"/>
      <c r="K114" s="8"/>
      <c r="L114" s="8"/>
      <c r="M114" s="24"/>
      <c r="N114" s="8"/>
      <c r="O114" s="24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5" customHeight="1">
      <c r="A115" s="18">
        <v>2019</v>
      </c>
      <c r="B115" s="18" t="s">
        <v>23</v>
      </c>
      <c r="C115" s="38">
        <v>15396238</v>
      </c>
      <c r="D115" s="22">
        <v>7353653</v>
      </c>
      <c r="E115" s="22">
        <v>737264</v>
      </c>
      <c r="F115" s="22">
        <v>4916600</v>
      </c>
      <c r="G115" s="22">
        <v>1937562</v>
      </c>
      <c r="H115" s="22">
        <v>451159</v>
      </c>
      <c r="I115" s="24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5" customHeight="1">
      <c r="A116" s="19"/>
      <c r="B116" s="18" t="s">
        <v>24</v>
      </c>
      <c r="C116" s="38">
        <v>14995479</v>
      </c>
      <c r="D116" s="22">
        <v>7013691</v>
      </c>
      <c r="E116" s="22">
        <v>680671</v>
      </c>
      <c r="F116" s="22">
        <v>4905287</v>
      </c>
      <c r="G116" s="22">
        <v>1894714</v>
      </c>
      <c r="H116" s="22">
        <v>501116</v>
      </c>
      <c r="I116" s="24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5" customHeight="1">
      <c r="A117" s="19"/>
      <c r="B117" s="18" t="s">
        <v>25</v>
      </c>
      <c r="C117" s="38">
        <v>15918606</v>
      </c>
      <c r="D117" s="22">
        <v>7383386</v>
      </c>
      <c r="E117" s="22">
        <v>784895</v>
      </c>
      <c r="F117" s="22">
        <v>5088579</v>
      </c>
      <c r="G117" s="22">
        <v>1985207</v>
      </c>
      <c r="H117" s="22">
        <v>676539</v>
      </c>
      <c r="I117" s="24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5" customHeight="1">
      <c r="A118" s="19"/>
      <c r="B118" s="18" t="s">
        <v>26</v>
      </c>
      <c r="C118" s="38">
        <v>16068162</v>
      </c>
      <c r="D118" s="22">
        <v>7281926</v>
      </c>
      <c r="E118" s="22">
        <v>767907</v>
      </c>
      <c r="F118" s="22">
        <v>5185234</v>
      </c>
      <c r="G118" s="22">
        <v>2041625</v>
      </c>
      <c r="H118" s="22">
        <v>791470</v>
      </c>
      <c r="I118" s="24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5" customHeight="1">
      <c r="A119" s="19"/>
      <c r="B119" s="18" t="s">
        <v>27</v>
      </c>
      <c r="C119" s="38">
        <v>17882318</v>
      </c>
      <c r="D119" s="22">
        <v>8625594</v>
      </c>
      <c r="E119" s="22">
        <v>823787</v>
      </c>
      <c r="F119" s="22">
        <v>5416363</v>
      </c>
      <c r="G119" s="22">
        <v>2079154</v>
      </c>
      <c r="H119" s="22">
        <v>937420</v>
      </c>
      <c r="I119" s="24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5" customHeight="1">
      <c r="A120" s="19"/>
      <c r="B120" s="18" t="s">
        <v>35</v>
      </c>
      <c r="C120" s="38">
        <v>18404856</v>
      </c>
      <c r="D120" s="22">
        <v>8474602</v>
      </c>
      <c r="E120" s="22">
        <v>813925</v>
      </c>
      <c r="F120" s="22">
        <v>5884499</v>
      </c>
      <c r="G120" s="22">
        <v>2258501</v>
      </c>
      <c r="H120" s="22">
        <v>973329</v>
      </c>
      <c r="I120" s="24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5" customHeight="1">
      <c r="A121" s="19"/>
      <c r="B121" s="18" t="s">
        <v>29</v>
      </c>
      <c r="C121" s="38">
        <v>19535931</v>
      </c>
      <c r="D121" s="22">
        <v>9153863</v>
      </c>
      <c r="E121" s="22">
        <v>833125</v>
      </c>
      <c r="F121" s="22">
        <v>6208581</v>
      </c>
      <c r="G121" s="22">
        <v>2358932</v>
      </c>
      <c r="H121" s="22">
        <v>981430</v>
      </c>
      <c r="I121" s="24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5" customHeight="1">
      <c r="A122" s="19"/>
      <c r="B122" s="18" t="s">
        <v>30</v>
      </c>
      <c r="C122" s="38">
        <v>19576375</v>
      </c>
      <c r="D122" s="22">
        <v>9414735</v>
      </c>
      <c r="E122" s="22">
        <v>848754</v>
      </c>
      <c r="F122" s="22">
        <v>6225357</v>
      </c>
      <c r="G122" s="22">
        <v>2214516</v>
      </c>
      <c r="H122" s="22">
        <v>873013</v>
      </c>
      <c r="I122" s="24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5" customHeight="1">
      <c r="A123" s="19"/>
      <c r="B123" s="18" t="s">
        <v>36</v>
      </c>
      <c r="C123" s="38">
        <v>18713720</v>
      </c>
      <c r="D123" s="22">
        <v>9045238</v>
      </c>
      <c r="E123" s="22">
        <v>799953</v>
      </c>
      <c r="F123" s="22">
        <v>6005956</v>
      </c>
      <c r="G123" s="22">
        <v>2152266</v>
      </c>
      <c r="H123" s="22">
        <v>710307</v>
      </c>
      <c r="I123" s="24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5" customHeight="1">
      <c r="A124" s="19"/>
      <c r="B124" s="18" t="s">
        <v>32</v>
      </c>
      <c r="C124" s="38">
        <v>18784040</v>
      </c>
      <c r="D124" s="22">
        <v>9113676</v>
      </c>
      <c r="E124" s="22">
        <v>806030</v>
      </c>
      <c r="F124" s="22">
        <v>5983138</v>
      </c>
      <c r="G124" s="22">
        <v>2295373</v>
      </c>
      <c r="H124" s="22">
        <v>585823</v>
      </c>
      <c r="I124" s="24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5" customHeight="1">
      <c r="A125" s="19"/>
      <c r="B125" s="18" t="s">
        <v>33</v>
      </c>
      <c r="C125" s="38">
        <v>17609263</v>
      </c>
      <c r="D125" s="22">
        <v>8175774</v>
      </c>
      <c r="E125" s="22">
        <v>773602</v>
      </c>
      <c r="F125" s="22">
        <v>5897950</v>
      </c>
      <c r="G125" s="22">
        <v>2302117</v>
      </c>
      <c r="H125" s="22">
        <v>459820</v>
      </c>
      <c r="I125" s="24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5" customHeight="1">
      <c r="A126" s="19"/>
      <c r="B126" s="18" t="s">
        <v>34</v>
      </c>
      <c r="C126" s="38">
        <v>15919422</v>
      </c>
      <c r="D126" s="22">
        <v>7303365</v>
      </c>
      <c r="E126" s="22">
        <v>737412</v>
      </c>
      <c r="F126" s="22">
        <v>5366255</v>
      </c>
      <c r="G126" s="22">
        <v>2096384</v>
      </c>
      <c r="H126" s="22">
        <v>416006</v>
      </c>
      <c r="I126" s="24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5" customHeight="1">
      <c r="A127" s="18">
        <v>2020</v>
      </c>
      <c r="B127" s="18" t="s">
        <v>23</v>
      </c>
      <c r="C127" s="38">
        <v>15875731</v>
      </c>
      <c r="D127" s="22">
        <v>7683328</v>
      </c>
      <c r="E127" s="22">
        <v>722076</v>
      </c>
      <c r="F127" s="22">
        <v>5040330</v>
      </c>
      <c r="G127" s="22">
        <v>1978681</v>
      </c>
      <c r="H127" s="22">
        <v>451316</v>
      </c>
      <c r="I127" s="24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5" customHeight="1">
      <c r="A128" s="19"/>
      <c r="B128" s="18" t="s">
        <v>24</v>
      </c>
      <c r="C128" s="38">
        <v>16251634</v>
      </c>
      <c r="D128" s="22">
        <v>7907822</v>
      </c>
      <c r="E128" s="22">
        <v>693519</v>
      </c>
      <c r="F128" s="22">
        <v>5091423</v>
      </c>
      <c r="G128" s="22">
        <v>2055750</v>
      </c>
      <c r="H128" s="22">
        <v>503120</v>
      </c>
      <c r="I128" s="24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5" customHeight="1">
      <c r="A129" s="19"/>
      <c r="B129" s="18" t="s">
        <v>25</v>
      </c>
      <c r="C129" s="38">
        <v>15137870</v>
      </c>
      <c r="D129" s="22">
        <v>6682809</v>
      </c>
      <c r="E129" s="22">
        <v>666619</v>
      </c>
      <c r="F129" s="22">
        <v>5073303</v>
      </c>
      <c r="G129" s="22">
        <v>2036988</v>
      </c>
      <c r="H129" s="22">
        <v>678151</v>
      </c>
      <c r="I129" s="24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5" customHeight="1">
      <c r="A130" s="19"/>
      <c r="B130" s="18" t="s">
        <v>26</v>
      </c>
      <c r="C130" s="38">
        <v>13051328</v>
      </c>
      <c r="D130" s="22">
        <v>5267359</v>
      </c>
      <c r="E130" s="22">
        <v>544122</v>
      </c>
      <c r="F130" s="22">
        <v>5071525</v>
      </c>
      <c r="G130" s="22">
        <v>1376214</v>
      </c>
      <c r="H130" s="22">
        <v>792108</v>
      </c>
      <c r="I130" s="24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5" customHeight="1">
      <c r="A131" s="19"/>
      <c r="B131" s="18" t="s">
        <v>27</v>
      </c>
      <c r="C131" s="38">
        <v>14560061</v>
      </c>
      <c r="D131" s="22">
        <v>6295162</v>
      </c>
      <c r="E131" s="22">
        <v>608125</v>
      </c>
      <c r="F131" s="22">
        <v>5363621</v>
      </c>
      <c r="G131" s="22">
        <v>1354747</v>
      </c>
      <c r="H131" s="22">
        <v>938406</v>
      </c>
      <c r="I131" s="24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5" customHeight="1">
      <c r="A132" s="19"/>
      <c r="B132" s="18" t="s">
        <v>28</v>
      </c>
      <c r="C132" s="38">
        <v>16476433</v>
      </c>
      <c r="D132" s="22">
        <v>6771523</v>
      </c>
      <c r="E132" s="22">
        <v>636801</v>
      </c>
      <c r="F132" s="22">
        <v>6001072</v>
      </c>
      <c r="G132" s="22">
        <v>2092609</v>
      </c>
      <c r="H132" s="22">
        <v>974428</v>
      </c>
      <c r="I132" s="24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5" customHeight="1">
      <c r="A133" s="19"/>
      <c r="B133" s="18" t="s">
        <v>29</v>
      </c>
      <c r="C133" s="38">
        <v>18825608.230999999</v>
      </c>
      <c r="D133" s="22">
        <v>7854097</v>
      </c>
      <c r="E133" s="22">
        <v>756571</v>
      </c>
      <c r="F133" s="22">
        <v>7032529</v>
      </c>
      <c r="G133" s="22">
        <v>2198016</v>
      </c>
      <c r="H133" s="22">
        <v>984395.23100000003</v>
      </c>
      <c r="I133" s="24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5" customHeight="1">
      <c r="A134" s="19"/>
      <c r="B134" s="18" t="s">
        <v>30</v>
      </c>
      <c r="C134" s="38">
        <v>18972383.914000001</v>
      </c>
      <c r="D134" s="22">
        <v>8171957</v>
      </c>
      <c r="E134" s="22">
        <v>737556</v>
      </c>
      <c r="F134" s="22">
        <v>7166947</v>
      </c>
      <c r="G134" s="22">
        <v>2018486</v>
      </c>
      <c r="H134" s="22">
        <v>877437.91399999999</v>
      </c>
      <c r="I134" s="24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5" customHeight="1">
      <c r="A135" s="19"/>
      <c r="B135" s="18" t="s">
        <v>31</v>
      </c>
      <c r="C135" s="38">
        <v>18059342</v>
      </c>
      <c r="D135" s="22">
        <v>7953113</v>
      </c>
      <c r="E135" s="22">
        <v>674531</v>
      </c>
      <c r="F135" s="22">
        <v>6672883</v>
      </c>
      <c r="G135" s="22">
        <v>2045405</v>
      </c>
      <c r="H135" s="22">
        <v>713410</v>
      </c>
      <c r="I135" s="24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5" customHeight="1">
      <c r="A136" s="19"/>
      <c r="B136" s="18" t="s">
        <v>32</v>
      </c>
      <c r="C136" s="38">
        <v>18014638</v>
      </c>
      <c r="D136" s="22">
        <v>8355921</v>
      </c>
      <c r="E136" s="22">
        <v>641461</v>
      </c>
      <c r="F136" s="22">
        <v>6507771</v>
      </c>
      <c r="G136" s="22">
        <v>1921466</v>
      </c>
      <c r="H136" s="22">
        <v>588019</v>
      </c>
      <c r="I136" s="24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5" customHeight="1">
      <c r="A137" s="19"/>
      <c r="B137" s="18" t="s">
        <v>33</v>
      </c>
      <c r="C137" s="38">
        <v>17447536</v>
      </c>
      <c r="D137" s="22">
        <v>8372848</v>
      </c>
      <c r="E137" s="22">
        <v>614443</v>
      </c>
      <c r="F137" s="22">
        <v>6158628</v>
      </c>
      <c r="G137" s="22">
        <v>1842400</v>
      </c>
      <c r="H137" s="22">
        <v>459217</v>
      </c>
      <c r="I137" s="24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5" customHeight="1">
      <c r="A138" s="19"/>
      <c r="B138" s="18" t="s">
        <v>34</v>
      </c>
      <c r="C138" s="38">
        <v>16844139</v>
      </c>
      <c r="D138" s="22">
        <v>8031186</v>
      </c>
      <c r="E138" s="22">
        <v>653704</v>
      </c>
      <c r="F138" s="22">
        <v>5862538</v>
      </c>
      <c r="G138" s="22">
        <v>1880666</v>
      </c>
      <c r="H138" s="22">
        <v>416045</v>
      </c>
      <c r="I138" s="24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5" customHeight="1">
      <c r="A139" s="18">
        <v>2021</v>
      </c>
      <c r="B139" s="18" t="s">
        <v>23</v>
      </c>
      <c r="C139" s="38">
        <v>17515013</v>
      </c>
      <c r="D139" s="24">
        <v>8690176</v>
      </c>
      <c r="E139" s="24">
        <v>656896</v>
      </c>
      <c r="F139" s="24">
        <v>5824165</v>
      </c>
      <c r="G139" s="24">
        <v>1890215</v>
      </c>
      <c r="H139" s="24">
        <v>453561</v>
      </c>
      <c r="I139" s="24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5" customHeight="1">
      <c r="A140" s="19"/>
      <c r="B140" s="18" t="s">
        <v>24</v>
      </c>
      <c r="C140" s="38">
        <v>16818925</v>
      </c>
      <c r="D140" s="24">
        <v>8206174</v>
      </c>
      <c r="E140" s="24">
        <v>621125</v>
      </c>
      <c r="F140" s="24">
        <v>5616749</v>
      </c>
      <c r="G140" s="24">
        <v>1871108</v>
      </c>
      <c r="H140" s="24">
        <v>503769</v>
      </c>
      <c r="I140" s="24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5" customHeight="1">
      <c r="A141" s="19"/>
      <c r="B141" s="18" t="s">
        <v>25</v>
      </c>
      <c r="C141" s="38">
        <v>17231736</v>
      </c>
      <c r="D141" s="24">
        <v>8567776</v>
      </c>
      <c r="E141" s="24">
        <v>755221</v>
      </c>
      <c r="F141" s="24">
        <v>5386614</v>
      </c>
      <c r="G141" s="24">
        <v>1842831</v>
      </c>
      <c r="H141" s="24">
        <v>679294</v>
      </c>
      <c r="I141" s="24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5" customHeight="1">
      <c r="A142" s="19"/>
      <c r="B142" s="18" t="s">
        <v>26</v>
      </c>
      <c r="C142" s="38">
        <v>17036131</v>
      </c>
      <c r="D142" s="24">
        <v>8118973</v>
      </c>
      <c r="E142" s="24">
        <v>740274</v>
      </c>
      <c r="F142" s="24">
        <v>5477445</v>
      </c>
      <c r="G142" s="24">
        <v>1905377</v>
      </c>
      <c r="H142" s="24">
        <v>794062</v>
      </c>
      <c r="I142" s="24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5" customHeight="1">
      <c r="A143" s="19"/>
      <c r="B143" s="18" t="s">
        <v>27</v>
      </c>
      <c r="C143" s="38">
        <v>17088706</v>
      </c>
      <c r="D143" s="24">
        <v>8289448</v>
      </c>
      <c r="E143" s="24">
        <v>729887</v>
      </c>
      <c r="F143" s="24">
        <v>5745830</v>
      </c>
      <c r="G143" s="24">
        <v>1929739</v>
      </c>
      <c r="H143" s="24">
        <v>393802</v>
      </c>
      <c r="I143" s="24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5" customHeight="1">
      <c r="A144" s="19"/>
      <c r="B144" s="18" t="s">
        <v>28</v>
      </c>
      <c r="C144" s="38">
        <v>18402415</v>
      </c>
      <c r="D144" s="24">
        <v>8158787</v>
      </c>
      <c r="E144" s="24">
        <v>776494</v>
      </c>
      <c r="F144" s="24">
        <v>6399585</v>
      </c>
      <c r="G144" s="24">
        <v>2089522</v>
      </c>
      <c r="H144" s="24">
        <v>978027</v>
      </c>
      <c r="I144" s="24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5" customHeight="1">
      <c r="A145" s="19"/>
      <c r="B145" s="18" t="s">
        <v>29</v>
      </c>
      <c r="C145" s="38">
        <v>20475555</v>
      </c>
      <c r="D145" s="24">
        <v>9322769</v>
      </c>
      <c r="E145" s="24">
        <v>816910</v>
      </c>
      <c r="F145" s="24">
        <v>7086598</v>
      </c>
      <c r="G145" s="24">
        <v>2261663</v>
      </c>
      <c r="H145" s="24">
        <v>987615</v>
      </c>
      <c r="I145" s="24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5" customHeight="1">
      <c r="A146" s="19"/>
      <c r="B146" s="18" t="s">
        <v>30</v>
      </c>
      <c r="C146" s="38">
        <v>20671139</v>
      </c>
      <c r="D146" s="24">
        <v>9562743</v>
      </c>
      <c r="E146" s="24">
        <v>705535</v>
      </c>
      <c r="F146" s="24">
        <v>7138294</v>
      </c>
      <c r="G146" s="24">
        <v>2395581</v>
      </c>
      <c r="H146" s="24">
        <v>868986</v>
      </c>
      <c r="I146" s="24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5" customHeight="1">
      <c r="A147" s="19"/>
      <c r="B147" s="18" t="s">
        <v>31</v>
      </c>
      <c r="C147" s="38">
        <v>18899555</v>
      </c>
      <c r="D147" s="24">
        <v>9282144</v>
      </c>
      <c r="E147" s="24">
        <v>685523</v>
      </c>
      <c r="F147" s="24">
        <v>6050834</v>
      </c>
      <c r="G147" s="24">
        <v>2174074</v>
      </c>
      <c r="H147" s="24">
        <v>706980</v>
      </c>
      <c r="I147" s="24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5" customHeight="1">
      <c r="A148" s="19"/>
      <c r="B148" s="18" t="s">
        <v>32</v>
      </c>
      <c r="C148" s="38">
        <v>19018404</v>
      </c>
      <c r="D148" s="24">
        <v>8761015</v>
      </c>
      <c r="E148" s="24">
        <v>673198</v>
      </c>
      <c r="F148" s="24">
        <v>6668075</v>
      </c>
      <c r="G148" s="24">
        <v>2332678</v>
      </c>
      <c r="H148" s="24">
        <v>583438</v>
      </c>
      <c r="I148" s="24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5" customHeight="1">
      <c r="A149" s="19"/>
      <c r="B149" s="18" t="s">
        <v>33</v>
      </c>
      <c r="C149" s="38">
        <v>18375029</v>
      </c>
      <c r="D149" s="22">
        <v>8664506</v>
      </c>
      <c r="E149" s="22">
        <v>658143</v>
      </c>
      <c r="F149" s="22">
        <v>6319166</v>
      </c>
      <c r="G149" s="22">
        <v>2278221</v>
      </c>
      <c r="H149" s="22">
        <v>454993</v>
      </c>
      <c r="I149" s="24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5" customHeight="1">
      <c r="A150" s="19"/>
      <c r="B150" s="18" t="s">
        <v>34</v>
      </c>
      <c r="C150" s="38">
        <v>17677448</v>
      </c>
      <c r="D150" s="22">
        <v>8798018</v>
      </c>
      <c r="E150" s="22">
        <v>673867</v>
      </c>
      <c r="F150" s="22">
        <v>5748379</v>
      </c>
      <c r="G150" s="22">
        <v>2045155</v>
      </c>
      <c r="H150" s="22">
        <v>412029</v>
      </c>
      <c r="I150" s="24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5" customHeight="1">
      <c r="A151" s="18">
        <v>2022</v>
      </c>
      <c r="B151" s="18" t="s">
        <v>23</v>
      </c>
      <c r="C151" s="38">
        <v>17684742</v>
      </c>
      <c r="D151" s="39">
        <v>8624243</v>
      </c>
      <c r="E151" s="39">
        <v>643904</v>
      </c>
      <c r="F151" s="39">
        <v>5895483</v>
      </c>
      <c r="G151" s="39">
        <v>2067551</v>
      </c>
      <c r="H151" s="39">
        <v>453561</v>
      </c>
      <c r="I151" s="24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5" customHeight="1">
      <c r="A152" s="19"/>
      <c r="B152" s="18" t="s">
        <v>24</v>
      </c>
      <c r="C152" s="38">
        <v>16636496</v>
      </c>
      <c r="D152" s="39">
        <v>7173459</v>
      </c>
      <c r="E152" s="39">
        <v>609473</v>
      </c>
      <c r="F152" s="39">
        <v>6122334</v>
      </c>
      <c r="G152" s="39">
        <v>2227461</v>
      </c>
      <c r="H152" s="39">
        <v>503769</v>
      </c>
      <c r="I152" s="24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5" customHeight="1">
      <c r="A153" s="19"/>
      <c r="B153" s="18" t="s">
        <v>25</v>
      </c>
      <c r="C153" s="38">
        <v>17334146</v>
      </c>
      <c r="D153" s="39">
        <v>8008479</v>
      </c>
      <c r="E153" s="39">
        <v>694510</v>
      </c>
      <c r="F153" s="39">
        <v>5781372</v>
      </c>
      <c r="G153" s="39">
        <v>2170491</v>
      </c>
      <c r="H153" s="39">
        <v>679294</v>
      </c>
      <c r="I153" s="24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5" customHeight="1">
      <c r="A154" s="19"/>
      <c r="B154" s="18" t="s">
        <v>26</v>
      </c>
      <c r="C154" s="38">
        <v>17521343</v>
      </c>
      <c r="D154" s="39">
        <v>8089823</v>
      </c>
      <c r="E154" s="39">
        <v>696909</v>
      </c>
      <c r="F154" s="39">
        <v>5782575</v>
      </c>
      <c r="G154" s="39">
        <v>2157974</v>
      </c>
      <c r="H154" s="39">
        <v>794062</v>
      </c>
      <c r="I154" s="24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5" customHeight="1">
      <c r="A155" s="19"/>
      <c r="B155" s="18" t="s">
        <v>27</v>
      </c>
      <c r="C155" s="38">
        <v>20981581</v>
      </c>
      <c r="D155" s="39">
        <v>10246490</v>
      </c>
      <c r="E155" s="39">
        <v>904357</v>
      </c>
      <c r="F155" s="39">
        <v>6590983</v>
      </c>
      <c r="G155" s="39">
        <v>2299949</v>
      </c>
      <c r="H155" s="39">
        <v>939802</v>
      </c>
      <c r="I155" s="24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5" customHeight="1">
      <c r="A156" s="19"/>
      <c r="B156" s="18" t="s">
        <v>35</v>
      </c>
      <c r="C156" s="38">
        <v>21428279</v>
      </c>
      <c r="D156" s="39">
        <v>9976222</v>
      </c>
      <c r="E156" s="39">
        <v>913156</v>
      </c>
      <c r="F156" s="39">
        <v>7113633</v>
      </c>
      <c r="G156" s="39">
        <v>2447241</v>
      </c>
      <c r="H156" s="39">
        <v>978027</v>
      </c>
      <c r="I156" s="24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5" customHeight="1">
      <c r="A157" s="19"/>
      <c r="B157" s="18" t="s">
        <v>29</v>
      </c>
      <c r="C157" s="38">
        <v>21925882</v>
      </c>
      <c r="D157" s="39">
        <v>10526389</v>
      </c>
      <c r="E157" s="39">
        <v>959664</v>
      </c>
      <c r="F157" s="39">
        <v>7059839</v>
      </c>
      <c r="G157" s="39">
        <v>2392375</v>
      </c>
      <c r="H157" s="39">
        <v>987615</v>
      </c>
      <c r="I157" s="24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5" customHeight="1">
      <c r="A158" s="19"/>
      <c r="B158" s="18" t="s">
        <v>30</v>
      </c>
      <c r="C158" s="38">
        <v>21206627</v>
      </c>
      <c r="D158" s="39">
        <v>9628923</v>
      </c>
      <c r="E158" s="39">
        <v>987809</v>
      </c>
      <c r="F158" s="39">
        <v>7263027</v>
      </c>
      <c r="G158" s="39">
        <v>2457882</v>
      </c>
      <c r="H158" s="39">
        <v>868986</v>
      </c>
      <c r="I158" s="24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5" customHeight="1">
      <c r="A159" s="19"/>
      <c r="B159" s="18" t="s">
        <v>36</v>
      </c>
      <c r="C159" s="38">
        <v>21753697</v>
      </c>
      <c r="D159" s="22">
        <v>10160301</v>
      </c>
      <c r="E159" s="22">
        <v>873841</v>
      </c>
      <c r="F159" s="22">
        <v>7490356</v>
      </c>
      <c r="G159" s="22">
        <v>2522219</v>
      </c>
      <c r="H159" s="22">
        <v>706980</v>
      </c>
      <c r="I159" s="24"/>
      <c r="J159" s="8"/>
      <c r="K159" s="39"/>
      <c r="L159" s="39"/>
      <c r="M159" s="39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5" customHeight="1">
      <c r="A160" s="19"/>
      <c r="B160" s="18" t="s">
        <v>37</v>
      </c>
      <c r="C160" s="38">
        <v>20898023</v>
      </c>
      <c r="D160" s="22">
        <v>9910009</v>
      </c>
      <c r="E160" s="22">
        <v>852539</v>
      </c>
      <c r="F160" s="22">
        <v>7086047</v>
      </c>
      <c r="G160" s="22">
        <v>2465990</v>
      </c>
      <c r="H160" s="22">
        <v>583438</v>
      </c>
      <c r="I160" s="24"/>
      <c r="J160" s="8"/>
      <c r="K160" s="39"/>
      <c r="L160" s="39"/>
      <c r="M160" s="39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5" customHeight="1">
      <c r="A161" s="19"/>
      <c r="B161" s="18" t="s">
        <v>38</v>
      </c>
      <c r="C161" s="38">
        <v>19925387</v>
      </c>
      <c r="D161" s="22">
        <v>9801943</v>
      </c>
      <c r="E161" s="22">
        <v>827314</v>
      </c>
      <c r="F161" s="22">
        <v>6475101</v>
      </c>
      <c r="G161" s="22">
        <v>2366036</v>
      </c>
      <c r="H161" s="22">
        <v>454993</v>
      </c>
      <c r="I161" s="24"/>
      <c r="J161" s="8"/>
      <c r="K161" s="39"/>
      <c r="L161" s="39"/>
      <c r="M161" s="39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5" customHeight="1">
      <c r="A162" s="19"/>
      <c r="B162" s="18" t="s">
        <v>39</v>
      </c>
      <c r="C162" s="38">
        <v>19018543</v>
      </c>
      <c r="D162" s="22">
        <v>9311736</v>
      </c>
      <c r="E162" s="22">
        <v>855434</v>
      </c>
      <c r="F162" s="22">
        <v>6231730</v>
      </c>
      <c r="G162" s="22">
        <v>2207614</v>
      </c>
      <c r="H162" s="22">
        <v>412029</v>
      </c>
      <c r="I162" s="24"/>
      <c r="J162" s="8"/>
      <c r="K162" s="39"/>
      <c r="L162" s="39"/>
      <c r="M162" s="39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5" customHeight="1">
      <c r="A163" s="18">
        <v>2023</v>
      </c>
      <c r="B163" s="18" t="s">
        <v>40</v>
      </c>
      <c r="C163" s="38">
        <v>19013820</v>
      </c>
      <c r="D163" s="22">
        <v>9359727</v>
      </c>
      <c r="E163" s="22">
        <v>823101</v>
      </c>
      <c r="F163" s="22">
        <v>6141648</v>
      </c>
      <c r="G163" s="22">
        <v>2231140</v>
      </c>
      <c r="H163" s="22">
        <v>458204</v>
      </c>
      <c r="I163" s="24"/>
      <c r="J163" s="8"/>
      <c r="K163" s="24"/>
      <c r="L163" s="24"/>
      <c r="M163" s="24"/>
      <c r="N163" s="24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5" customHeight="1">
      <c r="A164" s="19"/>
      <c r="B164" s="18" t="s">
        <v>41</v>
      </c>
      <c r="C164" s="38">
        <v>18219246</v>
      </c>
      <c r="D164" s="22">
        <v>8825481</v>
      </c>
      <c r="E164" s="22">
        <v>688021</v>
      </c>
      <c r="F164" s="22">
        <v>5933869</v>
      </c>
      <c r="G164" s="22">
        <v>2263284</v>
      </c>
      <c r="H164" s="22">
        <v>508591</v>
      </c>
      <c r="I164" s="24"/>
      <c r="J164" s="8"/>
      <c r="K164" s="24"/>
      <c r="L164" s="24"/>
      <c r="M164" s="24"/>
      <c r="N164" s="24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5" customHeight="1">
      <c r="A165" s="19"/>
      <c r="B165" s="18" t="s">
        <v>42</v>
      </c>
      <c r="C165" s="38">
        <v>19109399</v>
      </c>
      <c r="D165" s="24">
        <v>9325085</v>
      </c>
      <c r="E165" s="24">
        <v>829917</v>
      </c>
      <c r="F165" s="24">
        <v>5954198</v>
      </c>
      <c r="G165" s="24">
        <v>2308640</v>
      </c>
      <c r="H165" s="24">
        <v>691559</v>
      </c>
      <c r="I165" s="24"/>
      <c r="J165" s="8"/>
      <c r="K165" s="24"/>
      <c r="L165" s="24"/>
      <c r="M165" s="24"/>
      <c r="N165" s="24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5" customHeight="1">
      <c r="A166" s="19"/>
      <c r="B166" s="18" t="s">
        <v>43</v>
      </c>
      <c r="C166" s="38">
        <v>18906764</v>
      </c>
      <c r="D166" s="24">
        <v>8649230</v>
      </c>
      <c r="E166" s="24">
        <v>948070</v>
      </c>
      <c r="F166" s="24">
        <v>6175174</v>
      </c>
      <c r="G166" s="24">
        <v>2326143</v>
      </c>
      <c r="H166" s="24">
        <v>808147</v>
      </c>
      <c r="I166" s="24"/>
      <c r="J166" s="8"/>
      <c r="K166" s="24"/>
      <c r="L166" s="24"/>
      <c r="M166" s="24"/>
      <c r="N166" s="24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5" customHeight="1">
      <c r="A167" s="8"/>
      <c r="B167" s="18" t="s">
        <v>56</v>
      </c>
      <c r="C167" s="38">
        <v>19572867</v>
      </c>
      <c r="D167" s="24">
        <v>9085129</v>
      </c>
      <c r="E167" s="24">
        <v>806482</v>
      </c>
      <c r="F167" s="24">
        <v>6372162</v>
      </c>
      <c r="G167" s="24">
        <v>2353002</v>
      </c>
      <c r="H167" s="24">
        <v>956092</v>
      </c>
      <c r="I167" s="24"/>
      <c r="J167" s="8"/>
      <c r="K167" s="24"/>
      <c r="L167" s="24"/>
      <c r="M167" s="24"/>
      <c r="N167" s="24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5" customHeight="1">
      <c r="A168" s="8"/>
      <c r="B168" s="18" t="s">
        <v>28</v>
      </c>
      <c r="C168" s="38">
        <v>19551261</v>
      </c>
      <c r="D168" s="24">
        <v>8773551</v>
      </c>
      <c r="E168" s="24">
        <v>806074</v>
      </c>
      <c r="F168" s="24">
        <v>6844154</v>
      </c>
      <c r="G168" s="24">
        <v>2130814</v>
      </c>
      <c r="H168" s="24">
        <v>996668</v>
      </c>
      <c r="I168" s="24"/>
      <c r="J168" s="8"/>
      <c r="K168" s="24"/>
      <c r="L168" s="24"/>
      <c r="M168" s="24"/>
      <c r="N168" s="24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5" customHeight="1">
      <c r="A169" s="8"/>
      <c r="B169" s="18" t="s">
        <v>29</v>
      </c>
      <c r="C169" s="38">
        <v>21472773</v>
      </c>
      <c r="D169" s="24">
        <v>9436731</v>
      </c>
      <c r="E169" s="24">
        <v>830409</v>
      </c>
      <c r="F169" s="24">
        <v>7578889</v>
      </c>
      <c r="G169" s="24">
        <v>2596185</v>
      </c>
      <c r="H169" s="24">
        <v>1030559</v>
      </c>
      <c r="I169" s="24"/>
      <c r="J169" s="8"/>
      <c r="K169" s="24"/>
      <c r="L169" s="24"/>
      <c r="M169" s="24"/>
      <c r="N169" s="24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5" customHeight="1">
      <c r="A170" s="8"/>
      <c r="B170" s="18" t="s">
        <v>30</v>
      </c>
      <c r="C170" s="38">
        <v>21843616</v>
      </c>
      <c r="D170" s="24">
        <v>9415869</v>
      </c>
      <c r="E170" s="24">
        <v>860086</v>
      </c>
      <c r="F170" s="24">
        <v>7929924</v>
      </c>
      <c r="G170" s="24">
        <v>2716713</v>
      </c>
      <c r="H170" s="24">
        <v>921024</v>
      </c>
      <c r="I170" s="24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5" customHeight="1">
      <c r="A171" s="8"/>
      <c r="B171" s="18" t="s">
        <v>31</v>
      </c>
      <c r="C171" s="38">
        <v>21231700</v>
      </c>
      <c r="D171" s="24">
        <v>9239557</v>
      </c>
      <c r="E171" s="24">
        <v>813794</v>
      </c>
      <c r="F171" s="24">
        <v>7742318</v>
      </c>
      <c r="G171" s="24">
        <v>2684473</v>
      </c>
      <c r="H171" s="24">
        <v>751558</v>
      </c>
      <c r="I171" s="24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5" customHeight="1">
      <c r="A172" s="8"/>
      <c r="B172" s="38" t="s">
        <v>32</v>
      </c>
      <c r="C172" s="38">
        <v>20500974</v>
      </c>
      <c r="D172" s="24">
        <v>9028384</v>
      </c>
      <c r="E172" s="24">
        <v>795453</v>
      </c>
      <c r="F172" s="24">
        <v>7404840</v>
      </c>
      <c r="G172" s="24">
        <v>2644836</v>
      </c>
      <c r="H172" s="24">
        <v>627461</v>
      </c>
      <c r="I172" s="24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5" customHeight="1">
      <c r="A173" s="8"/>
      <c r="B173" s="38" t="s">
        <v>33</v>
      </c>
      <c r="C173" s="38">
        <v>20125787</v>
      </c>
      <c r="D173" s="24">
        <v>9193938</v>
      </c>
      <c r="E173" s="24">
        <v>771510</v>
      </c>
      <c r="F173" s="24">
        <v>7086728</v>
      </c>
      <c r="G173" s="24">
        <v>2589332</v>
      </c>
      <c r="H173" s="24">
        <v>484279</v>
      </c>
      <c r="I173" s="24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5" customHeight="1">
      <c r="A174" s="8"/>
      <c r="B174" s="38" t="s">
        <v>34</v>
      </c>
      <c r="C174" s="38">
        <v>19587872</v>
      </c>
      <c r="D174" s="24">
        <v>9227433</v>
      </c>
      <c r="E174" s="24">
        <v>783578</v>
      </c>
      <c r="F174" s="24">
        <v>6613854</v>
      </c>
      <c r="G174" s="24">
        <v>2526749</v>
      </c>
      <c r="H174" s="24">
        <v>436258</v>
      </c>
      <c r="I174" s="24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5" customHeight="1">
      <c r="A175" s="18">
        <v>2024</v>
      </c>
      <c r="B175" s="38" t="s">
        <v>23</v>
      </c>
      <c r="C175" s="38">
        <v>18214503</v>
      </c>
      <c r="D175" s="24">
        <v>8095926</v>
      </c>
      <c r="E175" s="24">
        <v>728234</v>
      </c>
      <c r="F175" s="24">
        <v>6417197</v>
      </c>
      <c r="G175" s="24">
        <v>2502875</v>
      </c>
      <c r="H175" s="24">
        <v>470271</v>
      </c>
      <c r="I175" s="24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5" customHeight="1">
      <c r="A176" s="8"/>
      <c r="B176" s="38" t="s">
        <v>24</v>
      </c>
      <c r="C176" s="38">
        <v>17865848</v>
      </c>
      <c r="D176" s="24">
        <v>8002468</v>
      </c>
      <c r="E176" s="24">
        <v>664306</v>
      </c>
      <c r="F176" s="24">
        <v>6266676</v>
      </c>
      <c r="G176" s="24">
        <v>2410434</v>
      </c>
      <c r="H176" s="24">
        <v>521964</v>
      </c>
      <c r="I176" s="24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5" customHeight="1">
      <c r="A177" s="8"/>
      <c r="B177" s="38" t="s">
        <v>25</v>
      </c>
      <c r="C177" s="38">
        <v>18300895</v>
      </c>
      <c r="D177" s="24">
        <v>8506461</v>
      </c>
      <c r="E177" s="24">
        <v>764834</v>
      </c>
      <c r="F177" s="24">
        <v>5970917</v>
      </c>
      <c r="G177" s="24">
        <v>2360194</v>
      </c>
      <c r="H177" s="24">
        <v>698489</v>
      </c>
      <c r="I177" s="24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5" customHeight="1">
      <c r="A178" s="8"/>
      <c r="B178" s="38" t="s">
        <v>43</v>
      </c>
      <c r="C178" s="38">
        <v>16986055</v>
      </c>
      <c r="D178" s="24">
        <v>7009069</v>
      </c>
      <c r="E178" s="24">
        <v>729380</v>
      </c>
      <c r="F178" s="24">
        <v>6067663</v>
      </c>
      <c r="G178" s="24">
        <v>2366887</v>
      </c>
      <c r="H178" s="24">
        <v>813056</v>
      </c>
      <c r="I178" s="24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5" customHeight="1">
      <c r="A179" s="8"/>
      <c r="B179" s="38" t="s">
        <v>27</v>
      </c>
      <c r="C179" s="38">
        <v>17204296</v>
      </c>
      <c r="D179" s="24">
        <v>6281996</v>
      </c>
      <c r="E179" s="24">
        <v>777135</v>
      </c>
      <c r="F179" s="24">
        <v>6688153</v>
      </c>
      <c r="G179" s="24">
        <v>2492627</v>
      </c>
      <c r="H179" s="24">
        <v>964385</v>
      </c>
      <c r="I179" s="24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5" customHeight="1">
      <c r="A180" s="8"/>
      <c r="B180" s="38" t="s">
        <v>35</v>
      </c>
      <c r="C180" s="38">
        <v>18773372</v>
      </c>
      <c r="D180" s="24">
        <v>6997682</v>
      </c>
      <c r="E180" s="24">
        <v>773652</v>
      </c>
      <c r="F180" s="24">
        <v>7289915</v>
      </c>
      <c r="G180" s="24">
        <v>2712019</v>
      </c>
      <c r="H180" s="24">
        <v>1000104</v>
      </c>
      <c r="I180" s="24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5" customHeight="1">
      <c r="A181" s="8"/>
      <c r="B181" s="38" t="s">
        <v>29</v>
      </c>
      <c r="C181" s="38">
        <v>20263008</v>
      </c>
      <c r="D181" s="24">
        <v>7880606</v>
      </c>
      <c r="E181" s="24">
        <v>795361</v>
      </c>
      <c r="F181" s="24">
        <v>7761181</v>
      </c>
      <c r="G181" s="24">
        <v>2818913</v>
      </c>
      <c r="H181" s="24">
        <v>1006947</v>
      </c>
      <c r="I181" s="24"/>
      <c r="J181" s="8"/>
      <c r="K181" s="24"/>
      <c r="L181" s="24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5" customHeight="1">
      <c r="A182" s="8"/>
      <c r="B182" s="38" t="s">
        <v>30</v>
      </c>
      <c r="C182" s="38">
        <v>21217010</v>
      </c>
      <c r="D182" s="24">
        <v>9145934</v>
      </c>
      <c r="E182" s="24">
        <v>837537</v>
      </c>
      <c r="F182" s="24">
        <v>7760464</v>
      </c>
      <c r="G182" s="24">
        <v>2576268</v>
      </c>
      <c r="H182" s="24">
        <v>896807</v>
      </c>
      <c r="I182" s="24"/>
      <c r="J182" s="8"/>
      <c r="K182" s="24"/>
      <c r="L182" s="24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5" customHeight="1">
      <c r="A183" s="8"/>
      <c r="B183" s="38" t="s">
        <v>31</v>
      </c>
      <c r="C183" s="38">
        <v>20301741</v>
      </c>
      <c r="D183" s="24">
        <v>9092491</v>
      </c>
      <c r="E183" s="24">
        <v>774562</v>
      </c>
      <c r="F183" s="24">
        <v>7196732</v>
      </c>
      <c r="G183" s="24">
        <v>2506801</v>
      </c>
      <c r="H183" s="24">
        <v>731155</v>
      </c>
      <c r="I183" s="24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5" customHeight="1">
      <c r="A184" s="8"/>
      <c r="B184" s="38" t="s">
        <v>32</v>
      </c>
      <c r="C184" s="38">
        <v>19630980</v>
      </c>
      <c r="D184" s="24">
        <v>8658716</v>
      </c>
      <c r="E184" s="24">
        <v>734325</v>
      </c>
      <c r="F184" s="24">
        <v>6990536</v>
      </c>
      <c r="G184" s="24">
        <v>2640104</v>
      </c>
      <c r="H184" s="24">
        <v>607299</v>
      </c>
      <c r="I184" s="24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5" customHeight="1">
      <c r="A185" s="8"/>
      <c r="B185" s="38" t="s">
        <v>33</v>
      </c>
      <c r="C185" s="38">
        <v>18412056</v>
      </c>
      <c r="D185" s="24">
        <v>7839879</v>
      </c>
      <c r="E185" s="24">
        <v>713760</v>
      </c>
      <c r="F185" s="24">
        <v>6832201</v>
      </c>
      <c r="G185" s="24">
        <v>2548151</v>
      </c>
      <c r="H185" s="24">
        <v>478065</v>
      </c>
      <c r="I185" s="24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5" customHeight="1">
      <c r="A186" s="8"/>
      <c r="B186" s="38" t="s">
        <v>34</v>
      </c>
      <c r="C186" s="38">
        <v>18147375</v>
      </c>
      <c r="D186" s="24">
        <v>8293547</v>
      </c>
      <c r="E186" s="24">
        <v>717125</v>
      </c>
      <c r="F186" s="24">
        <v>6354144</v>
      </c>
      <c r="G186" s="24">
        <v>2351437</v>
      </c>
      <c r="H186" s="24">
        <v>431122</v>
      </c>
      <c r="I186" s="24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5" customHeight="1">
      <c r="A187" s="18">
        <v>2025</v>
      </c>
      <c r="B187" s="38" t="s">
        <v>23</v>
      </c>
      <c r="C187" s="38">
        <f>D187+E187+F187+G187+H187</f>
        <v>17262984</v>
      </c>
      <c r="D187" s="24">
        <v>7688582</v>
      </c>
      <c r="E187" s="24">
        <v>706594</v>
      </c>
      <c r="F187" s="24">
        <v>6085694</v>
      </c>
      <c r="G187" s="24">
        <v>2315262</v>
      </c>
      <c r="H187" s="24">
        <f>36822+430030</f>
        <v>466852</v>
      </c>
      <c r="I187" s="24"/>
      <c r="J187" s="24"/>
      <c r="K187" s="24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5" customHeight="1">
      <c r="A188" s="8"/>
      <c r="B188" s="38" t="s">
        <v>24</v>
      </c>
      <c r="C188" s="38">
        <f>D188+E188+F188+G188+H188</f>
        <v>17444433</v>
      </c>
      <c r="D188" s="24">
        <v>7882183</v>
      </c>
      <c r="E188" s="24">
        <v>691001</v>
      </c>
      <c r="F188" s="24">
        <v>6018525</v>
      </c>
      <c r="G188" s="24">
        <v>2335119</v>
      </c>
      <c r="H188" s="24">
        <f>36617+480988</f>
        <v>517605</v>
      </c>
      <c r="I188" s="24"/>
      <c r="J188" s="24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5" customHeight="1">
      <c r="A189" s="8"/>
      <c r="B189" s="38" t="s">
        <v>57</v>
      </c>
      <c r="C189" s="38">
        <v>18146439</v>
      </c>
      <c r="D189" s="24">
        <v>8214909</v>
      </c>
      <c r="E189" s="24">
        <v>768289</v>
      </c>
      <c r="F189" s="24">
        <v>6103374</v>
      </c>
      <c r="G189" s="24">
        <v>2365444</v>
      </c>
      <c r="H189" s="24">
        <v>694423</v>
      </c>
      <c r="I189" s="24"/>
      <c r="J189" s="24"/>
      <c r="K189" s="8"/>
      <c r="L189" s="24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5" customHeight="1">
      <c r="A190" s="8"/>
      <c r="B190" s="38" t="s">
        <v>26</v>
      </c>
      <c r="C190" s="38">
        <f>D190+E190+F190+G190+H190</f>
        <v>18558630</v>
      </c>
      <c r="D190" s="24">
        <v>8406582</v>
      </c>
      <c r="E190" s="24">
        <v>780349</v>
      </c>
      <c r="F190" s="24">
        <v>6210041</v>
      </c>
      <c r="G190" s="24">
        <v>2351840</v>
      </c>
      <c r="H190" s="24">
        <v>809818</v>
      </c>
      <c r="I190" s="24"/>
      <c r="J190" s="24"/>
      <c r="K190" s="8"/>
      <c r="L190" s="24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6.5" customHeight="1">
      <c r="A191" s="8"/>
      <c r="B191" s="38" t="s">
        <v>27</v>
      </c>
      <c r="C191" s="38">
        <f>D191+E191+F191+G191+H191</f>
        <v>19014579</v>
      </c>
      <c r="D191" s="24">
        <v>8432154</v>
      </c>
      <c r="E191" s="24">
        <v>819425</v>
      </c>
      <c r="F191" s="24">
        <v>6428530</v>
      </c>
      <c r="G191" s="24">
        <v>2374926</v>
      </c>
      <c r="H191" s="24">
        <v>959544</v>
      </c>
      <c r="I191" s="24"/>
      <c r="J191" s="24"/>
      <c r="K191" s="8"/>
      <c r="L191" s="24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4.25" customHeight="1">
      <c r="A192" s="8"/>
      <c r="B192" s="38" t="s">
        <v>28</v>
      </c>
      <c r="C192" s="38">
        <v>19925192</v>
      </c>
      <c r="D192" s="24">
        <v>8772665</v>
      </c>
      <c r="E192" s="24">
        <v>826299</v>
      </c>
      <c r="F192" s="24">
        <v>6831052</v>
      </c>
      <c r="G192" s="24">
        <v>2498401</v>
      </c>
      <c r="H192" s="24">
        <v>996775</v>
      </c>
      <c r="I192" s="24"/>
      <c r="J192" s="24"/>
      <c r="K192" s="8"/>
      <c r="L192" s="24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6.5" customHeight="1">
      <c r="A193" s="8"/>
      <c r="B193" s="38" t="s">
        <v>29</v>
      </c>
      <c r="C193" s="38">
        <v>20762225</v>
      </c>
      <c r="D193" s="24">
        <v>9225831</v>
      </c>
      <c r="E193" s="24">
        <v>690021</v>
      </c>
      <c r="F193" s="24">
        <v>7257017</v>
      </c>
      <c r="G193" s="24">
        <v>2586578</v>
      </c>
      <c r="H193" s="24">
        <v>1002778</v>
      </c>
      <c r="I193" s="24"/>
      <c r="J193" s="24"/>
      <c r="K193" s="8"/>
      <c r="L193" s="85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4.25" customHeight="1">
      <c r="A194" s="4"/>
      <c r="B194" s="30" t="s">
        <v>30</v>
      </c>
      <c r="C194" s="38">
        <v>22341716</v>
      </c>
      <c r="D194" s="24">
        <v>9905993</v>
      </c>
      <c r="E194" s="24">
        <v>865475</v>
      </c>
      <c r="F194" s="24">
        <v>7819387</v>
      </c>
      <c r="G194" s="24">
        <v>2853560</v>
      </c>
      <c r="H194" s="24">
        <v>897301</v>
      </c>
      <c r="I194" s="24"/>
      <c r="J194" s="24"/>
      <c r="K194" s="22"/>
      <c r="L194" s="85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4.25" customHeight="1">
      <c r="A195" s="4"/>
      <c r="B195" s="30" t="s">
        <v>31</v>
      </c>
      <c r="C195" s="38">
        <v>21046639</v>
      </c>
      <c r="D195" s="24">
        <v>8782790</v>
      </c>
      <c r="E195" s="24">
        <v>810775</v>
      </c>
      <c r="F195" s="24">
        <v>7844381</v>
      </c>
      <c r="G195" s="24">
        <v>2873777</v>
      </c>
      <c r="H195" s="24">
        <v>734916</v>
      </c>
      <c r="I195" s="24"/>
      <c r="J195" s="24"/>
      <c r="K195" s="22"/>
      <c r="L195" s="85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4.25" customHeight="1">
      <c r="A196" s="4"/>
      <c r="B196" s="30" t="s">
        <v>32</v>
      </c>
      <c r="C196" s="38">
        <v>19889140</v>
      </c>
      <c r="D196" s="24">
        <v>8633904</v>
      </c>
      <c r="E196" s="24">
        <v>813879</v>
      </c>
      <c r="F196" s="24">
        <v>7229039</v>
      </c>
      <c r="G196" s="24">
        <v>2603652</v>
      </c>
      <c r="H196" s="24">
        <v>608666</v>
      </c>
      <c r="I196" s="24"/>
      <c r="J196" s="24"/>
      <c r="K196" s="22"/>
      <c r="L196" s="85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4.25" customHeight="1">
      <c r="A197" s="4"/>
      <c r="B197" s="30" t="s">
        <v>33</v>
      </c>
      <c r="C197" s="38">
        <v>18228833</v>
      </c>
      <c r="D197" s="24">
        <v>7717217</v>
      </c>
      <c r="E197" s="24">
        <v>770512</v>
      </c>
      <c r="F197" s="24">
        <v>6724399</v>
      </c>
      <c r="G197" s="24">
        <v>2540431</v>
      </c>
      <c r="H197" s="24">
        <v>476274</v>
      </c>
      <c r="I197" s="24"/>
      <c r="J197" s="24"/>
      <c r="K197" s="22"/>
      <c r="L197" s="85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21" customHeight="1">
      <c r="A198" s="4"/>
      <c r="B198" s="95" t="s">
        <v>34</v>
      </c>
      <c r="C198" s="96">
        <v>18426078</v>
      </c>
      <c r="D198" s="97">
        <v>8190219</v>
      </c>
      <c r="E198" s="97">
        <v>762369</v>
      </c>
      <c r="F198" s="97">
        <v>6558172</v>
      </c>
      <c r="G198" s="97">
        <v>2485200</v>
      </c>
      <c r="H198" s="97">
        <v>430118</v>
      </c>
      <c r="I198" s="24"/>
      <c r="J198" s="24"/>
      <c r="K198" s="22"/>
      <c r="L198" s="145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1.25" customHeight="1">
      <c r="A199" s="109">
        <v>2026</v>
      </c>
      <c r="B199" s="52" t="s">
        <v>23</v>
      </c>
      <c r="C199" s="52">
        <v>17184913.84</v>
      </c>
      <c r="D199" s="53">
        <v>6956399.9299999997</v>
      </c>
      <c r="E199" s="53">
        <v>731558.61</v>
      </c>
      <c r="F199" s="53">
        <v>6573494.6399999997</v>
      </c>
      <c r="G199" s="108">
        <v>2457167.56</v>
      </c>
      <c r="H199" s="53">
        <v>466293.1</v>
      </c>
      <c r="I199" s="24"/>
      <c r="J199" s="8"/>
      <c r="K199" s="22"/>
      <c r="L199" s="145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5" customHeight="1">
      <c r="A200" s="4"/>
      <c r="B200" s="30" t="s">
        <v>24</v>
      </c>
      <c r="C200" s="38">
        <v>17716361.57</v>
      </c>
      <c r="D200" s="24">
        <v>7442776.7399999993</v>
      </c>
      <c r="E200" s="24">
        <v>684622.31</v>
      </c>
      <c r="F200" s="24">
        <v>6594432.0700000003</v>
      </c>
      <c r="G200" s="24">
        <v>2477229.3499999996</v>
      </c>
      <c r="H200" s="24">
        <v>517301.1</v>
      </c>
      <c r="I200" s="24"/>
      <c r="J200" s="8"/>
      <c r="K200" s="22"/>
      <c r="L200" s="145"/>
      <c r="M200" s="8"/>
      <c r="N200" s="24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5" customHeight="1">
      <c r="A201" s="4"/>
      <c r="B201" s="30" t="s">
        <v>25</v>
      </c>
      <c r="C201" s="38">
        <v>18357748.720000003</v>
      </c>
      <c r="D201" s="22">
        <v>8204193.1800000006</v>
      </c>
      <c r="E201" s="24">
        <v>783143.34</v>
      </c>
      <c r="F201" s="22">
        <v>6290683.8499999996</v>
      </c>
      <c r="G201" s="22">
        <v>2386382.25</v>
      </c>
      <c r="H201" s="24">
        <v>693346.1</v>
      </c>
      <c r="I201" s="24"/>
      <c r="J201" s="8"/>
      <c r="K201" s="24"/>
      <c r="L201" s="86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5" customHeight="1">
      <c r="A202" s="106"/>
      <c r="B202" s="114" t="s">
        <v>26</v>
      </c>
      <c r="C202" s="75">
        <v>18086187</v>
      </c>
      <c r="D202" s="118">
        <v>8038755</v>
      </c>
      <c r="E202" s="76">
        <v>807178</v>
      </c>
      <c r="F202" s="118">
        <v>6136851</v>
      </c>
      <c r="G202" s="118">
        <v>2293691</v>
      </c>
      <c r="H202" s="76">
        <v>809712</v>
      </c>
      <c r="I202" s="24"/>
      <c r="J202" s="8"/>
      <c r="K202" s="24"/>
      <c r="L202" s="145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5" customHeight="1">
      <c r="A203" s="4"/>
      <c r="B203" s="4"/>
      <c r="C203" s="24"/>
      <c r="D203" s="24"/>
      <c r="E203" s="24"/>
      <c r="F203" s="24"/>
      <c r="G203" s="24"/>
      <c r="H203" s="24"/>
      <c r="I203" s="24"/>
      <c r="J203" s="8"/>
      <c r="K203" s="24"/>
      <c r="L203" s="86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21" customHeight="1">
      <c r="A204" s="158" t="s">
        <v>58</v>
      </c>
      <c r="B204" s="159"/>
      <c r="C204" s="159"/>
      <c r="D204" s="159"/>
      <c r="E204" s="159"/>
      <c r="F204" s="159"/>
      <c r="G204" s="159"/>
      <c r="H204" s="159"/>
      <c r="I204" s="24"/>
      <c r="J204" s="8"/>
      <c r="K204" s="24"/>
      <c r="L204" s="85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5" customHeight="1">
      <c r="A205" s="36"/>
      <c r="B205" s="24"/>
      <c r="C205" s="24"/>
      <c r="D205" s="24"/>
      <c r="E205" s="24"/>
      <c r="F205" s="24"/>
      <c r="G205" s="24"/>
      <c r="H205" s="24"/>
      <c r="I205" s="24"/>
      <c r="J205" s="8"/>
      <c r="K205" s="24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5" customHeight="1">
      <c r="A206" s="160"/>
      <c r="B206" s="160"/>
      <c r="C206" s="160"/>
      <c r="D206" s="160"/>
      <c r="E206" s="160"/>
      <c r="F206" s="160"/>
      <c r="G206" s="160"/>
      <c r="H206" s="160"/>
      <c r="I206" s="24"/>
      <c r="J206" s="24"/>
      <c r="K206" s="24"/>
      <c r="L206" s="24"/>
      <c r="M206" s="8"/>
      <c r="N206" s="24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5" customHeight="1">
      <c r="A207" s="40"/>
      <c r="B207" s="40"/>
      <c r="C207" s="41"/>
      <c r="D207" s="41"/>
      <c r="E207" s="41"/>
      <c r="F207" s="41"/>
      <c r="G207" s="41"/>
      <c r="H207" s="41"/>
      <c r="I207" s="24"/>
      <c r="J207" s="24"/>
      <c r="K207" s="24"/>
      <c r="L207" s="8"/>
      <c r="M207" s="8"/>
      <c r="N207" s="24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8"/>
      <c r="M208" s="8"/>
      <c r="N208" s="24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8"/>
      <c r="M209" s="8"/>
      <c r="N209" s="24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5" customHeight="1">
      <c r="A212" s="8"/>
      <c r="B212" s="8"/>
      <c r="C212" s="8"/>
      <c r="D212" s="8"/>
      <c r="E212" s="8"/>
      <c r="F212" s="8"/>
      <c r="G212" s="8"/>
      <c r="H212" s="8"/>
      <c r="I212" s="24"/>
      <c r="J212" s="24"/>
      <c r="K212" s="24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5" customHeight="1">
      <c r="A213" s="8"/>
      <c r="B213" s="8"/>
      <c r="C213" s="8"/>
      <c r="D213" s="8"/>
      <c r="E213" s="8"/>
      <c r="F213" s="8"/>
      <c r="G213" s="8"/>
      <c r="H213" s="8"/>
      <c r="I213" s="24"/>
      <c r="J213" s="24"/>
      <c r="K213" s="24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5" customHeight="1">
      <c r="A214" s="8"/>
      <c r="B214" s="8"/>
      <c r="C214" s="8"/>
      <c r="D214" s="8"/>
      <c r="E214" s="8"/>
      <c r="F214" s="8"/>
      <c r="G214" s="8"/>
      <c r="H214" s="8"/>
      <c r="I214" s="24"/>
      <c r="J214" s="24"/>
      <c r="K214" s="24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5" customHeight="1">
      <c r="A215" s="8"/>
      <c r="B215" s="8"/>
      <c r="C215" s="8"/>
      <c r="D215" s="8"/>
      <c r="E215" s="8"/>
      <c r="F215" s="8"/>
      <c r="G215" s="8"/>
      <c r="H215" s="8"/>
      <c r="I215" s="24"/>
      <c r="J215" s="24"/>
      <c r="K215" s="24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5" customHeight="1">
      <c r="A216" s="8"/>
      <c r="B216" s="8"/>
      <c r="C216" s="8"/>
      <c r="D216" s="8"/>
      <c r="E216" s="8"/>
      <c r="F216" s="8"/>
      <c r="G216" s="8"/>
      <c r="H216" s="8"/>
      <c r="I216" s="24"/>
      <c r="J216" s="24"/>
      <c r="K216" s="24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ht="1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ht="1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ht="1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1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ht="1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ht="1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ht="1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1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ht="1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1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ht="1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1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ht="1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ht="1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ht="1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ht="1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ht="1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ht="1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ht="1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ht="1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ht="1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ht="1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ht="1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ht="1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ht="1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ht="1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ht="1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ht="1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ht="1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ht="1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ht="1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ht="1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ht="1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ht="1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ht="1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ht="1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ht="1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ht="1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ht="1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ht="1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ht="1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ht="1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ht="1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ht="1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ht="1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ht="1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ht="1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ht="1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ht="1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ht="1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ht="1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ht="1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ht="1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ht="1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ht="1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ht="1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ht="1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ht="1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ht="1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ht="1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ht="1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ht="1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ht="1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ht="1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ht="1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ht="1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ht="1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ht="1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ht="1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ht="1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ht="1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ht="1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ht="1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ht="1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ht="1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ht="1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ht="1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ht="1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ht="1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1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ht="1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ht="1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ht="1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1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ht="1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1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ht="1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1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ht="1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1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ht="1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ht="1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ht="1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ht="1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ht="1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1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ht="1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ht="1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ht="1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ht="1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ht="1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1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ht="1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1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ht="1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ht="1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ht="1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ht="1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ht="1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ht="1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ht="1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ht="1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ht="1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ht="1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ht="1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ht="1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ht="1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ht="1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ht="1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ht="1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ht="1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ht="1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ht="1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ht="1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ht="1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ht="1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ht="1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ht="1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ht="1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ht="1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ht="1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ht="1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ht="1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ht="1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ht="1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ht="1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ht="1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ht="1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ht="1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ht="1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ht="1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ht="1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ht="1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ht="1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ht="1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ht="1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ht="1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ht="1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ht="1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ht="1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ht="1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ht="1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ht="1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ht="1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ht="1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ht="1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ht="1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ht="1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ht="1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ht="1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ht="1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ht="1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ht="1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ht="1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ht="1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ht="1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ht="1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ht="1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ht="1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ht="1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ht="1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ht="1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ht="1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ht="1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ht="1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ht="1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ht="1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ht="1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ht="1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ht="1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ht="1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ht="1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ht="1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ht="1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ht="1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ht="1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ht="1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ht="1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ht="1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ht="1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ht="1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ht="1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ht="1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ht="1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ht="1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ht="1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ht="1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ht="1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ht="1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ht="1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ht="1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ht="1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ht="1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ht="1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ht="1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ht="1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ht="1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ht="1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ht="1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ht="1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ht="1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ht="1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ht="1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ht="1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ht="1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ht="1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ht="1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ht="1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ht="1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ht="1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ht="1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ht="1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ht="1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ht="1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ht="1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ht="1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ht="1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ht="1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ht="1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ht="1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ht="1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ht="1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ht="1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ht="1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ht="1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ht="1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ht="1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ht="1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ht="1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ht="1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ht="1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ht="1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ht="1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ht="1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ht="1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ht="1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ht="1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ht="1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ht="1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ht="1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ht="1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ht="1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ht="1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ht="1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ht="1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ht="1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ht="1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ht="1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ht="1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ht="1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ht="1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ht="1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ht="1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ht="1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ht="1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ht="1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ht="1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ht="1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ht="1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ht="1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ht="1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ht="1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ht="1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ht="1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ht="1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ht="1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ht="1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ht="1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ht="1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ht="1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ht="1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ht="1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ht="1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ht="1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ht="1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ht="1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ht="1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ht="1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ht="1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ht="1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ht="1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ht="1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ht="1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ht="1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ht="1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ht="1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ht="1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ht="1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ht="1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ht="1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ht="1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ht="1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ht="1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ht="1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ht="1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ht="1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ht="1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ht="1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ht="1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ht="1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ht="1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ht="1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ht="1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ht="1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ht="1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ht="1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ht="1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ht="1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ht="1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ht="1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ht="1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ht="1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ht="1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ht="1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ht="1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ht="1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ht="1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ht="1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ht="1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ht="1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ht="1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ht="1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ht="1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ht="1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ht="1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ht="1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ht="1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ht="1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ht="1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ht="1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ht="1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ht="1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ht="1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ht="1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ht="1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ht="1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ht="1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ht="1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ht="1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ht="1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ht="1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ht="1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ht="1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ht="1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ht="1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ht="1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ht="1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ht="1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ht="1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ht="1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ht="1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ht="1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ht="1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ht="1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ht="1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ht="1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ht="1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ht="1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ht="1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ht="1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ht="1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ht="1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ht="1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ht="1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ht="1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ht="1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ht="1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ht="1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ht="1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ht="1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ht="1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ht="1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ht="1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ht="1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ht="1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ht="1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ht="1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ht="1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ht="1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ht="1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ht="1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ht="1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ht="1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ht="1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ht="1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ht="1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ht="1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ht="1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ht="1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ht="1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ht="1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ht="1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ht="1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ht="1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ht="1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ht="1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ht="1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ht="1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ht="1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ht="1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ht="1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ht="1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ht="1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ht="1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ht="1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ht="1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ht="1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ht="1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ht="1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ht="1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ht="1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ht="1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ht="1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ht="1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ht="1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ht="1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ht="1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ht="1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ht="1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ht="1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ht="1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ht="1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ht="1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ht="1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ht="1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ht="1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ht="1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ht="1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ht="1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ht="1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ht="1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ht="1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ht="1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ht="1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ht="1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ht="1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ht="1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ht="1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ht="1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ht="1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ht="1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ht="1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ht="1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ht="1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ht="1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ht="1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ht="1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ht="1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ht="1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ht="1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ht="1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ht="1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ht="1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ht="1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ht="1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ht="1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ht="1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ht="1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ht="1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ht="1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ht="1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ht="1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ht="1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ht="1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ht="1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ht="1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ht="1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ht="1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ht="1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ht="1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ht="1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ht="1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ht="1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ht="1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ht="1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ht="1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ht="1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ht="1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ht="1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ht="1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ht="1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ht="1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ht="1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ht="1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ht="1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ht="1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ht="1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ht="1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ht="1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ht="1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ht="1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ht="1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ht="1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ht="1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ht="1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ht="1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ht="1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ht="1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ht="1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ht="1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ht="1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ht="1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ht="1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ht="1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ht="1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ht="1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ht="1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ht="1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ht="1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ht="1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ht="1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ht="1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ht="1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ht="1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ht="1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ht="1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ht="1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ht="1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ht="1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ht="1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ht="1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ht="1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ht="1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ht="1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ht="1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ht="1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ht="1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ht="1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ht="1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ht="1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ht="1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ht="1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ht="1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ht="1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ht="1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ht="1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ht="1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ht="1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ht="1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ht="1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ht="1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ht="1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ht="1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ht="1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ht="1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ht="1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ht="1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ht="1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ht="1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ht="1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ht="1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ht="1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ht="1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ht="1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ht="1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ht="1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ht="1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ht="1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ht="1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ht="1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ht="1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ht="1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ht="1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ht="1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ht="1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ht="1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ht="1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ht="1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ht="1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ht="1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ht="1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ht="1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ht="1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ht="1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ht="1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ht="1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ht="1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ht="1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ht="1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ht="1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ht="1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ht="1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ht="1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ht="1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ht="1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ht="1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ht="1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ht="1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ht="1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ht="1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ht="1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ht="1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ht="1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ht="1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ht="1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ht="1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ht="1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ht="1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ht="1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ht="1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ht="1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ht="1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ht="1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ht="1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ht="1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ht="1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ht="1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ht="1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ht="1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ht="1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ht="1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ht="1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ht="1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ht="1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ht="1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ht="1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ht="1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ht="1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ht="1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ht="1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ht="1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ht="1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ht="1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ht="1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ht="1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ht="1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ht="1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ht="1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ht="1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ht="1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ht="1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ht="1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ht="1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ht="1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ht="1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ht="1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ht="1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ht="1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ht="1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ht="1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ht="1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ht="1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ht="1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ht="1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ht="1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ht="1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ht="1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ht="1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ht="1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ht="1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ht="1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ht="1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ht="1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ht="1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ht="1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ht="1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ht="1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ht="1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ht="1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ht="1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ht="1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ht="1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ht="1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ht="1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ht="1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ht="1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ht="1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ht="1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ht="1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ht="1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ht="1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ht="1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ht="1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ht="1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ht="1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ht="1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ht="1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ht="1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ht="1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ht="1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ht="1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ht="1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ht="1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ht="1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ht="1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ht="1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ht="1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ht="1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ht="1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ht="1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ht="1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ht="1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ht="1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ht="1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ht="1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ht="1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ht="1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ht="1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ht="1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ht="1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ht="1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ht="1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ht="1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ht="1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ht="1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ht="1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ht="1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ht="1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ht="1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ht="1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ht="1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ht="1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ht="1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ht="1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ht="1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ht="1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ht="1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ht="1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ht="1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ht="1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ht="1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ht="1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ht="1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ht="1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ht="1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ht="1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ht="1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ht="1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ht="1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ht="1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ht="1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ht="1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ht="1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ht="1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ht="1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ht="1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ht="1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ht="1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ht="1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ht="1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ht="1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ht="1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ht="1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ht="1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ht="1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ht="1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ht="1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ht="1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ht="1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ht="1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ht="1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ht="1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ht="1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ht="1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ht="1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ht="1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ht="1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ht="1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ht="1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ht="1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ht="1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ht="1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ht="1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1:25" ht="1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1:25" ht="1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spans="1:25" ht="1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 spans="1:25" ht="1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  <row r="1002" spans="1:25" ht="1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</row>
    <row r="1003" spans="1:25" ht="1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</row>
    <row r="1004" spans="1:25" ht="1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</row>
    <row r="1005" spans="1:25" ht="1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</row>
    <row r="1006" spans="1:25" ht="1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</row>
    <row r="1007" spans="1:25" ht="1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</row>
    <row r="1008" spans="1:25" ht="1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</row>
    <row r="1009" spans="1:25" ht="1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</row>
    <row r="1010" spans="1:25" ht="1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</row>
    <row r="1011" spans="1:25" ht="1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</row>
    <row r="1012" spans="1:25" ht="1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</row>
    <row r="1013" spans="1:25" ht="1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</row>
    <row r="1014" spans="1:25" ht="1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</row>
    <row r="1015" spans="1:25" ht="1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</row>
    <row r="1016" spans="1:25" ht="1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</row>
    <row r="1017" spans="1:25" ht="1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</row>
    <row r="1018" spans="1:25" ht="1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</row>
    <row r="1019" spans="1:25" ht="1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</row>
    <row r="1020" spans="1:25" ht="1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</row>
    <row r="1021" spans="1:25" ht="1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</row>
    <row r="1022" spans="1:25" ht="1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</row>
    <row r="1023" spans="1:25" ht="1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</row>
    <row r="1024" spans="1:25" ht="1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</row>
    <row r="1025" spans="1:25" ht="1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</row>
    <row r="1026" spans="1:25" ht="1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</row>
    <row r="1027" spans="1:25" ht="15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</row>
    <row r="1028" spans="1:25" ht="1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</row>
    <row r="1029" spans="1:25" ht="1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</row>
    <row r="1030" spans="1:25" ht="1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</row>
    <row r="1031" spans="1:25" ht="1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</row>
    <row r="1032" spans="1:25" ht="15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</row>
    <row r="1033" spans="1:25" ht="15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</row>
    <row r="1034" spans="1:25" ht="15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</row>
    <row r="1035" spans="1:25" ht="15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</row>
    <row r="1036" spans="1:25" ht="15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</row>
    <row r="1037" spans="1:25" ht="15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</row>
    <row r="1038" spans="1:25" ht="15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</row>
    <row r="1039" spans="1:25" ht="15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</row>
    <row r="1040" spans="1:25" ht="15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</row>
    <row r="1041" spans="1:25" ht="15" customHeigh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</row>
    <row r="1042" spans="1:25" ht="15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</row>
    <row r="1043" spans="1:25" ht="15" customHeigh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</row>
    <row r="1044" spans="1:25" ht="15" customHeigh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</row>
    <row r="1045" spans="1:25" ht="15" customHeigh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</row>
    <row r="1046" spans="1:25" ht="15" customHeigh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</row>
    <row r="1047" spans="1:25" ht="15" customHeigh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</row>
    <row r="1048" spans="1:25" ht="15" customHeigh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</row>
  </sheetData>
  <mergeCells count="7">
    <mergeCell ref="A204:H204"/>
    <mergeCell ref="A206:H206"/>
    <mergeCell ref="A1:H1"/>
    <mergeCell ref="A3:B4"/>
    <mergeCell ref="C3:C4"/>
    <mergeCell ref="D3:H3"/>
    <mergeCell ref="C5:H5"/>
  </mergeCell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49"/>
  <sheetViews>
    <sheetView showGridLines="0" zoomScaleNormal="100" workbookViewId="0">
      <pane ySplit="5" topLeftCell="A192" activePane="bottomLeft" state="frozen"/>
      <selection pane="bottomLeft" sqref="A1:H1"/>
    </sheetView>
  </sheetViews>
  <sheetFormatPr defaultColWidth="13.125" defaultRowHeight="14.25"/>
  <cols>
    <col min="1" max="1" width="6.5" customWidth="1"/>
    <col min="19" max="27" width="13.125" style="36"/>
  </cols>
  <sheetData>
    <row r="1" spans="1:18" ht="15" customHeight="1">
      <c r="A1" s="147" t="s">
        <v>59</v>
      </c>
      <c r="B1" s="147"/>
      <c r="C1" s="147"/>
      <c r="D1" s="147"/>
      <c r="E1" s="147"/>
      <c r="F1" s="147"/>
      <c r="G1" s="147"/>
      <c r="H1" s="147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5" customHeight="1">
      <c r="A2" s="37"/>
      <c r="B2" s="42"/>
      <c r="C2" s="42"/>
      <c r="D2" s="42"/>
      <c r="E2" s="42"/>
      <c r="F2" s="42"/>
      <c r="G2" s="42"/>
      <c r="H2" s="42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15" customHeight="1">
      <c r="A3" s="148" t="s">
        <v>14</v>
      </c>
      <c r="B3" s="148"/>
      <c r="C3" s="149" t="s">
        <v>15</v>
      </c>
      <c r="D3" s="150" t="s">
        <v>16</v>
      </c>
      <c r="E3" s="150"/>
      <c r="F3" s="150"/>
      <c r="G3" s="150"/>
      <c r="H3" s="150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1.75" customHeight="1">
      <c r="A4" s="148"/>
      <c r="B4" s="148"/>
      <c r="C4" s="149"/>
      <c r="D4" s="3" t="s">
        <v>51</v>
      </c>
      <c r="E4" s="3" t="s">
        <v>52</v>
      </c>
      <c r="F4" s="3" t="s">
        <v>53</v>
      </c>
      <c r="G4" s="3" t="s">
        <v>54</v>
      </c>
      <c r="H4" s="3" t="s">
        <v>60</v>
      </c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9"/>
      <c r="B5" s="24"/>
      <c r="C5" s="151" t="s">
        <v>22</v>
      </c>
      <c r="D5" s="151"/>
      <c r="E5" s="151"/>
      <c r="F5" s="151"/>
      <c r="G5" s="151"/>
      <c r="H5" s="151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15" customHeight="1">
      <c r="A6" s="9"/>
      <c r="B6" s="38"/>
      <c r="C6" s="38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18" ht="15" customHeight="1">
      <c r="A7" s="18">
        <v>2010</v>
      </c>
      <c r="B7" s="18" t="s">
        <v>23</v>
      </c>
      <c r="C7" s="20">
        <v>15924510</v>
      </c>
      <c r="D7" s="21">
        <v>7838610</v>
      </c>
      <c r="E7" s="21">
        <v>1332912</v>
      </c>
      <c r="F7" s="21">
        <v>4574212</v>
      </c>
      <c r="G7" s="21">
        <v>1700632</v>
      </c>
      <c r="H7" s="21">
        <v>478144</v>
      </c>
      <c r="I7" s="24"/>
      <c r="J7" s="24"/>
      <c r="K7" s="24"/>
      <c r="L7" s="24"/>
      <c r="M7" s="24"/>
      <c r="N7" s="24"/>
      <c r="O7" s="24"/>
      <c r="P7" s="24"/>
      <c r="Q7" s="24"/>
      <c r="R7" s="24"/>
    </row>
    <row r="8" spans="1:18" ht="15" customHeight="1">
      <c r="A8" s="19"/>
      <c r="B8" s="18" t="s">
        <v>24</v>
      </c>
      <c r="C8" s="20">
        <v>15840822</v>
      </c>
      <c r="D8" s="21">
        <v>8057470</v>
      </c>
      <c r="E8" s="21">
        <v>1374108</v>
      </c>
      <c r="F8" s="21">
        <v>4222672</v>
      </c>
      <c r="G8" s="21">
        <v>1654394</v>
      </c>
      <c r="H8" s="21">
        <v>532178</v>
      </c>
      <c r="I8" s="24"/>
      <c r="J8" s="24"/>
      <c r="K8" s="24"/>
      <c r="L8" s="24"/>
      <c r="M8" s="24"/>
      <c r="N8" s="24"/>
      <c r="O8" s="24"/>
      <c r="P8" s="24"/>
      <c r="Q8" s="24"/>
      <c r="R8" s="24"/>
    </row>
    <row r="9" spans="1:18" ht="15" customHeight="1">
      <c r="A9" s="19"/>
      <c r="B9" s="18" t="s">
        <v>25</v>
      </c>
      <c r="C9" s="20">
        <v>18173770</v>
      </c>
      <c r="D9" s="21">
        <v>9798690</v>
      </c>
      <c r="E9" s="21">
        <v>1473526</v>
      </c>
      <c r="F9" s="21">
        <v>4459322</v>
      </c>
      <c r="G9" s="21">
        <v>1743240</v>
      </c>
      <c r="H9" s="21">
        <v>698992</v>
      </c>
      <c r="I9" s="24"/>
      <c r="J9" s="24"/>
      <c r="K9" s="24"/>
      <c r="L9" s="24"/>
      <c r="M9" s="24"/>
      <c r="N9" s="24"/>
      <c r="O9" s="24"/>
      <c r="P9" s="24"/>
      <c r="Q9" s="24"/>
      <c r="R9" s="24"/>
    </row>
    <row r="10" spans="1:18" ht="15" customHeight="1">
      <c r="A10" s="19"/>
      <c r="B10" s="18" t="s">
        <v>26</v>
      </c>
      <c r="C10" s="20">
        <v>18903405</v>
      </c>
      <c r="D10" s="21">
        <v>9451420</v>
      </c>
      <c r="E10" s="21">
        <v>1850098</v>
      </c>
      <c r="F10" s="21">
        <v>4922699</v>
      </c>
      <c r="G10" s="21">
        <v>1856427</v>
      </c>
      <c r="H10" s="21">
        <v>822761</v>
      </c>
      <c r="I10" s="24"/>
      <c r="J10" s="24"/>
      <c r="K10" s="24"/>
      <c r="L10" s="8"/>
      <c r="M10" s="8"/>
      <c r="N10" s="8"/>
      <c r="O10" s="8"/>
      <c r="P10" s="8"/>
      <c r="Q10" s="8"/>
      <c r="R10" s="8"/>
    </row>
    <row r="11" spans="1:18" ht="15" customHeight="1">
      <c r="A11" s="19"/>
      <c r="B11" s="18" t="s">
        <v>27</v>
      </c>
      <c r="C11" s="20">
        <v>19255512</v>
      </c>
      <c r="D11" s="21">
        <v>9144295</v>
      </c>
      <c r="E11" s="21">
        <v>1843690</v>
      </c>
      <c r="F11" s="21">
        <v>5215444</v>
      </c>
      <c r="G11" s="21">
        <v>2048396</v>
      </c>
      <c r="H11" s="21">
        <v>1003687</v>
      </c>
      <c r="I11" s="24"/>
      <c r="J11" s="24"/>
      <c r="K11" s="24"/>
      <c r="L11" s="8"/>
      <c r="M11" s="8"/>
      <c r="N11" s="8"/>
      <c r="O11" s="8"/>
      <c r="P11" s="8"/>
      <c r="Q11" s="8"/>
      <c r="R11" s="8"/>
    </row>
    <row r="12" spans="1:18" ht="15" customHeight="1">
      <c r="A12" s="19"/>
      <c r="B12" s="18" t="s">
        <v>28</v>
      </c>
      <c r="C12" s="20">
        <v>20293045</v>
      </c>
      <c r="D12" s="21">
        <v>9348215</v>
      </c>
      <c r="E12" s="21">
        <v>2026298</v>
      </c>
      <c r="F12" s="21">
        <v>5629674</v>
      </c>
      <c r="G12" s="21">
        <v>2153991</v>
      </c>
      <c r="H12" s="21">
        <v>1134867</v>
      </c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ht="15" customHeight="1">
      <c r="A13" s="19"/>
      <c r="B13" s="18" t="s">
        <v>29</v>
      </c>
      <c r="C13" s="20">
        <v>19978373</v>
      </c>
      <c r="D13" s="21">
        <v>9238700</v>
      </c>
      <c r="E13" s="21">
        <v>2124264</v>
      </c>
      <c r="F13" s="21">
        <v>5398193</v>
      </c>
      <c r="G13" s="21">
        <v>2063579</v>
      </c>
      <c r="H13" s="21">
        <v>1153637</v>
      </c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ht="15" customHeight="1">
      <c r="A14" s="19"/>
      <c r="B14" s="18" t="s">
        <v>30</v>
      </c>
      <c r="C14" s="20">
        <v>20763227</v>
      </c>
      <c r="D14" s="21">
        <v>10032809</v>
      </c>
      <c r="E14" s="21">
        <v>1862846</v>
      </c>
      <c r="F14" s="21">
        <v>5631044</v>
      </c>
      <c r="G14" s="21">
        <v>2231435</v>
      </c>
      <c r="H14" s="21">
        <v>1005093</v>
      </c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ht="15" customHeight="1">
      <c r="A15" s="19"/>
      <c r="B15" s="18" t="s">
        <v>31</v>
      </c>
      <c r="C15" s="20">
        <v>19738487</v>
      </c>
      <c r="D15" s="21">
        <v>9775444</v>
      </c>
      <c r="E15" s="21">
        <v>1753923</v>
      </c>
      <c r="F15" s="21">
        <v>5323204</v>
      </c>
      <c r="G15" s="21">
        <v>2058453</v>
      </c>
      <c r="H15" s="21">
        <v>827463</v>
      </c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ht="15" customHeight="1">
      <c r="A16" s="19"/>
      <c r="B16" s="18" t="s">
        <v>32</v>
      </c>
      <c r="C16" s="20">
        <v>19221502</v>
      </c>
      <c r="D16" s="21">
        <v>9988110</v>
      </c>
      <c r="E16" s="21">
        <v>1733696</v>
      </c>
      <c r="F16" s="21">
        <v>4876629</v>
      </c>
      <c r="G16" s="21">
        <v>1919370</v>
      </c>
      <c r="H16" s="21">
        <v>703697</v>
      </c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ht="15" customHeight="1">
      <c r="A17" s="19"/>
      <c r="B17" s="18" t="s">
        <v>33</v>
      </c>
      <c r="C17" s="20">
        <v>19846968</v>
      </c>
      <c r="D17" s="21">
        <v>10803969</v>
      </c>
      <c r="E17" s="21">
        <v>1728685</v>
      </c>
      <c r="F17" s="21">
        <v>4877395</v>
      </c>
      <c r="G17" s="21">
        <v>1899704</v>
      </c>
      <c r="H17" s="21">
        <v>537215</v>
      </c>
      <c r="I17" s="24"/>
      <c r="J17" s="24"/>
      <c r="K17" s="24"/>
      <c r="L17" s="8"/>
      <c r="M17" s="8"/>
      <c r="N17" s="8"/>
      <c r="O17" s="8"/>
      <c r="P17" s="8"/>
      <c r="Q17" s="8"/>
      <c r="R17" s="8"/>
    </row>
    <row r="18" spans="1:18" ht="15" customHeight="1">
      <c r="A18" s="19"/>
      <c r="B18" s="18" t="s">
        <v>34</v>
      </c>
      <c r="C18" s="20">
        <v>17433001</v>
      </c>
      <c r="D18" s="21">
        <v>8753649</v>
      </c>
      <c r="E18" s="21">
        <v>1523092</v>
      </c>
      <c r="F18" s="21">
        <v>4813429</v>
      </c>
      <c r="G18" s="21">
        <v>1855112</v>
      </c>
      <c r="H18" s="21">
        <v>487719</v>
      </c>
      <c r="I18" s="24"/>
      <c r="J18" s="24"/>
      <c r="K18" s="24"/>
      <c r="L18" s="8"/>
      <c r="M18" s="8"/>
      <c r="N18" s="8"/>
      <c r="O18" s="8"/>
      <c r="P18" s="8"/>
      <c r="Q18" s="8"/>
      <c r="R18" s="8"/>
    </row>
    <row r="19" spans="1:18" ht="15" customHeight="1">
      <c r="A19" s="18">
        <v>2011</v>
      </c>
      <c r="B19" s="18" t="s">
        <v>23</v>
      </c>
      <c r="C19" s="20">
        <v>16746990</v>
      </c>
      <c r="D19" s="21">
        <v>8645317</v>
      </c>
      <c r="E19" s="21">
        <v>1380078</v>
      </c>
      <c r="F19" s="21">
        <v>4532042</v>
      </c>
      <c r="G19" s="21">
        <v>1708905</v>
      </c>
      <c r="H19" s="21">
        <v>480648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15" customHeight="1">
      <c r="A20" s="19"/>
      <c r="B20" s="18" t="s">
        <v>24</v>
      </c>
      <c r="C20" s="20">
        <v>17268009</v>
      </c>
      <c r="D20" s="21">
        <v>8954863</v>
      </c>
      <c r="E20" s="21">
        <v>1459340</v>
      </c>
      <c r="F20" s="21">
        <v>4595124</v>
      </c>
      <c r="G20" s="21">
        <v>1745947</v>
      </c>
      <c r="H20" s="21">
        <v>512735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5" customHeight="1">
      <c r="A21" s="19"/>
      <c r="B21" s="18" t="s">
        <v>25</v>
      </c>
      <c r="C21" s="20">
        <v>18997988</v>
      </c>
      <c r="D21" s="21">
        <v>10342216</v>
      </c>
      <c r="E21" s="21">
        <v>1716755</v>
      </c>
      <c r="F21" s="21">
        <v>4549540</v>
      </c>
      <c r="G21" s="21">
        <v>1683593</v>
      </c>
      <c r="H21" s="21">
        <v>705884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15" customHeight="1">
      <c r="A22" s="19"/>
      <c r="B22" s="18" t="s">
        <v>26</v>
      </c>
      <c r="C22" s="20">
        <v>18534725</v>
      </c>
      <c r="D22" s="21">
        <v>9101167</v>
      </c>
      <c r="E22" s="21">
        <v>1618497</v>
      </c>
      <c r="F22" s="21">
        <v>5102277</v>
      </c>
      <c r="G22" s="21">
        <v>1882343</v>
      </c>
      <c r="H22" s="21">
        <v>830441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5" customHeight="1">
      <c r="A23" s="19"/>
      <c r="B23" s="18" t="s">
        <v>27</v>
      </c>
      <c r="C23" s="20">
        <v>21184851</v>
      </c>
      <c r="D23" s="21">
        <v>10681133</v>
      </c>
      <c r="E23" s="21">
        <v>2087949</v>
      </c>
      <c r="F23" s="21">
        <v>5351335</v>
      </c>
      <c r="G23" s="21">
        <v>2051423</v>
      </c>
      <c r="H23" s="21">
        <v>1013011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15" customHeight="1">
      <c r="A24" s="19"/>
      <c r="B24" s="18" t="s">
        <v>28</v>
      </c>
      <c r="C24" s="20">
        <v>21945182</v>
      </c>
      <c r="D24" s="21">
        <v>10566044</v>
      </c>
      <c r="E24" s="21">
        <v>2128832</v>
      </c>
      <c r="F24" s="21">
        <v>5888643</v>
      </c>
      <c r="G24" s="21">
        <v>2216222</v>
      </c>
      <c r="H24" s="21">
        <v>1145441</v>
      </c>
      <c r="I24" s="24"/>
      <c r="J24" s="24"/>
      <c r="K24" s="24"/>
      <c r="L24" s="8"/>
      <c r="M24" s="8"/>
      <c r="N24" s="8"/>
      <c r="O24" s="8"/>
      <c r="P24" s="8"/>
      <c r="Q24" s="8"/>
      <c r="R24" s="8"/>
    </row>
    <row r="25" spans="1:18" ht="15" customHeight="1">
      <c r="A25" s="19"/>
      <c r="B25" s="18" t="s">
        <v>29</v>
      </c>
      <c r="C25" s="20">
        <v>20543090</v>
      </c>
      <c r="D25" s="21">
        <v>9821163</v>
      </c>
      <c r="E25" s="21">
        <v>1902473</v>
      </c>
      <c r="F25" s="21">
        <v>5585606</v>
      </c>
      <c r="G25" s="21">
        <v>2073695</v>
      </c>
      <c r="H25" s="21">
        <v>1160153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ht="15" customHeight="1">
      <c r="A26" s="19"/>
      <c r="B26" s="18" t="s">
        <v>30</v>
      </c>
      <c r="C26" s="20">
        <v>21679053</v>
      </c>
      <c r="D26" s="21">
        <v>10543439</v>
      </c>
      <c r="E26" s="21">
        <v>2087119</v>
      </c>
      <c r="F26" s="21">
        <v>5820432</v>
      </c>
      <c r="G26" s="21">
        <v>2210815</v>
      </c>
      <c r="H26" s="21">
        <v>1017248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ht="15" customHeight="1">
      <c r="A27" s="19"/>
      <c r="B27" s="18" t="s">
        <v>31</v>
      </c>
      <c r="C27" s="20">
        <v>21850150</v>
      </c>
      <c r="D27" s="21">
        <v>11364247</v>
      </c>
      <c r="E27" s="21">
        <v>1960860</v>
      </c>
      <c r="F27" s="21">
        <v>5546699</v>
      </c>
      <c r="G27" s="21">
        <v>2140927</v>
      </c>
      <c r="H27" s="21">
        <v>837417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 ht="15" customHeight="1">
      <c r="A28" s="19"/>
      <c r="B28" s="18" t="s">
        <v>32</v>
      </c>
      <c r="C28" s="20">
        <v>19771414</v>
      </c>
      <c r="D28" s="21">
        <v>9988983</v>
      </c>
      <c r="E28" s="21">
        <v>1855781</v>
      </c>
      <c r="F28" s="21">
        <v>5171489</v>
      </c>
      <c r="G28" s="21">
        <v>2043314</v>
      </c>
      <c r="H28" s="21">
        <v>711847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spans="1:18" ht="15" customHeight="1">
      <c r="A29" s="19"/>
      <c r="B29" s="18" t="s">
        <v>33</v>
      </c>
      <c r="C29" s="20">
        <v>19381657</v>
      </c>
      <c r="D29" s="21">
        <v>9999747</v>
      </c>
      <c r="E29" s="21">
        <v>1816095</v>
      </c>
      <c r="F29" s="21">
        <v>5050757</v>
      </c>
      <c r="G29" s="21">
        <v>1973005</v>
      </c>
      <c r="H29" s="21">
        <v>542053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19"/>
      <c r="B30" s="18" t="s">
        <v>34</v>
      </c>
      <c r="C30" s="20">
        <v>17453050</v>
      </c>
      <c r="D30" s="21">
        <v>8769202</v>
      </c>
      <c r="E30" s="21">
        <v>1613401</v>
      </c>
      <c r="F30" s="21">
        <v>4760681</v>
      </c>
      <c r="G30" s="21">
        <v>1821155</v>
      </c>
      <c r="H30" s="21">
        <v>488611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 spans="1:18" ht="15" customHeight="1">
      <c r="A31" s="18">
        <v>2012</v>
      </c>
      <c r="B31" s="18" t="s">
        <v>23</v>
      </c>
      <c r="C31" s="20">
        <v>16387655</v>
      </c>
      <c r="D31" s="21">
        <v>7872974</v>
      </c>
      <c r="E31" s="21">
        <v>1454892</v>
      </c>
      <c r="F31" s="21">
        <v>4713908</v>
      </c>
      <c r="G31" s="21">
        <v>1879920</v>
      </c>
      <c r="H31" s="21">
        <v>465961</v>
      </c>
      <c r="I31" s="24"/>
      <c r="J31" s="24"/>
      <c r="K31" s="24"/>
      <c r="L31" s="24"/>
      <c r="M31" s="24"/>
      <c r="N31" s="24"/>
      <c r="O31" s="24"/>
      <c r="P31" s="24"/>
      <c r="Q31" s="24"/>
      <c r="R31" s="24"/>
    </row>
    <row r="32" spans="1:18" ht="15" customHeight="1">
      <c r="A32" s="19"/>
      <c r="B32" s="18" t="s">
        <v>24</v>
      </c>
      <c r="C32" s="20">
        <v>17249213</v>
      </c>
      <c r="D32" s="21">
        <v>8981454</v>
      </c>
      <c r="E32" s="21">
        <v>1635948</v>
      </c>
      <c r="F32" s="21">
        <v>4441795</v>
      </c>
      <c r="G32" s="21">
        <v>1699575</v>
      </c>
      <c r="H32" s="21">
        <v>490441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</row>
    <row r="33" spans="1:18" ht="15" customHeight="1">
      <c r="A33" s="19"/>
      <c r="B33" s="18" t="s">
        <v>25</v>
      </c>
      <c r="C33" s="20">
        <v>19231230</v>
      </c>
      <c r="D33" s="21">
        <v>10080295</v>
      </c>
      <c r="E33" s="21">
        <v>1900675</v>
      </c>
      <c r="F33" s="21">
        <v>4776751</v>
      </c>
      <c r="G33" s="21">
        <v>1758746</v>
      </c>
      <c r="H33" s="21">
        <v>714763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</row>
    <row r="34" spans="1:18" ht="15" customHeight="1">
      <c r="A34" s="19"/>
      <c r="B34" s="18" t="s">
        <v>26</v>
      </c>
      <c r="C34" s="20">
        <v>19690946</v>
      </c>
      <c r="D34" s="21">
        <v>9519011</v>
      </c>
      <c r="E34" s="21">
        <v>1867127</v>
      </c>
      <c r="F34" s="21">
        <v>5422897</v>
      </c>
      <c r="G34" s="21">
        <v>2040967</v>
      </c>
      <c r="H34" s="21">
        <v>840944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</row>
    <row r="35" spans="1:18" ht="15" customHeight="1">
      <c r="A35" s="19"/>
      <c r="B35" s="18" t="s">
        <v>27</v>
      </c>
      <c r="C35" s="20">
        <v>21635758</v>
      </c>
      <c r="D35" s="21">
        <v>10715061</v>
      </c>
      <c r="E35" s="21">
        <v>2081399</v>
      </c>
      <c r="F35" s="21">
        <v>5692661</v>
      </c>
      <c r="G35" s="21">
        <v>2120745</v>
      </c>
      <c r="H35" s="21">
        <v>1025892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</row>
    <row r="36" spans="1:18" ht="15" customHeight="1">
      <c r="A36" s="19"/>
      <c r="B36" s="18" t="s">
        <v>28</v>
      </c>
      <c r="C36" s="20">
        <v>21220253</v>
      </c>
      <c r="D36" s="21">
        <v>9725048</v>
      </c>
      <c r="E36" s="21">
        <v>2032045</v>
      </c>
      <c r="F36" s="21">
        <v>6093350</v>
      </c>
      <c r="G36" s="21">
        <v>2190468</v>
      </c>
      <c r="H36" s="21">
        <v>1179342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ht="15" customHeight="1">
      <c r="A37" s="19"/>
      <c r="B37" s="18" t="s">
        <v>29</v>
      </c>
      <c r="C37" s="20">
        <v>22139587</v>
      </c>
      <c r="D37" s="21">
        <v>10509662</v>
      </c>
      <c r="E37" s="21">
        <v>2175442</v>
      </c>
      <c r="F37" s="21">
        <v>6007533</v>
      </c>
      <c r="G37" s="21">
        <v>2252451</v>
      </c>
      <c r="H37" s="21">
        <v>1194499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15" customHeight="1">
      <c r="A38" s="19"/>
      <c r="B38" s="18" t="s">
        <v>30</v>
      </c>
      <c r="C38" s="20">
        <v>23102033</v>
      </c>
      <c r="D38" s="21">
        <v>11007082</v>
      </c>
      <c r="E38" s="21">
        <v>2242163</v>
      </c>
      <c r="F38" s="21">
        <v>6463726</v>
      </c>
      <c r="G38" s="21">
        <v>2350565</v>
      </c>
      <c r="H38" s="21">
        <v>1038497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spans="1:18" ht="15" customHeight="1">
      <c r="A39" s="19"/>
      <c r="B39" s="18" t="s">
        <v>31</v>
      </c>
      <c r="C39" s="20">
        <v>21631381</v>
      </c>
      <c r="D39" s="21">
        <v>10367501</v>
      </c>
      <c r="E39" s="21">
        <v>2070009</v>
      </c>
      <c r="F39" s="21">
        <v>6077093</v>
      </c>
      <c r="G39" s="21">
        <v>2261962</v>
      </c>
      <c r="H39" s="21">
        <v>854816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spans="1:18" ht="15" customHeight="1">
      <c r="A40" s="19"/>
      <c r="B40" s="18" t="s">
        <v>32</v>
      </c>
      <c r="C40" s="20">
        <v>20943835</v>
      </c>
      <c r="D40" s="21">
        <v>10661209</v>
      </c>
      <c r="E40" s="21">
        <v>2021273</v>
      </c>
      <c r="F40" s="21">
        <v>5525237</v>
      </c>
      <c r="G40" s="21">
        <v>2009625</v>
      </c>
      <c r="H40" s="21">
        <v>726491</v>
      </c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18" ht="15" customHeight="1">
      <c r="A41" s="19"/>
      <c r="B41" s="18" t="s">
        <v>33</v>
      </c>
      <c r="C41" s="20">
        <v>21029508</v>
      </c>
      <c r="D41" s="21">
        <v>10859529</v>
      </c>
      <c r="E41" s="21">
        <v>2029019</v>
      </c>
      <c r="F41" s="21">
        <v>5497471</v>
      </c>
      <c r="G41" s="21">
        <v>2064770</v>
      </c>
      <c r="H41" s="21">
        <v>578719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1:18" ht="15" customHeight="1">
      <c r="A42" s="19"/>
      <c r="B42" s="18" t="s">
        <v>34</v>
      </c>
      <c r="C42" s="20">
        <v>18389946</v>
      </c>
      <c r="D42" s="21">
        <v>8730010</v>
      </c>
      <c r="E42" s="21">
        <v>1813456</v>
      </c>
      <c r="F42" s="21">
        <v>5369055</v>
      </c>
      <c r="G42" s="21">
        <v>2004050</v>
      </c>
      <c r="H42" s="21">
        <v>473375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spans="1:18" ht="15" customHeight="1">
      <c r="A43" s="18">
        <v>2013</v>
      </c>
      <c r="B43" s="18" t="s">
        <v>23</v>
      </c>
      <c r="C43" s="38">
        <v>18521717</v>
      </c>
      <c r="D43" s="24">
        <v>9172696</v>
      </c>
      <c r="E43" s="24">
        <v>1686225</v>
      </c>
      <c r="F43" s="24">
        <v>5222242</v>
      </c>
      <c r="G43" s="24">
        <v>1940615</v>
      </c>
      <c r="H43" s="24">
        <v>499939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</row>
    <row r="44" spans="1:18" ht="15" customHeight="1">
      <c r="A44" s="19"/>
      <c r="B44" s="18" t="s">
        <v>24</v>
      </c>
      <c r="C44" s="38">
        <v>17978413</v>
      </c>
      <c r="D44" s="24">
        <v>9057568</v>
      </c>
      <c r="E44" s="24">
        <v>1662076</v>
      </c>
      <c r="F44" s="24">
        <v>4936865</v>
      </c>
      <c r="G44" s="24">
        <v>1768978</v>
      </c>
      <c r="H44" s="24">
        <v>552926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</row>
    <row r="45" spans="1:18" ht="15" customHeight="1">
      <c r="A45" s="19"/>
      <c r="B45" s="18" t="s">
        <v>25</v>
      </c>
      <c r="C45" s="38">
        <v>20164036</v>
      </c>
      <c r="D45" s="24">
        <v>10810530</v>
      </c>
      <c r="E45" s="24">
        <v>1963970</v>
      </c>
      <c r="F45" s="24">
        <v>4953064</v>
      </c>
      <c r="G45" s="24">
        <v>1818546</v>
      </c>
      <c r="H45" s="24">
        <v>617926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</row>
    <row r="46" spans="1:18" ht="15" customHeight="1">
      <c r="A46" s="19"/>
      <c r="B46" s="18" t="s">
        <v>26</v>
      </c>
      <c r="C46" s="38">
        <v>21215760</v>
      </c>
      <c r="D46" s="24">
        <v>10504845</v>
      </c>
      <c r="E46" s="24">
        <v>1863364</v>
      </c>
      <c r="F46" s="24">
        <v>5900997</v>
      </c>
      <c r="G46" s="24">
        <v>2080382</v>
      </c>
      <c r="H46" s="24">
        <v>866172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</row>
    <row r="47" spans="1:18" ht="15" customHeight="1">
      <c r="A47" s="19"/>
      <c r="B47" s="18" t="s">
        <v>27</v>
      </c>
      <c r="C47" s="38">
        <v>21697839</v>
      </c>
      <c r="D47" s="24">
        <v>10600628</v>
      </c>
      <c r="E47" s="24">
        <v>1991940</v>
      </c>
      <c r="F47" s="24">
        <v>5938277</v>
      </c>
      <c r="G47" s="24">
        <v>2098420</v>
      </c>
      <c r="H47" s="24">
        <v>1068574</v>
      </c>
      <c r="I47" s="24"/>
      <c r="J47" s="24"/>
      <c r="K47" s="24"/>
      <c r="L47" s="24"/>
      <c r="M47" s="24"/>
      <c r="N47" s="24"/>
      <c r="O47" s="24"/>
      <c r="P47" s="24"/>
      <c r="Q47" s="24"/>
      <c r="R47" s="24"/>
    </row>
    <row r="48" spans="1:18" ht="15" customHeight="1">
      <c r="A48" s="19"/>
      <c r="B48" s="18" t="s">
        <v>28</v>
      </c>
      <c r="C48" s="38">
        <v>24314997</v>
      </c>
      <c r="D48" s="24">
        <v>11810105</v>
      </c>
      <c r="E48" s="24">
        <v>2188989</v>
      </c>
      <c r="F48" s="24">
        <v>6755871</v>
      </c>
      <c r="G48" s="24">
        <v>2351476</v>
      </c>
      <c r="H48" s="24">
        <v>1208556</v>
      </c>
      <c r="I48" s="24"/>
      <c r="J48" s="24"/>
      <c r="K48" s="24"/>
      <c r="L48" s="24"/>
      <c r="M48" s="24"/>
      <c r="N48" s="24"/>
      <c r="O48" s="24"/>
      <c r="P48" s="24"/>
      <c r="Q48" s="24"/>
      <c r="R48" s="24"/>
    </row>
    <row r="49" spans="1:18" ht="15" customHeight="1">
      <c r="A49" s="19"/>
      <c r="B49" s="18" t="s">
        <v>29</v>
      </c>
      <c r="C49" s="38">
        <v>24134444</v>
      </c>
      <c r="D49" s="24">
        <v>11552558</v>
      </c>
      <c r="E49" s="24">
        <v>2129102</v>
      </c>
      <c r="F49" s="24">
        <v>6862823</v>
      </c>
      <c r="G49" s="24">
        <v>2365865</v>
      </c>
      <c r="H49" s="24">
        <v>1224096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</row>
    <row r="50" spans="1:18" ht="15" customHeight="1">
      <c r="A50" s="19"/>
      <c r="B50" s="18" t="s">
        <v>30</v>
      </c>
      <c r="C50" s="38">
        <v>24239807</v>
      </c>
      <c r="D50" s="24">
        <v>11509842</v>
      </c>
      <c r="E50" s="24">
        <v>2242267</v>
      </c>
      <c r="F50" s="24">
        <v>7009354</v>
      </c>
      <c r="G50" s="24">
        <v>2414197</v>
      </c>
      <c r="H50" s="24">
        <v>1064147</v>
      </c>
      <c r="I50" s="24"/>
      <c r="J50" s="24"/>
      <c r="K50" s="24"/>
      <c r="L50" s="24"/>
      <c r="M50" s="24"/>
      <c r="N50" s="24"/>
      <c r="O50" s="24"/>
      <c r="P50" s="24"/>
      <c r="Q50" s="24"/>
      <c r="R50" s="24"/>
    </row>
    <row r="51" spans="1:18" ht="15" customHeight="1">
      <c r="A51" s="19"/>
      <c r="B51" s="18" t="s">
        <v>31</v>
      </c>
      <c r="C51" s="38">
        <v>24188424</v>
      </c>
      <c r="D51" s="24">
        <v>11896373</v>
      </c>
      <c r="E51" s="24">
        <v>2117708</v>
      </c>
      <c r="F51" s="24">
        <v>6877234</v>
      </c>
      <c r="G51" s="24">
        <v>2421288</v>
      </c>
      <c r="H51" s="24">
        <v>875821</v>
      </c>
      <c r="I51" s="24"/>
      <c r="J51" s="24"/>
      <c r="K51" s="24"/>
      <c r="L51" s="24"/>
      <c r="M51" s="24"/>
      <c r="N51" s="24"/>
      <c r="O51" s="24"/>
      <c r="P51" s="24"/>
      <c r="Q51" s="24"/>
      <c r="R51" s="24"/>
    </row>
    <row r="52" spans="1:18" ht="15" customHeight="1">
      <c r="A52" s="19"/>
      <c r="B52" s="18" t="s">
        <v>32</v>
      </c>
      <c r="C52" s="38">
        <v>22806797</v>
      </c>
      <c r="D52" s="24">
        <v>11595598</v>
      </c>
      <c r="E52" s="24">
        <v>2022808</v>
      </c>
      <c r="F52" s="24">
        <v>6201067</v>
      </c>
      <c r="G52" s="24">
        <v>2213074</v>
      </c>
      <c r="H52" s="24">
        <v>774250</v>
      </c>
      <c r="I52" s="24"/>
      <c r="J52" s="24"/>
      <c r="K52" s="147"/>
      <c r="L52" s="147"/>
      <c r="M52" s="147"/>
      <c r="N52" s="147"/>
      <c r="O52" s="147"/>
      <c r="P52" s="147"/>
      <c r="Q52" s="147"/>
      <c r="R52" s="147"/>
    </row>
    <row r="53" spans="1:18" ht="15" customHeight="1">
      <c r="A53" s="19"/>
      <c r="B53" s="18" t="s">
        <v>33</v>
      </c>
      <c r="C53" s="38">
        <v>22904365</v>
      </c>
      <c r="D53" s="24">
        <v>11851126</v>
      </c>
      <c r="E53" s="24">
        <v>1994086</v>
      </c>
      <c r="F53" s="24">
        <v>6285207</v>
      </c>
      <c r="G53" s="24">
        <v>2207006</v>
      </c>
      <c r="H53" s="24">
        <v>566940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</row>
    <row r="54" spans="1:18" ht="15" customHeight="1">
      <c r="A54" s="19"/>
      <c r="B54" s="18" t="s">
        <v>34</v>
      </c>
      <c r="C54" s="38">
        <v>20168843</v>
      </c>
      <c r="D54" s="24">
        <v>10130336</v>
      </c>
      <c r="E54" s="24">
        <v>1773354</v>
      </c>
      <c r="F54" s="24">
        <v>5727108</v>
      </c>
      <c r="G54" s="24">
        <v>2085720</v>
      </c>
      <c r="H54" s="24">
        <v>452325</v>
      </c>
      <c r="I54" s="24"/>
      <c r="J54" s="24"/>
      <c r="K54" s="24"/>
      <c r="L54" s="24"/>
      <c r="M54" s="24"/>
      <c r="N54" s="24"/>
      <c r="O54" s="24"/>
      <c r="P54" s="24"/>
      <c r="Q54" s="24"/>
      <c r="R54" s="24"/>
    </row>
    <row r="55" spans="1:18" ht="15" customHeight="1">
      <c r="A55" s="18">
        <v>2014</v>
      </c>
      <c r="B55" s="18" t="s">
        <v>23</v>
      </c>
      <c r="C55" s="38">
        <v>18370491</v>
      </c>
      <c r="D55" s="24">
        <v>8757754</v>
      </c>
      <c r="E55" s="24">
        <v>1585882</v>
      </c>
      <c r="F55" s="24">
        <v>5544364</v>
      </c>
      <c r="G55" s="24">
        <v>1956953</v>
      </c>
      <c r="H55" s="24">
        <v>525538</v>
      </c>
      <c r="I55" s="24"/>
      <c r="J55" s="24"/>
      <c r="K55" s="24"/>
      <c r="L55" s="24"/>
      <c r="M55" s="24"/>
      <c r="N55" s="24"/>
      <c r="O55" s="24"/>
      <c r="P55" s="24"/>
      <c r="Q55" s="24"/>
      <c r="R55" s="24"/>
    </row>
    <row r="56" spans="1:18" ht="15" customHeight="1">
      <c r="A56" s="19"/>
      <c r="B56" s="18" t="s">
        <v>24</v>
      </c>
      <c r="C56" s="38">
        <v>20944549</v>
      </c>
      <c r="D56" s="24">
        <v>11133268</v>
      </c>
      <c r="E56" s="24">
        <v>1765373</v>
      </c>
      <c r="F56" s="24">
        <v>5543219</v>
      </c>
      <c r="G56" s="24">
        <v>1935749</v>
      </c>
      <c r="H56" s="24">
        <v>566940</v>
      </c>
      <c r="I56" s="24"/>
      <c r="J56" s="24"/>
      <c r="K56" s="24"/>
      <c r="L56" s="24"/>
      <c r="M56" s="24"/>
      <c r="N56" s="24"/>
      <c r="O56" s="24"/>
      <c r="P56" s="24"/>
      <c r="Q56" s="24"/>
      <c r="R56" s="24"/>
    </row>
    <row r="57" spans="1:18" ht="15" customHeight="1">
      <c r="A57" s="19"/>
      <c r="B57" s="18" t="s">
        <v>25</v>
      </c>
      <c r="C57" s="38">
        <v>20832122</v>
      </c>
      <c r="D57" s="24">
        <v>10907777</v>
      </c>
      <c r="E57" s="24">
        <v>1926383</v>
      </c>
      <c r="F57" s="24">
        <v>5462605</v>
      </c>
      <c r="G57" s="24">
        <v>1788656</v>
      </c>
      <c r="H57" s="24">
        <v>746701</v>
      </c>
      <c r="I57" s="24"/>
      <c r="J57" s="24"/>
      <c r="K57" s="24"/>
      <c r="L57" s="24"/>
      <c r="M57" s="24"/>
      <c r="N57" s="24"/>
      <c r="O57" s="24"/>
      <c r="P57" s="24"/>
      <c r="Q57" s="24"/>
      <c r="R57" s="24"/>
    </row>
    <row r="58" spans="1:18" ht="15" customHeight="1">
      <c r="A58" s="19"/>
      <c r="B58" s="18" t="s">
        <v>26</v>
      </c>
      <c r="C58" s="38">
        <v>22050619</v>
      </c>
      <c r="D58" s="24">
        <v>10597017</v>
      </c>
      <c r="E58" s="24">
        <v>2057024</v>
      </c>
      <c r="F58" s="24">
        <v>6386604</v>
      </c>
      <c r="G58" s="24">
        <v>2131254</v>
      </c>
      <c r="H58" s="24">
        <v>878720</v>
      </c>
      <c r="I58" s="24"/>
      <c r="J58" s="24"/>
      <c r="K58" s="24"/>
      <c r="L58" s="24"/>
      <c r="M58" s="24"/>
      <c r="N58" s="24"/>
      <c r="O58" s="24"/>
      <c r="P58" s="24"/>
      <c r="Q58" s="24"/>
      <c r="R58" s="24"/>
    </row>
    <row r="59" spans="1:18" ht="15" customHeight="1">
      <c r="A59" s="19"/>
      <c r="B59" s="18" t="s">
        <v>27</v>
      </c>
      <c r="C59" s="38">
        <v>22678272</v>
      </c>
      <c r="D59" s="24">
        <v>10984199</v>
      </c>
      <c r="E59" s="24">
        <v>2175602</v>
      </c>
      <c r="F59" s="24">
        <v>6327421</v>
      </c>
      <c r="G59" s="24">
        <v>2118824</v>
      </c>
      <c r="H59" s="24">
        <v>1072226</v>
      </c>
      <c r="I59" s="24"/>
      <c r="J59" s="24"/>
      <c r="K59" s="24"/>
      <c r="L59" s="24"/>
      <c r="M59" s="24"/>
      <c r="N59" s="24"/>
      <c r="O59" s="24"/>
      <c r="P59" s="24"/>
      <c r="Q59" s="24"/>
      <c r="R59" s="24"/>
    </row>
    <row r="60" spans="1:18" ht="15" customHeight="1">
      <c r="A60" s="19"/>
      <c r="B60" s="18" t="s">
        <v>28</v>
      </c>
      <c r="C60" s="38">
        <v>24421797</v>
      </c>
      <c r="D60" s="24">
        <v>11251035</v>
      </c>
      <c r="E60" s="24">
        <v>2290341</v>
      </c>
      <c r="F60" s="24">
        <v>7201226</v>
      </c>
      <c r="G60" s="24">
        <v>2466606</v>
      </c>
      <c r="H60" s="24">
        <v>1212589</v>
      </c>
      <c r="I60" s="24"/>
      <c r="J60" s="24"/>
      <c r="K60" s="24"/>
      <c r="L60" s="24"/>
      <c r="M60" s="24"/>
      <c r="N60" s="24"/>
      <c r="O60" s="24"/>
      <c r="P60" s="24"/>
      <c r="Q60" s="24"/>
      <c r="R60" s="24"/>
    </row>
    <row r="61" spans="1:18" ht="15" customHeight="1">
      <c r="A61" s="19"/>
      <c r="B61" s="18" t="s">
        <v>29</v>
      </c>
      <c r="C61" s="38">
        <v>23141122</v>
      </c>
      <c r="D61" s="24">
        <v>10714643</v>
      </c>
      <c r="E61" s="24">
        <v>2142761</v>
      </c>
      <c r="F61" s="24">
        <v>6806584</v>
      </c>
      <c r="G61" s="24">
        <v>2248952</v>
      </c>
      <c r="H61" s="24">
        <v>1228182</v>
      </c>
      <c r="I61" s="24"/>
      <c r="J61" s="24"/>
      <c r="K61" s="24"/>
      <c r="L61" s="24"/>
      <c r="M61" s="24"/>
      <c r="N61" s="24"/>
      <c r="O61" s="24"/>
      <c r="P61" s="24"/>
      <c r="Q61" s="24"/>
      <c r="R61" s="24"/>
    </row>
    <row r="62" spans="1:18" ht="15" customHeight="1">
      <c r="A62" s="19"/>
      <c r="B62" s="18" t="s">
        <v>30</v>
      </c>
      <c r="C62" s="38">
        <v>24270571</v>
      </c>
      <c r="D62" s="24">
        <v>11159446</v>
      </c>
      <c r="E62" s="24">
        <v>2323296</v>
      </c>
      <c r="F62" s="24">
        <v>7296995</v>
      </c>
      <c r="G62" s="24">
        <v>2421805</v>
      </c>
      <c r="H62" s="24">
        <v>1069029</v>
      </c>
      <c r="I62" s="24"/>
      <c r="J62" s="24"/>
      <c r="K62" s="24"/>
      <c r="L62" s="24"/>
      <c r="M62" s="24"/>
      <c r="N62" s="24"/>
      <c r="O62" s="24"/>
      <c r="P62" s="24"/>
      <c r="Q62" s="24"/>
      <c r="R62" s="24"/>
    </row>
    <row r="63" spans="1:18" ht="15" customHeight="1">
      <c r="A63" s="19"/>
      <c r="B63" s="18" t="s">
        <v>31</v>
      </c>
      <c r="C63" s="38">
        <v>23459312</v>
      </c>
      <c r="D63" s="24">
        <v>11198173</v>
      </c>
      <c r="E63" s="24">
        <v>2212232</v>
      </c>
      <c r="F63" s="24">
        <v>6783736</v>
      </c>
      <c r="G63" s="24">
        <v>2385353</v>
      </c>
      <c r="H63" s="24">
        <v>879818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</row>
    <row r="64" spans="1:18" ht="15" customHeight="1">
      <c r="A64" s="19"/>
      <c r="B64" s="18" t="s">
        <v>32</v>
      </c>
      <c r="C64" s="38">
        <v>22301031</v>
      </c>
      <c r="D64" s="24">
        <v>10789473</v>
      </c>
      <c r="E64" s="24">
        <v>2133668</v>
      </c>
      <c r="F64" s="24">
        <v>6427787</v>
      </c>
      <c r="G64" s="24">
        <v>2202474</v>
      </c>
      <c r="H64" s="24">
        <v>747629</v>
      </c>
      <c r="I64" s="24"/>
      <c r="J64" s="24"/>
      <c r="K64" s="24"/>
      <c r="L64" s="24"/>
      <c r="M64" s="24"/>
      <c r="N64" s="24"/>
      <c r="O64" s="24"/>
      <c r="P64" s="24"/>
      <c r="Q64" s="24"/>
      <c r="R64" s="24"/>
    </row>
    <row r="65" spans="1:18" ht="15" customHeight="1">
      <c r="A65" s="19"/>
      <c r="B65" s="18" t="s">
        <v>33</v>
      </c>
      <c r="C65" s="38">
        <v>22704280</v>
      </c>
      <c r="D65" s="24">
        <v>11576794</v>
      </c>
      <c r="E65" s="24">
        <v>2144970</v>
      </c>
      <c r="F65" s="24">
        <v>6221030</v>
      </c>
      <c r="G65" s="24">
        <v>2187463</v>
      </c>
      <c r="H65" s="24">
        <v>574023</v>
      </c>
      <c r="I65" s="24"/>
      <c r="J65" s="24"/>
      <c r="K65" s="24"/>
      <c r="L65" s="24"/>
      <c r="M65" s="24"/>
      <c r="N65" s="24"/>
      <c r="O65" s="24"/>
      <c r="P65" s="24"/>
      <c r="Q65" s="24"/>
      <c r="R65" s="24"/>
    </row>
    <row r="66" spans="1:18" ht="15" customHeight="1">
      <c r="A66" s="19"/>
      <c r="B66" s="18" t="s">
        <v>34</v>
      </c>
      <c r="C66" s="38">
        <v>18693360</v>
      </c>
      <c r="D66" s="24">
        <v>8542696</v>
      </c>
      <c r="E66" s="24">
        <v>1800400</v>
      </c>
      <c r="F66" s="24">
        <v>5764349</v>
      </c>
      <c r="G66" s="24">
        <v>2069616</v>
      </c>
      <c r="H66" s="24">
        <v>516299</v>
      </c>
      <c r="I66" s="24"/>
      <c r="J66" s="24"/>
      <c r="K66" s="24"/>
      <c r="L66" s="24"/>
      <c r="M66" s="24"/>
      <c r="N66" s="24"/>
      <c r="O66" s="24"/>
      <c r="P66" s="24"/>
      <c r="Q66" s="24"/>
      <c r="R66" s="24"/>
    </row>
    <row r="67" spans="1:18" ht="15" customHeight="1">
      <c r="A67" s="18">
        <v>2015</v>
      </c>
      <c r="B67" s="18" t="s">
        <v>23</v>
      </c>
      <c r="C67" s="38">
        <v>18551787</v>
      </c>
      <c r="D67" s="24">
        <v>8622342</v>
      </c>
      <c r="E67" s="24">
        <v>1725009</v>
      </c>
      <c r="F67" s="24">
        <v>5728083</v>
      </c>
      <c r="G67" s="24">
        <v>1944542</v>
      </c>
      <c r="H67" s="24">
        <v>531811</v>
      </c>
      <c r="I67" s="24"/>
      <c r="J67" s="24"/>
      <c r="K67" s="24"/>
      <c r="L67" s="24"/>
      <c r="M67" s="24"/>
      <c r="N67" s="24"/>
      <c r="O67" s="24"/>
      <c r="P67" s="24"/>
      <c r="Q67" s="24"/>
      <c r="R67" s="24"/>
    </row>
    <row r="68" spans="1:18" ht="15" customHeight="1">
      <c r="A68" s="19"/>
      <c r="B68" s="18" t="s">
        <v>24</v>
      </c>
      <c r="C68" s="38">
        <v>20067445</v>
      </c>
      <c r="D68" s="24">
        <v>10311458</v>
      </c>
      <c r="E68" s="24">
        <v>1736911</v>
      </c>
      <c r="F68" s="24">
        <v>5508764</v>
      </c>
      <c r="G68" s="24">
        <v>1935791</v>
      </c>
      <c r="H68" s="24">
        <v>574521</v>
      </c>
      <c r="I68" s="24"/>
      <c r="J68" s="24"/>
      <c r="K68" s="24"/>
      <c r="L68" s="24"/>
      <c r="M68" s="24"/>
      <c r="N68" s="24"/>
      <c r="O68" s="24"/>
      <c r="P68" s="24"/>
      <c r="Q68" s="24"/>
      <c r="R68" s="24"/>
    </row>
    <row r="69" spans="1:18" ht="15" customHeight="1">
      <c r="A69" s="19"/>
      <c r="B69" s="18" t="s">
        <v>25</v>
      </c>
      <c r="C69" s="38">
        <v>21587025</v>
      </c>
      <c r="D69" s="24">
        <v>11321675</v>
      </c>
      <c r="E69" s="24">
        <v>2093800</v>
      </c>
      <c r="F69" s="24">
        <v>5506149</v>
      </c>
      <c r="G69" s="24">
        <v>1910152</v>
      </c>
      <c r="H69" s="24">
        <v>755249</v>
      </c>
      <c r="I69" s="24"/>
      <c r="J69" s="24"/>
      <c r="K69" s="24"/>
      <c r="L69" s="24"/>
      <c r="M69" s="24"/>
      <c r="N69" s="24"/>
      <c r="O69" s="24"/>
      <c r="P69" s="24"/>
      <c r="Q69" s="24"/>
      <c r="R69" s="24"/>
    </row>
    <row r="70" spans="1:18" ht="15" customHeight="1">
      <c r="A70" s="19"/>
      <c r="B70" s="18" t="s">
        <v>26</v>
      </c>
      <c r="C70" s="38">
        <v>23225395</v>
      </c>
      <c r="D70" s="24">
        <v>11742299</v>
      </c>
      <c r="E70" s="24">
        <v>2009225</v>
      </c>
      <c r="F70" s="24">
        <v>6437428</v>
      </c>
      <c r="G70" s="24">
        <v>2147612</v>
      </c>
      <c r="H70" s="24">
        <v>888831</v>
      </c>
      <c r="I70" s="24"/>
      <c r="J70" s="24"/>
      <c r="K70" s="24"/>
      <c r="L70" s="24"/>
      <c r="M70" s="24"/>
      <c r="N70" s="24"/>
      <c r="O70" s="24"/>
      <c r="P70" s="24"/>
      <c r="Q70" s="24"/>
      <c r="R70" s="24"/>
    </row>
    <row r="71" spans="1:18" ht="15" customHeight="1">
      <c r="A71" s="19"/>
      <c r="B71" s="18" t="s">
        <v>27</v>
      </c>
      <c r="C71" s="38">
        <v>23636727</v>
      </c>
      <c r="D71" s="24">
        <v>11229866</v>
      </c>
      <c r="E71" s="24">
        <v>2380596</v>
      </c>
      <c r="F71" s="24">
        <v>6686840</v>
      </c>
      <c r="G71" s="24">
        <v>2254798</v>
      </c>
      <c r="H71" s="24">
        <v>1084627</v>
      </c>
      <c r="I71" s="24"/>
      <c r="J71" s="24"/>
      <c r="K71" s="24"/>
      <c r="L71" s="24"/>
      <c r="M71" s="24"/>
      <c r="N71" s="24"/>
      <c r="O71" s="24"/>
      <c r="P71" s="24"/>
      <c r="Q71" s="24"/>
      <c r="R71" s="24"/>
    </row>
    <row r="72" spans="1:18" ht="15" customHeight="1">
      <c r="A72" s="19"/>
      <c r="B72" s="18" t="s">
        <v>28</v>
      </c>
      <c r="C72" s="38">
        <v>25342884</v>
      </c>
      <c r="D72" s="24">
        <v>11856519</v>
      </c>
      <c r="E72" s="24">
        <v>2374290</v>
      </c>
      <c r="F72" s="24">
        <v>7359794</v>
      </c>
      <c r="G72" s="24">
        <v>2525630</v>
      </c>
      <c r="H72" s="24">
        <v>1226651</v>
      </c>
      <c r="I72" s="24"/>
      <c r="J72" s="24"/>
      <c r="K72" s="24"/>
      <c r="L72" s="24"/>
      <c r="M72" s="24"/>
      <c r="N72" s="24"/>
      <c r="O72" s="24"/>
      <c r="P72" s="24"/>
      <c r="Q72" s="24"/>
      <c r="R72" s="24"/>
    </row>
    <row r="73" spans="1:18" ht="15" customHeight="1">
      <c r="A73" s="19"/>
      <c r="B73" s="18" t="s">
        <v>29</v>
      </c>
      <c r="C73" s="38">
        <v>24589463</v>
      </c>
      <c r="D73" s="24">
        <v>11344164</v>
      </c>
      <c r="E73" s="24">
        <v>2312239</v>
      </c>
      <c r="F73" s="24">
        <v>7281641</v>
      </c>
      <c r="G73" s="24">
        <v>2408990</v>
      </c>
      <c r="H73" s="24">
        <v>1242429</v>
      </c>
      <c r="I73" s="24"/>
      <c r="J73" s="24"/>
      <c r="K73" s="24"/>
      <c r="L73" s="24"/>
      <c r="M73" s="24"/>
      <c r="N73" s="24"/>
      <c r="O73" s="24"/>
      <c r="P73" s="24"/>
      <c r="Q73" s="24"/>
      <c r="R73" s="24"/>
    </row>
    <row r="74" spans="1:18" ht="15" customHeight="1">
      <c r="A74" s="19"/>
      <c r="B74" s="18" t="s">
        <v>30</v>
      </c>
      <c r="C74" s="38">
        <v>27318106</v>
      </c>
      <c r="D74" s="24">
        <v>13162503</v>
      </c>
      <c r="E74" s="24">
        <v>2550867</v>
      </c>
      <c r="F74" s="24">
        <v>7880358</v>
      </c>
      <c r="G74" s="24">
        <v>2644342</v>
      </c>
      <c r="H74" s="24">
        <v>1080036</v>
      </c>
      <c r="I74" s="24"/>
      <c r="J74" s="24"/>
      <c r="K74" s="24"/>
      <c r="L74" s="24"/>
      <c r="M74" s="24"/>
      <c r="N74" s="24"/>
      <c r="O74" s="24"/>
      <c r="P74" s="24"/>
      <c r="Q74" s="24"/>
      <c r="R74" s="24"/>
    </row>
    <row r="75" spans="1:18" ht="15" customHeight="1">
      <c r="A75" s="19"/>
      <c r="B75" s="18" t="s">
        <v>31</v>
      </c>
      <c r="C75" s="38">
        <v>25549873</v>
      </c>
      <c r="D75" s="24">
        <v>12538940</v>
      </c>
      <c r="E75" s="24">
        <v>2406495</v>
      </c>
      <c r="F75" s="24">
        <v>7258441</v>
      </c>
      <c r="G75" s="24">
        <v>2457166</v>
      </c>
      <c r="H75" s="24">
        <v>888831</v>
      </c>
      <c r="I75" s="24"/>
      <c r="J75" s="24"/>
      <c r="K75" s="24"/>
      <c r="L75" s="24"/>
      <c r="M75" s="24"/>
      <c r="N75" s="24"/>
      <c r="O75" s="24"/>
      <c r="P75" s="24"/>
      <c r="Q75" s="24"/>
      <c r="R75" s="24"/>
    </row>
    <row r="76" spans="1:18" ht="15" customHeight="1">
      <c r="A76" s="19"/>
      <c r="B76" s="18" t="s">
        <v>32</v>
      </c>
      <c r="C76" s="38">
        <v>24392563</v>
      </c>
      <c r="D76" s="24">
        <v>12308697</v>
      </c>
      <c r="E76" s="24">
        <v>2302725</v>
      </c>
      <c r="F76" s="24">
        <v>6751856</v>
      </c>
      <c r="G76" s="24">
        <v>2274234</v>
      </c>
      <c r="H76" s="24">
        <v>755051</v>
      </c>
      <c r="I76" s="24"/>
      <c r="J76" s="24"/>
      <c r="K76" s="24"/>
      <c r="L76" s="24"/>
      <c r="M76" s="24"/>
      <c r="N76" s="24"/>
      <c r="O76" s="24"/>
      <c r="P76" s="24"/>
      <c r="Q76" s="24"/>
      <c r="R76" s="24"/>
    </row>
    <row r="77" spans="1:18" ht="15" customHeight="1">
      <c r="A77" s="19"/>
      <c r="B77" s="18" t="s">
        <v>33</v>
      </c>
      <c r="C77" s="38">
        <v>23743354</v>
      </c>
      <c r="D77" s="24">
        <v>12356585</v>
      </c>
      <c r="E77" s="24">
        <v>2099092</v>
      </c>
      <c r="F77" s="24">
        <v>6468499</v>
      </c>
      <c r="G77" s="24">
        <v>2244386</v>
      </c>
      <c r="H77" s="24">
        <v>574792</v>
      </c>
      <c r="I77" s="24"/>
      <c r="J77" s="24"/>
      <c r="K77" s="24"/>
      <c r="L77" s="24"/>
      <c r="M77" s="24"/>
      <c r="N77" s="24"/>
      <c r="O77" s="24"/>
      <c r="P77" s="24"/>
      <c r="Q77" s="24"/>
      <c r="R77" s="24"/>
    </row>
    <row r="78" spans="1:18" ht="15" customHeight="1">
      <c r="A78" s="19"/>
      <c r="B78" s="18" t="s">
        <v>34</v>
      </c>
      <c r="C78" s="38">
        <v>20988509</v>
      </c>
      <c r="D78" s="24">
        <v>10119854</v>
      </c>
      <c r="E78" s="24">
        <v>1987351</v>
      </c>
      <c r="F78" s="24">
        <v>6173108</v>
      </c>
      <c r="G78" s="24">
        <v>2211538</v>
      </c>
      <c r="H78" s="24">
        <v>496658</v>
      </c>
      <c r="I78" s="24"/>
      <c r="J78" s="24"/>
      <c r="K78" s="24"/>
      <c r="L78" s="24"/>
      <c r="M78" s="24"/>
      <c r="N78" s="24"/>
      <c r="O78" s="24"/>
      <c r="P78" s="24"/>
      <c r="Q78" s="24"/>
      <c r="R78" s="24"/>
    </row>
    <row r="79" spans="1:18" ht="15" customHeight="1">
      <c r="A79" s="18">
        <v>2016</v>
      </c>
      <c r="B79" s="18" t="s">
        <v>23</v>
      </c>
      <c r="C79" s="38">
        <v>19558851</v>
      </c>
      <c r="D79" s="24">
        <v>9129437</v>
      </c>
      <c r="E79" s="24">
        <v>1693622</v>
      </c>
      <c r="F79" s="24">
        <v>6089515</v>
      </c>
      <c r="G79" s="24">
        <v>2114024</v>
      </c>
      <c r="H79" s="24">
        <v>532253</v>
      </c>
      <c r="I79" s="24"/>
      <c r="J79" s="24"/>
      <c r="K79" s="24"/>
      <c r="L79" s="24"/>
      <c r="M79" s="24"/>
      <c r="N79" s="24"/>
      <c r="O79" s="24"/>
      <c r="P79" s="24"/>
      <c r="Q79" s="24"/>
      <c r="R79" s="24"/>
    </row>
    <row r="80" spans="1:18" ht="15" customHeight="1">
      <c r="A80" s="19"/>
      <c r="B80" s="18" t="s">
        <v>24</v>
      </c>
      <c r="C80" s="38">
        <v>22245256</v>
      </c>
      <c r="D80" s="24">
        <v>12299506</v>
      </c>
      <c r="E80" s="24">
        <v>1816751</v>
      </c>
      <c r="F80" s="24">
        <v>5564926</v>
      </c>
      <c r="G80" s="24">
        <v>1989552</v>
      </c>
      <c r="H80" s="24">
        <v>574521</v>
      </c>
      <c r="I80" s="24"/>
      <c r="J80" s="24"/>
      <c r="K80" s="24"/>
      <c r="L80" s="24"/>
      <c r="M80" s="24"/>
      <c r="N80" s="24"/>
      <c r="O80" s="24"/>
      <c r="P80" s="24"/>
      <c r="Q80" s="24"/>
      <c r="R80" s="24"/>
    </row>
    <row r="81" spans="1:18" ht="15" customHeight="1">
      <c r="A81" s="19"/>
      <c r="B81" s="18" t="s">
        <v>25</v>
      </c>
      <c r="C81" s="38">
        <v>23312918</v>
      </c>
      <c r="D81" s="24">
        <v>12851960</v>
      </c>
      <c r="E81" s="24">
        <v>1989692</v>
      </c>
      <c r="F81" s="24">
        <v>5717964</v>
      </c>
      <c r="G81" s="24">
        <v>1998053</v>
      </c>
      <c r="H81" s="24">
        <v>755249</v>
      </c>
      <c r="I81" s="24"/>
      <c r="J81" s="24"/>
      <c r="K81" s="24"/>
      <c r="L81" s="24"/>
      <c r="M81" s="24"/>
      <c r="N81" s="24"/>
      <c r="O81" s="24"/>
      <c r="P81" s="24"/>
      <c r="Q81" s="24"/>
      <c r="R81" s="24"/>
    </row>
    <row r="82" spans="1:18" ht="15" customHeight="1">
      <c r="A82" s="19"/>
      <c r="B82" s="18" t="s">
        <v>26</v>
      </c>
      <c r="C82" s="38">
        <v>24539989</v>
      </c>
      <c r="D82" s="24">
        <v>12655778</v>
      </c>
      <c r="E82" s="24">
        <v>2233101</v>
      </c>
      <c r="F82" s="24">
        <v>6521763</v>
      </c>
      <c r="G82" s="24">
        <v>2236754</v>
      </c>
      <c r="H82" s="24">
        <v>892593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</row>
    <row r="83" spans="1:18" ht="15" customHeight="1">
      <c r="A83" s="19"/>
      <c r="B83" s="18" t="s">
        <v>27</v>
      </c>
      <c r="C83" s="38">
        <v>25387108</v>
      </c>
      <c r="D83" s="24">
        <v>12952933</v>
      </c>
      <c r="E83" s="24">
        <v>2267585</v>
      </c>
      <c r="F83" s="24">
        <v>6689111</v>
      </c>
      <c r="G83" s="24">
        <v>2366705</v>
      </c>
      <c r="H83" s="24">
        <v>1110774</v>
      </c>
      <c r="I83" s="24"/>
      <c r="J83" s="24"/>
      <c r="K83" s="24"/>
      <c r="L83" s="24"/>
      <c r="M83" s="24"/>
      <c r="N83" s="24"/>
      <c r="O83" s="24"/>
      <c r="P83" s="24"/>
      <c r="Q83" s="24"/>
      <c r="R83" s="24"/>
    </row>
    <row r="84" spans="1:18" ht="15" customHeight="1">
      <c r="A84" s="19"/>
      <c r="B84" s="18" t="s">
        <v>28</v>
      </c>
      <c r="C84" s="38">
        <v>25467340</v>
      </c>
      <c r="D84" s="24">
        <v>12212910</v>
      </c>
      <c r="E84" s="24">
        <v>2269258</v>
      </c>
      <c r="F84" s="24">
        <v>7298446</v>
      </c>
      <c r="G84" s="24">
        <v>2430425</v>
      </c>
      <c r="H84" s="24">
        <v>1256301</v>
      </c>
      <c r="I84" s="24"/>
      <c r="J84" s="24"/>
      <c r="K84" s="24"/>
      <c r="L84" s="24"/>
      <c r="M84" s="24"/>
      <c r="N84" s="24"/>
      <c r="O84" s="24"/>
      <c r="P84" s="24"/>
      <c r="Q84" s="24"/>
      <c r="R84" s="24"/>
    </row>
    <row r="85" spans="1:18" ht="15" customHeight="1">
      <c r="A85" s="19"/>
      <c r="B85" s="18" t="s">
        <v>29</v>
      </c>
      <c r="C85" s="38">
        <v>24826928</v>
      </c>
      <c r="D85" s="24">
        <v>12009175</v>
      </c>
      <c r="E85" s="24">
        <v>2221955</v>
      </c>
      <c r="F85" s="24">
        <v>7001632</v>
      </c>
      <c r="G85" s="24">
        <v>2321698</v>
      </c>
      <c r="H85" s="24">
        <v>1272468</v>
      </c>
      <c r="I85" s="24"/>
      <c r="J85" s="24"/>
      <c r="K85" s="24"/>
      <c r="L85" s="24"/>
      <c r="M85" s="24"/>
      <c r="N85" s="24"/>
      <c r="O85" s="24"/>
      <c r="P85" s="24"/>
      <c r="Q85" s="24"/>
      <c r="R85" s="24"/>
    </row>
    <row r="86" spans="1:18" ht="15" customHeight="1">
      <c r="A86" s="19"/>
      <c r="B86" s="18" t="s">
        <v>30</v>
      </c>
      <c r="C86" s="38">
        <v>25859438</v>
      </c>
      <c r="D86" s="24">
        <v>12745784</v>
      </c>
      <c r="E86" s="24">
        <v>2359607</v>
      </c>
      <c r="F86" s="24">
        <v>7175882</v>
      </c>
      <c r="G86" s="24">
        <v>2468267</v>
      </c>
      <c r="H86" s="24">
        <v>1109898</v>
      </c>
      <c r="I86" s="24"/>
      <c r="J86" s="24"/>
      <c r="K86" s="24"/>
      <c r="L86" s="24"/>
      <c r="M86" s="24"/>
      <c r="N86" s="24"/>
      <c r="O86" s="24"/>
      <c r="P86" s="24"/>
      <c r="Q86" s="24"/>
      <c r="R86" s="24"/>
    </row>
    <row r="87" spans="1:18" ht="15" customHeight="1">
      <c r="A87" s="19"/>
      <c r="B87" s="18" t="s">
        <v>31</v>
      </c>
      <c r="C87" s="38">
        <v>25226666</v>
      </c>
      <c r="D87" s="24">
        <v>12822769</v>
      </c>
      <c r="E87" s="24">
        <v>2187165</v>
      </c>
      <c r="F87" s="24">
        <v>6915016</v>
      </c>
      <c r="G87" s="24">
        <v>2392351</v>
      </c>
      <c r="H87" s="24">
        <v>909365</v>
      </c>
      <c r="I87" s="24"/>
      <c r="J87" s="24"/>
      <c r="K87" s="24"/>
      <c r="L87" s="24"/>
      <c r="M87" s="24"/>
      <c r="N87" s="24"/>
      <c r="O87" s="24"/>
      <c r="P87" s="24"/>
      <c r="Q87" s="24"/>
      <c r="R87" s="24"/>
    </row>
    <row r="88" spans="1:18" ht="15" customHeight="1">
      <c r="A88" s="19"/>
      <c r="B88" s="18" t="s">
        <v>32</v>
      </c>
      <c r="C88" s="38">
        <v>23719202</v>
      </c>
      <c r="D88" s="24">
        <v>12613166</v>
      </c>
      <c r="E88" s="24">
        <v>2015647</v>
      </c>
      <c r="F88" s="24">
        <v>6152373</v>
      </c>
      <c r="G88" s="24">
        <v>2165406</v>
      </c>
      <c r="H88" s="24">
        <v>772610</v>
      </c>
      <c r="I88" s="24"/>
      <c r="J88" s="24"/>
      <c r="K88" s="24"/>
      <c r="L88" s="24"/>
      <c r="M88" s="24"/>
      <c r="N88" s="24"/>
      <c r="O88" s="24"/>
      <c r="P88" s="24"/>
      <c r="Q88" s="24"/>
      <c r="R88" s="24"/>
    </row>
    <row r="89" spans="1:18" ht="15" customHeight="1">
      <c r="A89" s="19"/>
      <c r="B89" s="18" t="s">
        <v>33</v>
      </c>
      <c r="C89" s="38">
        <v>22886968</v>
      </c>
      <c r="D89" s="24">
        <v>11703464</v>
      </c>
      <c r="E89" s="24">
        <v>2064538</v>
      </c>
      <c r="F89" s="24">
        <v>6269079</v>
      </c>
      <c r="G89" s="24">
        <v>2259805</v>
      </c>
      <c r="H89" s="24">
        <v>590082</v>
      </c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 ht="15" customHeight="1">
      <c r="A90" s="19"/>
      <c r="B90" s="18" t="s">
        <v>34</v>
      </c>
      <c r="C90" s="38">
        <v>20444738</v>
      </c>
      <c r="D90" s="24">
        <v>10224396</v>
      </c>
      <c r="E90" s="24">
        <v>1747805</v>
      </c>
      <c r="F90" s="24">
        <v>5921634</v>
      </c>
      <c r="G90" s="24">
        <v>2040297</v>
      </c>
      <c r="H90" s="24">
        <v>510606</v>
      </c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ht="15" customHeight="1">
      <c r="A91" s="18">
        <v>2017</v>
      </c>
      <c r="B91" s="18" t="s">
        <v>23</v>
      </c>
      <c r="C91" s="38">
        <v>20871044</v>
      </c>
      <c r="D91" s="24">
        <v>10567279</v>
      </c>
      <c r="E91" s="24">
        <v>1725529</v>
      </c>
      <c r="F91" s="24">
        <v>5775092</v>
      </c>
      <c r="G91" s="24">
        <v>2076822</v>
      </c>
      <c r="H91" s="24">
        <v>726322</v>
      </c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 ht="15" customHeight="1">
      <c r="A92" s="19"/>
      <c r="B92" s="18" t="s">
        <v>24</v>
      </c>
      <c r="C92" s="38">
        <v>21258988</v>
      </c>
      <c r="D92" s="24">
        <v>11419978</v>
      </c>
      <c r="E92" s="24">
        <v>1699560</v>
      </c>
      <c r="F92" s="24">
        <v>5548302</v>
      </c>
      <c r="G92" s="24">
        <v>1991768</v>
      </c>
      <c r="H92" s="24">
        <v>599380</v>
      </c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 ht="15" customHeight="1">
      <c r="A93" s="19"/>
      <c r="B93" s="18" t="s">
        <v>25</v>
      </c>
      <c r="C93" s="38">
        <v>22690602</v>
      </c>
      <c r="D93" s="24">
        <v>12327627</v>
      </c>
      <c r="E93" s="24">
        <v>2009707</v>
      </c>
      <c r="F93" s="24">
        <v>5634093</v>
      </c>
      <c r="G93" s="24">
        <v>1933932</v>
      </c>
      <c r="H93" s="24">
        <v>785243</v>
      </c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ht="15" customHeight="1">
      <c r="A94" s="19"/>
      <c r="B94" s="18" t="s">
        <v>26</v>
      </c>
      <c r="C94" s="38">
        <v>23515507</v>
      </c>
      <c r="D94" s="24">
        <v>12135362</v>
      </c>
      <c r="E94" s="24">
        <v>2034973</v>
      </c>
      <c r="F94" s="24">
        <v>6270498</v>
      </c>
      <c r="G94" s="24">
        <v>2152070</v>
      </c>
      <c r="H94" s="24">
        <v>922604</v>
      </c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 ht="15" customHeight="1">
      <c r="A95" s="19"/>
      <c r="B95" s="18" t="s">
        <v>27</v>
      </c>
      <c r="C95" s="38">
        <v>24128445</v>
      </c>
      <c r="D95" s="24">
        <v>11941553</v>
      </c>
      <c r="E95" s="24">
        <v>2237285</v>
      </c>
      <c r="F95" s="24">
        <v>6539680</v>
      </c>
      <c r="G95" s="24">
        <v>2267723</v>
      </c>
      <c r="H95" s="24">
        <v>1142204</v>
      </c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5" customHeight="1">
      <c r="A96" s="19"/>
      <c r="B96" s="18" t="s">
        <v>28</v>
      </c>
      <c r="C96" s="38">
        <v>24797740</v>
      </c>
      <c r="D96" s="24">
        <v>11747472</v>
      </c>
      <c r="E96" s="24">
        <v>2265715</v>
      </c>
      <c r="F96" s="24">
        <v>7102002</v>
      </c>
      <c r="G96" s="24">
        <v>2391899</v>
      </c>
      <c r="H96" s="24">
        <v>1290652</v>
      </c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15" customHeight="1">
      <c r="A97" s="19"/>
      <c r="B97" s="18" t="s">
        <v>29</v>
      </c>
      <c r="C97" s="38">
        <v>25753846</v>
      </c>
      <c r="D97" s="24">
        <v>13014974</v>
      </c>
      <c r="E97" s="24">
        <v>2264337</v>
      </c>
      <c r="F97" s="24">
        <v>6890087</v>
      </c>
      <c r="G97" s="24">
        <v>2313259</v>
      </c>
      <c r="H97" s="24">
        <v>1271189</v>
      </c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 ht="15" customHeight="1">
      <c r="A98" s="19"/>
      <c r="B98" s="18" t="s">
        <v>30</v>
      </c>
      <c r="C98" s="38">
        <v>26017710</v>
      </c>
      <c r="D98" s="24">
        <v>13020896</v>
      </c>
      <c r="E98" s="24">
        <v>2291958</v>
      </c>
      <c r="F98" s="24">
        <v>7042450</v>
      </c>
      <c r="G98" s="24">
        <v>2525003</v>
      </c>
      <c r="H98" s="24">
        <v>1137403</v>
      </c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 ht="15" customHeight="1">
      <c r="A99" s="19"/>
      <c r="B99" s="18" t="s">
        <v>31</v>
      </c>
      <c r="C99" s="38">
        <v>24884573</v>
      </c>
      <c r="D99" s="24">
        <v>12646099</v>
      </c>
      <c r="E99" s="24">
        <v>2137317</v>
      </c>
      <c r="F99" s="24">
        <v>6820737</v>
      </c>
      <c r="G99" s="24">
        <v>2342655</v>
      </c>
      <c r="H99" s="24">
        <v>937765</v>
      </c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ht="15" customHeight="1">
      <c r="A100" s="19"/>
      <c r="B100" s="18" t="s">
        <v>32</v>
      </c>
      <c r="C100" s="38">
        <v>25131458</v>
      </c>
      <c r="D100" s="24">
        <v>13808554</v>
      </c>
      <c r="E100" s="24">
        <v>2134141</v>
      </c>
      <c r="F100" s="24">
        <v>6167656</v>
      </c>
      <c r="G100" s="24">
        <v>2223274</v>
      </c>
      <c r="H100" s="24">
        <v>797833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ht="15" customHeight="1">
      <c r="A101" s="19"/>
      <c r="B101" s="18" t="s">
        <v>33</v>
      </c>
      <c r="C101" s="38">
        <v>24296837</v>
      </c>
      <c r="D101" s="24">
        <v>12872880</v>
      </c>
      <c r="E101" s="24">
        <v>2079433</v>
      </c>
      <c r="F101" s="24">
        <v>6438919</v>
      </c>
      <c r="G101" s="24">
        <v>2296726</v>
      </c>
      <c r="H101" s="24">
        <v>608879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 ht="15" customHeight="1">
      <c r="A102" s="19"/>
      <c r="B102" s="18" t="s">
        <v>34</v>
      </c>
      <c r="C102" s="38">
        <v>18980012</v>
      </c>
      <c r="D102" s="24">
        <v>10749124</v>
      </c>
      <c r="E102" s="24">
        <v>1715746</v>
      </c>
      <c r="F102" s="24">
        <v>5821998</v>
      </c>
      <c r="G102" s="24">
        <v>208587</v>
      </c>
      <c r="H102" s="24">
        <v>484557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 ht="15" customHeight="1">
      <c r="A103" s="18">
        <v>2018</v>
      </c>
      <c r="B103" s="18" t="s">
        <v>23</v>
      </c>
      <c r="C103" s="38">
        <v>20979997</v>
      </c>
      <c r="D103" s="24">
        <v>10709178</v>
      </c>
      <c r="E103" s="24">
        <v>1823473</v>
      </c>
      <c r="F103" s="24">
        <v>5794092</v>
      </c>
      <c r="G103" s="24">
        <v>2109697</v>
      </c>
      <c r="H103" s="24">
        <v>543557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ht="15" customHeight="1">
      <c r="A104" s="19"/>
      <c r="B104" s="18" t="s">
        <v>24</v>
      </c>
      <c r="C104" s="38">
        <v>20597562</v>
      </c>
      <c r="D104" s="24">
        <v>10632404</v>
      </c>
      <c r="E104" s="24">
        <v>1744957</v>
      </c>
      <c r="F104" s="24">
        <v>5623403</v>
      </c>
      <c r="G104" s="24">
        <v>1987919</v>
      </c>
      <c r="H104" s="24">
        <v>608879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ht="15" customHeight="1">
      <c r="A105" s="19"/>
      <c r="B105" s="18" t="s">
        <v>25</v>
      </c>
      <c r="C105" s="38">
        <v>22047746</v>
      </c>
      <c r="D105" s="24">
        <v>12173210</v>
      </c>
      <c r="E105" s="24">
        <v>1749783</v>
      </c>
      <c r="F105" s="24">
        <v>5399891</v>
      </c>
      <c r="G105" s="24">
        <v>1927029</v>
      </c>
      <c r="H105" s="24">
        <v>797833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ht="15" customHeight="1">
      <c r="A106" s="19"/>
      <c r="B106" s="18" t="s">
        <v>26</v>
      </c>
      <c r="C106" s="38">
        <v>24896753</v>
      </c>
      <c r="D106" s="24">
        <v>13313002</v>
      </c>
      <c r="E106" s="24">
        <v>2025656</v>
      </c>
      <c r="F106" s="24">
        <v>6376981</v>
      </c>
      <c r="G106" s="24">
        <v>2243349</v>
      </c>
      <c r="H106" s="24">
        <v>937765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18" ht="15" customHeight="1">
      <c r="A107" s="19"/>
      <c r="B107" s="18" t="s">
        <v>27</v>
      </c>
      <c r="C107" s="38">
        <v>28471382</v>
      </c>
      <c r="D107" s="24">
        <v>15964253</v>
      </c>
      <c r="E107" s="24">
        <v>2310087</v>
      </c>
      <c r="F107" s="24">
        <v>6696759</v>
      </c>
      <c r="G107" s="24">
        <v>2358079</v>
      </c>
      <c r="H107" s="24">
        <v>1142204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 ht="15" customHeight="1">
      <c r="A108" s="19"/>
      <c r="B108" s="18" t="s">
        <v>28</v>
      </c>
      <c r="C108" s="38">
        <v>23606325</v>
      </c>
      <c r="D108" s="24">
        <v>10691134</v>
      </c>
      <c r="E108" s="24">
        <v>2081380</v>
      </c>
      <c r="F108" s="24">
        <v>7180396</v>
      </c>
      <c r="G108" s="24">
        <v>2362723</v>
      </c>
      <c r="H108" s="24">
        <v>1290692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 ht="15" customHeight="1">
      <c r="A109" s="19"/>
      <c r="B109" s="18" t="s">
        <v>29</v>
      </c>
      <c r="C109" s="38">
        <v>26986368</v>
      </c>
      <c r="D109" s="24">
        <v>14262975</v>
      </c>
      <c r="E109" s="24">
        <v>2260438</v>
      </c>
      <c r="F109" s="24">
        <v>6866506</v>
      </c>
      <c r="G109" s="24">
        <v>2286279</v>
      </c>
      <c r="H109" s="24">
        <v>1310170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ht="15" customHeight="1">
      <c r="A110" s="19"/>
      <c r="B110" s="18" t="s">
        <v>30</v>
      </c>
      <c r="C110" s="38">
        <v>27096698</v>
      </c>
      <c r="D110" s="24">
        <v>14009466</v>
      </c>
      <c r="E110" s="24">
        <v>2343666</v>
      </c>
      <c r="F110" s="24">
        <v>7139844</v>
      </c>
      <c r="G110" s="24">
        <v>2463734</v>
      </c>
      <c r="H110" s="24">
        <v>1139988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 ht="15" customHeight="1">
      <c r="A111" s="19"/>
      <c r="B111" s="18" t="s">
        <v>31</v>
      </c>
      <c r="C111" s="38">
        <v>27305746</v>
      </c>
      <c r="D111" s="24">
        <v>14894710</v>
      </c>
      <c r="E111" s="24">
        <v>2126256</v>
      </c>
      <c r="F111" s="24">
        <v>6951846</v>
      </c>
      <c r="G111" s="24">
        <v>2393323</v>
      </c>
      <c r="H111" s="24">
        <v>939611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 ht="15" customHeight="1">
      <c r="A112" s="19"/>
      <c r="B112" s="18" t="s">
        <v>32</v>
      </c>
      <c r="C112" s="38">
        <v>26324461</v>
      </c>
      <c r="D112" s="24">
        <v>14913860</v>
      </c>
      <c r="E112" s="24">
        <v>2052547</v>
      </c>
      <c r="F112" s="24">
        <v>6321868</v>
      </c>
      <c r="G112" s="24">
        <v>2236564</v>
      </c>
      <c r="H112" s="24">
        <v>799622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18" ht="15" customHeight="1">
      <c r="A113" s="19"/>
      <c r="B113" s="18" t="s">
        <v>33</v>
      </c>
      <c r="C113" s="38">
        <v>25391692</v>
      </c>
      <c r="D113" s="24">
        <v>14308078</v>
      </c>
      <c r="E113" s="24">
        <v>1881588</v>
      </c>
      <c r="F113" s="24">
        <v>6405285</v>
      </c>
      <c r="G113" s="24">
        <v>2186516</v>
      </c>
      <c r="H113" s="24">
        <v>610225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ht="15" customHeight="1">
      <c r="A114" s="19"/>
      <c r="B114" s="18" t="s">
        <v>34</v>
      </c>
      <c r="C114" s="38">
        <v>20468910</v>
      </c>
      <c r="D114" s="24">
        <v>10548233</v>
      </c>
      <c r="E114" s="24">
        <v>1611173</v>
      </c>
      <c r="F114" s="24">
        <v>5792844</v>
      </c>
      <c r="G114" s="24">
        <v>1988628</v>
      </c>
      <c r="H114" s="24">
        <v>528032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 ht="15" customHeight="1">
      <c r="A115" s="18">
        <v>2019</v>
      </c>
      <c r="B115" s="18" t="s">
        <v>23</v>
      </c>
      <c r="C115" s="38">
        <v>22340494</v>
      </c>
      <c r="D115" s="24">
        <v>12216309</v>
      </c>
      <c r="E115" s="24">
        <v>1619655</v>
      </c>
      <c r="F115" s="24">
        <v>5933762</v>
      </c>
      <c r="G115" s="24">
        <v>2026018</v>
      </c>
      <c r="H115" s="24">
        <v>544750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 ht="15" customHeight="1">
      <c r="A116" s="19"/>
      <c r="B116" s="18" t="s">
        <v>24</v>
      </c>
      <c r="C116" s="38">
        <v>23418764</v>
      </c>
      <c r="D116" s="24">
        <v>13874098</v>
      </c>
      <c r="E116" s="24">
        <v>1593052</v>
      </c>
      <c r="F116" s="24">
        <v>5508712</v>
      </c>
      <c r="G116" s="24">
        <v>1898152</v>
      </c>
      <c r="H116" s="24">
        <v>544750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 ht="15" customHeight="1">
      <c r="A117" s="19"/>
      <c r="B117" s="18" t="s">
        <v>25</v>
      </c>
      <c r="C117" s="38">
        <v>24166564</v>
      </c>
      <c r="D117" s="24">
        <v>14233670</v>
      </c>
      <c r="E117" s="24">
        <v>1721015</v>
      </c>
      <c r="F117" s="24">
        <v>5518831</v>
      </c>
      <c r="G117" s="24">
        <v>1883486</v>
      </c>
      <c r="H117" s="24">
        <v>809562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ht="15" customHeight="1">
      <c r="A118" s="19"/>
      <c r="B118" s="18" t="s">
        <v>26</v>
      </c>
      <c r="C118" s="38">
        <v>27811362</v>
      </c>
      <c r="D118" s="24">
        <v>16176279</v>
      </c>
      <c r="E118" s="24">
        <v>2016355</v>
      </c>
      <c r="F118" s="24">
        <v>6440286</v>
      </c>
      <c r="G118" s="24">
        <v>2227075</v>
      </c>
      <c r="H118" s="24">
        <v>951367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ht="15" customHeight="1">
      <c r="A119" s="19"/>
      <c r="B119" s="18" t="s">
        <v>27</v>
      </c>
      <c r="C119" s="38">
        <v>26520985</v>
      </c>
      <c r="D119" s="24">
        <v>15090178</v>
      </c>
      <c r="E119" s="24">
        <v>1957322</v>
      </c>
      <c r="F119" s="24">
        <v>6217808</v>
      </c>
      <c r="G119" s="24">
        <v>2096459</v>
      </c>
      <c r="H119" s="24">
        <v>1159218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ht="15" customHeight="1">
      <c r="A120" s="19"/>
      <c r="B120" s="18" t="s">
        <v>35</v>
      </c>
      <c r="C120" s="38">
        <v>27104246</v>
      </c>
      <c r="D120" s="24">
        <v>14505347</v>
      </c>
      <c r="E120" s="24">
        <v>2139521</v>
      </c>
      <c r="F120" s="24">
        <v>6804622</v>
      </c>
      <c r="G120" s="24">
        <v>2270645</v>
      </c>
      <c r="H120" s="24">
        <v>1384111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18" ht="15" customHeight="1">
      <c r="A121" s="19"/>
      <c r="B121" s="18" t="s">
        <v>29</v>
      </c>
      <c r="C121" s="38">
        <v>28890199</v>
      </c>
      <c r="D121" s="24">
        <v>16465467</v>
      </c>
      <c r="E121" s="24">
        <v>2073011</v>
      </c>
      <c r="F121" s="24">
        <v>6718650</v>
      </c>
      <c r="G121" s="24">
        <v>2231238</v>
      </c>
      <c r="H121" s="24">
        <v>1401833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 ht="15" customHeight="1">
      <c r="A122" s="19"/>
      <c r="B122" s="18" t="s">
        <v>30</v>
      </c>
      <c r="C122" s="38">
        <v>29044010</v>
      </c>
      <c r="D122" s="24">
        <v>16539083</v>
      </c>
      <c r="E122" s="24">
        <v>2065627</v>
      </c>
      <c r="F122" s="24">
        <v>6848417</v>
      </c>
      <c r="G122" s="24">
        <v>2371454</v>
      </c>
      <c r="H122" s="24">
        <v>1219429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 ht="15" customHeight="1">
      <c r="A123" s="19"/>
      <c r="B123" s="18" t="s">
        <v>36</v>
      </c>
      <c r="C123" s="38">
        <v>27352896</v>
      </c>
      <c r="D123" s="24">
        <v>15877855</v>
      </c>
      <c r="E123" s="24">
        <v>1808385</v>
      </c>
      <c r="F123" s="24">
        <v>6483123</v>
      </c>
      <c r="G123" s="24">
        <v>2178871</v>
      </c>
      <c r="H123" s="24">
        <v>1004662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ht="15" customHeight="1">
      <c r="A124" s="19"/>
      <c r="B124" s="18" t="s">
        <v>32</v>
      </c>
      <c r="C124" s="38">
        <v>27663978</v>
      </c>
      <c r="D124" s="24">
        <v>16633647</v>
      </c>
      <c r="E124" s="24">
        <v>1867509</v>
      </c>
      <c r="F124" s="24">
        <v>6140856</v>
      </c>
      <c r="G124" s="24">
        <v>2167346</v>
      </c>
      <c r="H124" s="24">
        <v>854620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18" ht="15" customHeight="1">
      <c r="A125" s="19"/>
      <c r="B125" s="18" t="s">
        <v>33</v>
      </c>
      <c r="C125" s="38">
        <v>25942395</v>
      </c>
      <c r="D125" s="24">
        <v>15311531</v>
      </c>
      <c r="E125" s="24">
        <v>1696655</v>
      </c>
      <c r="F125" s="24">
        <v>6173386</v>
      </c>
      <c r="G125" s="24">
        <v>2109201</v>
      </c>
      <c r="H125" s="24">
        <v>651622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 ht="15" customHeight="1">
      <c r="A126" s="19"/>
      <c r="B126" s="18" t="s">
        <v>34</v>
      </c>
      <c r="C126" s="38">
        <v>23694951</v>
      </c>
      <c r="D126" s="24">
        <v>14144596</v>
      </c>
      <c r="E126" s="24">
        <v>1523445</v>
      </c>
      <c r="F126" s="24">
        <v>5547327</v>
      </c>
      <c r="G126" s="24">
        <v>1915839</v>
      </c>
      <c r="H126" s="24">
        <v>563744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 ht="15" customHeight="1">
      <c r="A127" s="18">
        <v>2020</v>
      </c>
      <c r="B127" s="18" t="s">
        <v>23</v>
      </c>
      <c r="C127" s="38">
        <v>25476422</v>
      </c>
      <c r="D127" s="24">
        <v>15290256</v>
      </c>
      <c r="E127" s="24">
        <v>1537763</v>
      </c>
      <c r="F127" s="24">
        <v>6073256</v>
      </c>
      <c r="G127" s="24">
        <v>2030279</v>
      </c>
      <c r="H127" s="24">
        <v>544868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 ht="15" customHeight="1">
      <c r="A128" s="19"/>
      <c r="B128" s="18" t="s">
        <v>24</v>
      </c>
      <c r="C128" s="38">
        <v>24902527</v>
      </c>
      <c r="D128" s="24">
        <v>16009886</v>
      </c>
      <c r="E128" s="24">
        <v>1411563</v>
      </c>
      <c r="F128" s="24">
        <v>5094828</v>
      </c>
      <c r="G128" s="24">
        <v>1776025</v>
      </c>
      <c r="H128" s="24">
        <v>610225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18" ht="15" customHeight="1">
      <c r="A129" s="19"/>
      <c r="B129" s="18" t="s">
        <v>25</v>
      </c>
      <c r="C129" s="38">
        <v>25439306</v>
      </c>
      <c r="D129" s="24">
        <v>15951539</v>
      </c>
      <c r="E129" s="24">
        <v>1830697</v>
      </c>
      <c r="F129" s="24">
        <v>5116989</v>
      </c>
      <c r="G129" s="24">
        <v>1685461</v>
      </c>
      <c r="H129" s="24">
        <v>854620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1:18" ht="15" customHeight="1">
      <c r="A130" s="19"/>
      <c r="B130" s="18" t="s">
        <v>26</v>
      </c>
      <c r="C130" s="38">
        <v>22897068</v>
      </c>
      <c r="D130" s="24">
        <v>14492614</v>
      </c>
      <c r="E130" s="24">
        <v>1506405</v>
      </c>
      <c r="F130" s="24">
        <v>5017123</v>
      </c>
      <c r="G130" s="24">
        <v>876264</v>
      </c>
      <c r="H130" s="24">
        <v>1004662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1:18" ht="15" customHeight="1">
      <c r="A131" s="19"/>
      <c r="B131" s="18" t="s">
        <v>27</v>
      </c>
      <c r="C131" s="38">
        <v>28991198</v>
      </c>
      <c r="D131" s="24">
        <v>15015343</v>
      </c>
      <c r="E131" s="24">
        <v>1538041</v>
      </c>
      <c r="F131" s="24">
        <v>8707791</v>
      </c>
      <c r="G131" s="24">
        <v>2505437</v>
      </c>
      <c r="H131" s="24">
        <v>1224586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1:18" ht="15" customHeight="1">
      <c r="A132" s="19"/>
      <c r="B132" s="18" t="s">
        <v>28</v>
      </c>
      <c r="C132" s="38">
        <v>28495651</v>
      </c>
      <c r="D132" s="24">
        <v>16314624</v>
      </c>
      <c r="E132" s="24">
        <v>1636520</v>
      </c>
      <c r="F132" s="24">
        <v>7155984</v>
      </c>
      <c r="G132" s="24">
        <v>2004412</v>
      </c>
      <c r="H132" s="24">
        <v>1384111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1:18" ht="15" customHeight="1">
      <c r="A133" s="19"/>
      <c r="B133" s="18" t="s">
        <v>29</v>
      </c>
      <c r="C133" s="38">
        <v>30043833</v>
      </c>
      <c r="D133" s="24">
        <v>16994941</v>
      </c>
      <c r="E133" s="24">
        <v>1876737</v>
      </c>
      <c r="F133" s="24">
        <v>7558457</v>
      </c>
      <c r="G133" s="24">
        <v>2211865</v>
      </c>
      <c r="H133" s="24">
        <v>1401833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1:18" ht="15" customHeight="1">
      <c r="A134" s="19"/>
      <c r="B134" s="18" t="s">
        <v>30</v>
      </c>
      <c r="C134" s="38">
        <v>25961385</v>
      </c>
      <c r="D134" s="24">
        <v>13429928</v>
      </c>
      <c r="E134" s="24">
        <v>1579811</v>
      </c>
      <c r="F134" s="24">
        <v>7749684</v>
      </c>
      <c r="G134" s="24">
        <v>1982533</v>
      </c>
      <c r="H134" s="24">
        <v>1219429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spans="1:18" ht="15" customHeight="1">
      <c r="A135" s="19"/>
      <c r="B135" s="18" t="s">
        <v>31</v>
      </c>
      <c r="C135" s="38">
        <v>29379448</v>
      </c>
      <c r="D135" s="24">
        <v>17852548</v>
      </c>
      <c r="E135" s="24">
        <v>1758535</v>
      </c>
      <c r="F135" s="24">
        <v>6807526</v>
      </c>
      <c r="G135" s="24">
        <v>1956177</v>
      </c>
      <c r="H135" s="24">
        <v>1004662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1:18" ht="15" customHeight="1">
      <c r="A136" s="19"/>
      <c r="B136" s="18" t="s">
        <v>32</v>
      </c>
      <c r="C136" s="38">
        <v>27223174</v>
      </c>
      <c r="D136" s="24">
        <v>16388501</v>
      </c>
      <c r="E136" s="24">
        <v>1557428</v>
      </c>
      <c r="F136" s="24">
        <v>6530416</v>
      </c>
      <c r="G136" s="24">
        <v>1892209</v>
      </c>
      <c r="H136" s="24">
        <v>854620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1:18" ht="15" customHeight="1">
      <c r="A137" s="19"/>
      <c r="B137" s="18" t="s">
        <v>33</v>
      </c>
      <c r="C137" s="38">
        <v>28563991</v>
      </c>
      <c r="D137" s="24">
        <v>17948021</v>
      </c>
      <c r="E137" s="24">
        <v>1489625</v>
      </c>
      <c r="F137" s="24">
        <v>6503706</v>
      </c>
      <c r="G137" s="24">
        <v>1971017</v>
      </c>
      <c r="H137" s="24">
        <v>651622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1:18" ht="15" customHeight="1">
      <c r="A138" s="19"/>
      <c r="B138" s="18" t="s">
        <v>34</v>
      </c>
      <c r="C138" s="38">
        <v>26675445</v>
      </c>
      <c r="D138" s="24">
        <v>17206857</v>
      </c>
      <c r="E138" s="24">
        <v>1374582</v>
      </c>
      <c r="F138" s="24">
        <v>5738486</v>
      </c>
      <c r="G138" s="24">
        <v>1792426</v>
      </c>
      <c r="H138" s="24">
        <v>563094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1:18" ht="15" customHeight="1">
      <c r="A139" s="18">
        <v>2021</v>
      </c>
      <c r="B139" s="18" t="s">
        <v>23</v>
      </c>
      <c r="C139" s="23">
        <v>27368741</v>
      </c>
      <c r="D139" s="22">
        <v>16335332</v>
      </c>
      <c r="E139" s="22">
        <v>1471109</v>
      </c>
      <c r="F139" s="22">
        <v>6781405</v>
      </c>
      <c r="G139" s="22">
        <v>2199362</v>
      </c>
      <c r="H139" s="22">
        <v>581533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1:18" ht="15" customHeight="1">
      <c r="A140" s="19"/>
      <c r="B140" s="18" t="s">
        <v>24</v>
      </c>
      <c r="C140" s="23">
        <v>27013430</v>
      </c>
      <c r="D140" s="22">
        <v>17958929</v>
      </c>
      <c r="E140" s="22">
        <v>1350190</v>
      </c>
      <c r="F140" s="22">
        <v>5335225</v>
      </c>
      <c r="G140" s="22">
        <v>1717464</v>
      </c>
      <c r="H140" s="22">
        <v>651622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 ht="15" customHeight="1">
      <c r="A141" s="19"/>
      <c r="B141" s="18" t="s">
        <v>25</v>
      </c>
      <c r="C141" s="23">
        <v>29501469</v>
      </c>
      <c r="D141" s="22">
        <v>19292514</v>
      </c>
      <c r="E141" s="22">
        <v>1779729</v>
      </c>
      <c r="F141" s="22">
        <v>6281339</v>
      </c>
      <c r="G141" s="22">
        <v>2114087</v>
      </c>
      <c r="H141" s="22">
        <v>33800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1:18" ht="15" customHeight="1">
      <c r="A142" s="19"/>
      <c r="B142" s="18" t="s">
        <v>26</v>
      </c>
      <c r="C142" s="23">
        <v>29958935</v>
      </c>
      <c r="D142" s="22">
        <v>18454405</v>
      </c>
      <c r="E142" s="22">
        <v>1751909</v>
      </c>
      <c r="F142" s="22">
        <v>6480497</v>
      </c>
      <c r="G142" s="22">
        <v>2267462</v>
      </c>
      <c r="H142" s="22">
        <v>1004662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1:18" ht="15" customHeight="1">
      <c r="A143" s="19"/>
      <c r="B143" s="18" t="s">
        <v>27</v>
      </c>
      <c r="C143" s="23">
        <v>31624495</v>
      </c>
      <c r="D143" s="22">
        <v>19360051</v>
      </c>
      <c r="E143" s="22">
        <v>1966422</v>
      </c>
      <c r="F143" s="22">
        <v>6728999</v>
      </c>
      <c r="G143" s="22">
        <v>2344437</v>
      </c>
      <c r="H143" s="22">
        <v>1224586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1:18" ht="15" customHeight="1">
      <c r="A144" s="19"/>
      <c r="B144" s="18" t="s">
        <v>28</v>
      </c>
      <c r="C144" s="23">
        <v>31696138</v>
      </c>
      <c r="D144" s="22">
        <v>18010573</v>
      </c>
      <c r="E144" s="22">
        <v>2197650</v>
      </c>
      <c r="F144" s="22">
        <v>7556004</v>
      </c>
      <c r="G144" s="22">
        <v>2547800</v>
      </c>
      <c r="H144" s="22">
        <v>1384111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1:18" ht="15" customHeight="1">
      <c r="A145" s="19"/>
      <c r="B145" s="18" t="s">
        <v>29</v>
      </c>
      <c r="C145" s="23">
        <v>33428664</v>
      </c>
      <c r="D145" s="22">
        <v>19203111</v>
      </c>
      <c r="E145" s="22">
        <v>2259576</v>
      </c>
      <c r="F145" s="22">
        <v>7778907</v>
      </c>
      <c r="G145" s="22">
        <v>2785237</v>
      </c>
      <c r="H145" s="22">
        <v>1401833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1:18" ht="15" customHeight="1">
      <c r="A146" s="19"/>
      <c r="B146" s="18" t="s">
        <v>30</v>
      </c>
      <c r="C146" s="23">
        <v>34072813</v>
      </c>
      <c r="D146" s="22">
        <v>20979267</v>
      </c>
      <c r="E146" s="22">
        <v>2024079</v>
      </c>
      <c r="F146" s="22">
        <v>7219720</v>
      </c>
      <c r="G146" s="22">
        <v>2630318</v>
      </c>
      <c r="H146" s="22">
        <v>1219429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1:18" ht="15" customHeight="1">
      <c r="A147" s="19"/>
      <c r="B147" s="18" t="s">
        <v>31</v>
      </c>
      <c r="C147" s="23">
        <v>32804870</v>
      </c>
      <c r="D147" s="22">
        <v>19922421</v>
      </c>
      <c r="E147" s="22">
        <v>1839324</v>
      </c>
      <c r="F147" s="22">
        <v>7222055</v>
      </c>
      <c r="G147" s="22">
        <v>2816408</v>
      </c>
      <c r="H147" s="22">
        <v>1004662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1:18" ht="15" customHeight="1">
      <c r="A148" s="19"/>
      <c r="B148" s="18" t="s">
        <v>32</v>
      </c>
      <c r="C148" s="23">
        <v>31957811</v>
      </c>
      <c r="D148" s="22">
        <v>19701866</v>
      </c>
      <c r="E148" s="22">
        <v>1827322</v>
      </c>
      <c r="F148" s="22">
        <v>6861518</v>
      </c>
      <c r="G148" s="22">
        <v>2712485</v>
      </c>
      <c r="H148" s="22">
        <v>854620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spans="1:18" ht="15" customHeight="1">
      <c r="A149" s="19"/>
      <c r="B149" s="18" t="s">
        <v>33</v>
      </c>
      <c r="C149" s="23">
        <v>31967050</v>
      </c>
      <c r="D149" s="22">
        <v>20515767</v>
      </c>
      <c r="E149" s="22">
        <v>1749285</v>
      </c>
      <c r="F149" s="22">
        <v>6436534</v>
      </c>
      <c r="G149" s="22">
        <v>2613842</v>
      </c>
      <c r="H149" s="22">
        <v>651622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1:18" ht="15" customHeight="1">
      <c r="A150" s="19"/>
      <c r="B150" s="18" t="s">
        <v>34</v>
      </c>
      <c r="C150" s="23">
        <v>28711878</v>
      </c>
      <c r="D150" s="22">
        <v>17184155</v>
      </c>
      <c r="E150" s="22">
        <v>1778624</v>
      </c>
      <c r="F150" s="22">
        <v>6523829</v>
      </c>
      <c r="G150" s="22">
        <v>2661297</v>
      </c>
      <c r="H150" s="22">
        <v>563973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 ht="15" customHeight="1">
      <c r="A151" s="18">
        <v>2022</v>
      </c>
      <c r="B151" s="18" t="s">
        <v>23</v>
      </c>
      <c r="C151" s="43">
        <v>29298415</v>
      </c>
      <c r="D151" s="22">
        <v>17720309</v>
      </c>
      <c r="E151" s="22">
        <v>1787379</v>
      </c>
      <c r="F151" s="22">
        <v>6506348</v>
      </c>
      <c r="G151" s="22">
        <v>2702846</v>
      </c>
      <c r="H151" s="39">
        <v>581533</v>
      </c>
      <c r="I151" s="8"/>
      <c r="J151" s="8"/>
      <c r="K151" s="44"/>
      <c r="L151" s="8"/>
      <c r="M151" s="8"/>
      <c r="N151" s="8"/>
      <c r="O151" s="8"/>
      <c r="P151" s="8"/>
      <c r="Q151" s="8"/>
      <c r="R151" s="8"/>
    </row>
    <row r="152" spans="1:18" ht="15" customHeight="1">
      <c r="A152" s="19"/>
      <c r="B152" s="18" t="s">
        <v>24</v>
      </c>
      <c r="C152" s="43">
        <v>27585010</v>
      </c>
      <c r="D152" s="22">
        <v>17326293</v>
      </c>
      <c r="E152" s="22">
        <v>1576527</v>
      </c>
      <c r="F152" s="22">
        <v>5574346</v>
      </c>
      <c r="G152" s="22">
        <v>2456222</v>
      </c>
      <c r="H152" s="39">
        <v>651622</v>
      </c>
      <c r="I152" s="8"/>
      <c r="J152" s="8"/>
      <c r="K152" s="44"/>
      <c r="L152" s="8"/>
      <c r="M152" s="8"/>
      <c r="N152" s="8"/>
      <c r="O152" s="8"/>
      <c r="P152" s="8"/>
      <c r="Q152" s="8"/>
      <c r="R152" s="8"/>
    </row>
    <row r="153" spans="1:18" ht="15" customHeight="1">
      <c r="A153" s="19"/>
      <c r="B153" s="18" t="s">
        <v>25</v>
      </c>
      <c r="C153" s="43">
        <v>34654718</v>
      </c>
      <c r="D153" s="22">
        <v>22107754</v>
      </c>
      <c r="E153" s="22">
        <v>2153511</v>
      </c>
      <c r="F153" s="22">
        <v>6651325</v>
      </c>
      <c r="G153" s="22">
        <v>2887508</v>
      </c>
      <c r="H153" s="39">
        <v>854620</v>
      </c>
      <c r="I153" s="8"/>
      <c r="J153" s="8"/>
      <c r="K153" s="44"/>
      <c r="L153" s="8"/>
      <c r="M153" s="8"/>
      <c r="N153" s="8"/>
      <c r="O153" s="8"/>
      <c r="P153" s="8"/>
      <c r="Q153" s="8"/>
      <c r="R153" s="8"/>
    </row>
    <row r="154" spans="1:18" ht="15" customHeight="1">
      <c r="A154" s="19"/>
      <c r="B154" s="18" t="s">
        <v>26</v>
      </c>
      <c r="C154" s="43">
        <v>32691741</v>
      </c>
      <c r="D154" s="22">
        <v>19391427</v>
      </c>
      <c r="E154" s="22">
        <v>2130938</v>
      </c>
      <c r="F154" s="22">
        <v>7083587</v>
      </c>
      <c r="G154" s="22">
        <v>3081127</v>
      </c>
      <c r="H154" s="39">
        <v>1004662</v>
      </c>
      <c r="I154" s="8"/>
      <c r="J154" s="8"/>
      <c r="K154" s="44"/>
      <c r="L154" s="8"/>
      <c r="M154" s="8"/>
      <c r="N154" s="8"/>
      <c r="O154" s="8"/>
      <c r="P154" s="8"/>
      <c r="Q154" s="8"/>
      <c r="R154" s="8"/>
    </row>
    <row r="155" spans="1:18" ht="15" customHeight="1">
      <c r="A155" s="19"/>
      <c r="B155" s="18" t="s">
        <v>27</v>
      </c>
      <c r="C155" s="43">
        <v>34269658</v>
      </c>
      <c r="D155" s="22">
        <v>21173837</v>
      </c>
      <c r="E155" s="22">
        <v>2128651</v>
      </c>
      <c r="F155" s="22">
        <v>6816642</v>
      </c>
      <c r="G155" s="22">
        <v>2925942</v>
      </c>
      <c r="H155" s="39">
        <v>1224586</v>
      </c>
      <c r="I155" s="8"/>
      <c r="J155" s="8"/>
      <c r="K155" s="44"/>
      <c r="L155" s="8"/>
      <c r="M155" s="8"/>
      <c r="N155" s="8"/>
      <c r="O155" s="8"/>
      <c r="P155" s="8"/>
      <c r="Q155" s="8"/>
      <c r="R155" s="8"/>
    </row>
    <row r="156" spans="1:18" ht="15" customHeight="1">
      <c r="A156" s="19"/>
      <c r="B156" s="18" t="s">
        <v>35</v>
      </c>
      <c r="C156" s="43">
        <v>35198999</v>
      </c>
      <c r="D156" s="39">
        <v>19822519</v>
      </c>
      <c r="E156" s="39">
        <v>2329072</v>
      </c>
      <c r="F156" s="39">
        <v>8314098</v>
      </c>
      <c r="G156" s="39">
        <v>3349199</v>
      </c>
      <c r="H156" s="39">
        <v>1384111</v>
      </c>
      <c r="I156" s="8"/>
      <c r="J156" s="8"/>
      <c r="K156" s="44"/>
      <c r="L156" s="8"/>
      <c r="M156" s="8"/>
      <c r="N156" s="8"/>
      <c r="O156" s="8"/>
      <c r="P156" s="8"/>
      <c r="Q156" s="8"/>
      <c r="R156" s="8"/>
    </row>
    <row r="157" spans="1:18" ht="15" customHeight="1">
      <c r="A157" s="19"/>
      <c r="B157" s="18" t="s">
        <v>29</v>
      </c>
      <c r="C157" s="43">
        <v>32129283</v>
      </c>
      <c r="D157" s="39">
        <v>18392924</v>
      </c>
      <c r="E157" s="39">
        <v>2054236</v>
      </c>
      <c r="F157" s="39">
        <v>7267468</v>
      </c>
      <c r="G157" s="39">
        <v>3012822</v>
      </c>
      <c r="H157" s="39">
        <v>1401833</v>
      </c>
      <c r="I157" s="8"/>
      <c r="J157" s="8"/>
      <c r="K157" s="44"/>
      <c r="L157" s="8"/>
      <c r="M157" s="8"/>
      <c r="N157" s="8"/>
      <c r="O157" s="8"/>
      <c r="P157" s="8"/>
      <c r="Q157" s="8"/>
      <c r="R157" s="8"/>
    </row>
    <row r="158" spans="1:18" ht="15" customHeight="1">
      <c r="A158" s="19"/>
      <c r="B158" s="18" t="s">
        <v>30</v>
      </c>
      <c r="C158" s="43">
        <v>36995762</v>
      </c>
      <c r="D158" s="39">
        <v>22186986</v>
      </c>
      <c r="E158" s="39">
        <v>2139733</v>
      </c>
      <c r="F158" s="39">
        <v>8191319</v>
      </c>
      <c r="G158" s="39">
        <v>3244512</v>
      </c>
      <c r="H158" s="39">
        <v>1233212</v>
      </c>
      <c r="I158" s="8"/>
      <c r="J158" s="8"/>
      <c r="K158" s="44"/>
      <c r="L158" s="8"/>
      <c r="M158" s="8"/>
      <c r="N158" s="8"/>
      <c r="O158" s="8"/>
      <c r="P158" s="8"/>
      <c r="Q158" s="8"/>
      <c r="R158" s="8"/>
    </row>
    <row r="159" spans="1:18" ht="15" customHeight="1">
      <c r="A159" s="19"/>
      <c r="B159" s="18" t="s">
        <v>31</v>
      </c>
      <c r="C159" s="43">
        <v>31243295</v>
      </c>
      <c r="D159" s="39">
        <v>17763873</v>
      </c>
      <c r="E159" s="39">
        <v>1948881</v>
      </c>
      <c r="F159" s="39">
        <v>7551143</v>
      </c>
      <c r="G159" s="39">
        <v>2963450</v>
      </c>
      <c r="H159" s="39">
        <v>1015948</v>
      </c>
      <c r="I159" s="8"/>
      <c r="J159" s="8"/>
      <c r="K159" s="44"/>
      <c r="L159" s="8"/>
      <c r="M159" s="8"/>
      <c r="N159" s="8"/>
      <c r="O159" s="8"/>
      <c r="P159" s="8"/>
      <c r="Q159" s="8"/>
      <c r="R159" s="8"/>
    </row>
    <row r="160" spans="1:18" ht="15" customHeight="1">
      <c r="A160" s="19"/>
      <c r="B160" s="18" t="s">
        <v>32</v>
      </c>
      <c r="C160" s="43">
        <v>29419069</v>
      </c>
      <c r="D160" s="39">
        <v>17701132</v>
      </c>
      <c r="E160" s="39">
        <v>1615629</v>
      </c>
      <c r="F160" s="39">
        <v>6657942</v>
      </c>
      <c r="G160" s="39">
        <v>2580204</v>
      </c>
      <c r="H160" s="39">
        <v>864162</v>
      </c>
      <c r="I160" s="8"/>
      <c r="J160" s="8"/>
      <c r="K160" s="44"/>
      <c r="L160" s="8"/>
      <c r="M160" s="8"/>
      <c r="N160" s="8"/>
      <c r="O160" s="8"/>
      <c r="P160" s="8"/>
      <c r="Q160" s="8"/>
      <c r="R160" s="8"/>
    </row>
    <row r="161" spans="1:18" ht="15" customHeight="1">
      <c r="A161" s="19"/>
      <c r="B161" s="18" t="s">
        <v>33</v>
      </c>
      <c r="C161" s="43">
        <v>29890419</v>
      </c>
      <c r="D161" s="39">
        <v>18718171</v>
      </c>
      <c r="E161" s="39">
        <v>1688307</v>
      </c>
      <c r="F161" s="39">
        <v>6342447</v>
      </c>
      <c r="G161" s="39">
        <v>2448890</v>
      </c>
      <c r="H161" s="39">
        <v>692604</v>
      </c>
      <c r="I161" s="8"/>
      <c r="J161" s="8"/>
      <c r="K161" s="44"/>
      <c r="L161" s="8"/>
      <c r="M161" s="8"/>
      <c r="N161" s="8"/>
      <c r="O161" s="8"/>
      <c r="P161" s="8"/>
      <c r="Q161" s="8"/>
      <c r="R161" s="8"/>
    </row>
    <row r="162" spans="1:18" ht="15" customHeight="1">
      <c r="A162" s="19"/>
      <c r="B162" s="18" t="s">
        <v>34</v>
      </c>
      <c r="C162" s="43">
        <v>25837746</v>
      </c>
      <c r="D162" s="39">
        <v>14097119</v>
      </c>
      <c r="E162" s="39">
        <v>1639905</v>
      </c>
      <c r="F162" s="39">
        <v>6950301</v>
      </c>
      <c r="G162" s="39">
        <v>2578500</v>
      </c>
      <c r="H162" s="39">
        <v>571921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1:18" ht="15" customHeight="1">
      <c r="A163" s="18">
        <v>2023</v>
      </c>
      <c r="B163" s="18" t="s">
        <v>23</v>
      </c>
      <c r="C163" s="43">
        <v>25364414</v>
      </c>
      <c r="D163" s="39">
        <v>15046242</v>
      </c>
      <c r="E163" s="39">
        <v>1485735</v>
      </c>
      <c r="F163" s="39">
        <v>5969535</v>
      </c>
      <c r="G163" s="39">
        <v>2273152</v>
      </c>
      <c r="H163" s="39">
        <v>589750</v>
      </c>
      <c r="I163" s="22"/>
      <c r="J163" s="24"/>
      <c r="K163" s="8"/>
      <c r="L163" s="8"/>
      <c r="M163" s="8"/>
      <c r="N163" s="8"/>
      <c r="O163" s="8"/>
      <c r="P163" s="8"/>
      <c r="Q163" s="8"/>
      <c r="R163" s="8"/>
    </row>
    <row r="164" spans="1:18" ht="15" customHeight="1">
      <c r="A164" s="19"/>
      <c r="B164" s="18" t="s">
        <v>24</v>
      </c>
      <c r="C164" s="43">
        <v>26639787</v>
      </c>
      <c r="D164" s="39">
        <v>16142978</v>
      </c>
      <c r="E164" s="39">
        <v>1807334</v>
      </c>
      <c r="F164" s="39">
        <v>5801564</v>
      </c>
      <c r="G164" s="39">
        <v>2227013</v>
      </c>
      <c r="H164" s="39">
        <v>660898</v>
      </c>
      <c r="I164" s="22"/>
      <c r="J164" s="24"/>
      <c r="K164" s="8"/>
      <c r="L164" s="8"/>
      <c r="M164" s="8"/>
      <c r="N164" s="8"/>
      <c r="O164" s="8"/>
      <c r="P164" s="8"/>
      <c r="Q164" s="8"/>
      <c r="R164" s="8"/>
    </row>
    <row r="165" spans="1:18" ht="15" customHeight="1">
      <c r="A165" s="19"/>
      <c r="B165" s="18" t="s">
        <v>25</v>
      </c>
      <c r="C165" s="43">
        <v>26874441</v>
      </c>
      <c r="D165" s="39">
        <v>16483467</v>
      </c>
      <c r="E165" s="39">
        <v>1627604</v>
      </c>
      <c r="F165" s="39">
        <v>5738456</v>
      </c>
      <c r="G165" s="39">
        <v>2154457</v>
      </c>
      <c r="H165" s="39">
        <v>870457</v>
      </c>
      <c r="I165" s="22"/>
      <c r="J165" s="24"/>
      <c r="K165" s="8"/>
      <c r="L165" s="8"/>
      <c r="M165" s="8"/>
      <c r="N165" s="8"/>
      <c r="O165" s="8"/>
      <c r="P165" s="8"/>
      <c r="Q165" s="8"/>
      <c r="R165" s="8"/>
    </row>
    <row r="166" spans="1:18" ht="15" customHeight="1">
      <c r="A166" s="19"/>
      <c r="B166" s="18" t="s">
        <v>26</v>
      </c>
      <c r="C166" s="43">
        <v>27007954</v>
      </c>
      <c r="D166" s="39">
        <v>14942155</v>
      </c>
      <c r="E166" s="39">
        <v>1578412</v>
      </c>
      <c r="F166" s="39">
        <v>6760574</v>
      </c>
      <c r="G166" s="39">
        <v>2703419</v>
      </c>
      <c r="H166" s="39">
        <v>1023394</v>
      </c>
      <c r="I166" s="22"/>
      <c r="J166" s="24"/>
      <c r="K166" s="8"/>
      <c r="L166" s="8"/>
      <c r="M166" s="8"/>
      <c r="N166" s="8"/>
      <c r="O166" s="8"/>
      <c r="P166" s="8"/>
      <c r="Q166" s="8"/>
      <c r="R166" s="8"/>
    </row>
    <row r="167" spans="1:18" ht="15" customHeight="1">
      <c r="A167" s="8"/>
      <c r="B167" s="18" t="s">
        <v>27</v>
      </c>
      <c r="C167" s="43">
        <v>29858909</v>
      </c>
      <c r="D167" s="39">
        <v>16908134</v>
      </c>
      <c r="E167" s="39">
        <v>1746626</v>
      </c>
      <c r="F167" s="39">
        <v>7271992</v>
      </c>
      <c r="G167" s="39">
        <v>2684596</v>
      </c>
      <c r="H167" s="39">
        <v>1247561</v>
      </c>
      <c r="I167" s="22"/>
      <c r="J167" s="24"/>
      <c r="K167" s="8"/>
      <c r="L167" s="8"/>
      <c r="M167" s="8"/>
      <c r="N167" s="8"/>
      <c r="O167" s="8"/>
      <c r="P167" s="8"/>
      <c r="Q167" s="8"/>
      <c r="R167" s="8"/>
    </row>
    <row r="168" spans="1:18" ht="15" customHeight="1">
      <c r="A168" s="8"/>
      <c r="B168" s="18" t="s">
        <v>28</v>
      </c>
      <c r="C168" s="43">
        <v>29460651</v>
      </c>
      <c r="D168" s="39">
        <v>15991977</v>
      </c>
      <c r="E168" s="39">
        <v>1689395</v>
      </c>
      <c r="F168" s="39">
        <v>7575454</v>
      </c>
      <c r="G168" s="39">
        <v>2793661</v>
      </c>
      <c r="H168" s="39">
        <v>1410164</v>
      </c>
      <c r="I168" s="22"/>
      <c r="J168" s="24"/>
      <c r="K168" s="8"/>
      <c r="L168" s="8"/>
      <c r="M168" s="8"/>
      <c r="N168" s="8"/>
      <c r="O168" s="8"/>
      <c r="P168" s="8"/>
      <c r="Q168" s="8"/>
      <c r="R168" s="8"/>
    </row>
    <row r="169" spans="1:18" ht="15" customHeight="1">
      <c r="A169" s="8"/>
      <c r="B169" s="18" t="s">
        <v>29</v>
      </c>
      <c r="C169" s="43">
        <v>30341855</v>
      </c>
      <c r="D169" s="39">
        <v>16834760</v>
      </c>
      <c r="E169" s="39">
        <v>1525503</v>
      </c>
      <c r="F169" s="39">
        <v>7709328</v>
      </c>
      <c r="G169" s="39">
        <v>2844036</v>
      </c>
      <c r="H169" s="39">
        <v>1428228</v>
      </c>
      <c r="I169" s="22"/>
      <c r="J169" s="24"/>
      <c r="K169" s="8"/>
      <c r="L169" s="8"/>
      <c r="M169" s="8"/>
      <c r="N169" s="8"/>
      <c r="O169" s="8"/>
      <c r="P169" s="8"/>
      <c r="Q169" s="8"/>
      <c r="R169" s="8"/>
    </row>
    <row r="170" spans="1:18" ht="15" customHeight="1">
      <c r="A170" s="1"/>
      <c r="B170" s="45" t="s">
        <v>30</v>
      </c>
      <c r="C170" s="46">
        <v>32528549</v>
      </c>
      <c r="D170" s="47">
        <v>19516514</v>
      </c>
      <c r="E170" s="47">
        <v>1577690</v>
      </c>
      <c r="F170" s="47">
        <v>7465767</v>
      </c>
      <c r="G170" s="47">
        <v>2726274</v>
      </c>
      <c r="H170" s="47">
        <v>1242304</v>
      </c>
      <c r="I170" s="22"/>
      <c r="J170" s="24"/>
      <c r="K170" s="8"/>
      <c r="L170" s="8"/>
      <c r="M170" s="8"/>
      <c r="N170" s="8"/>
      <c r="O170" s="8"/>
      <c r="P170" s="8"/>
      <c r="Q170" s="8"/>
      <c r="R170" s="8"/>
    </row>
    <row r="171" spans="1:18" ht="15" customHeight="1">
      <c r="A171" s="1"/>
      <c r="B171" s="48" t="s">
        <v>31</v>
      </c>
      <c r="C171" s="49">
        <v>30738343</v>
      </c>
      <c r="D171" s="50">
        <v>17939658</v>
      </c>
      <c r="E171" s="50">
        <v>1409176</v>
      </c>
      <c r="F171" s="50">
        <v>7496578</v>
      </c>
      <c r="G171" s="50">
        <v>2869537</v>
      </c>
      <c r="H171" s="50">
        <v>1023394</v>
      </c>
      <c r="I171" s="22"/>
      <c r="J171" s="24"/>
      <c r="K171" s="8"/>
      <c r="L171" s="8"/>
      <c r="M171" s="8"/>
      <c r="N171" s="8"/>
      <c r="O171" s="8"/>
      <c r="P171" s="8"/>
      <c r="Q171" s="8"/>
      <c r="R171" s="8"/>
    </row>
    <row r="172" spans="1:18" ht="15" customHeight="1">
      <c r="A172" s="1"/>
      <c r="B172" s="48" t="s">
        <v>32</v>
      </c>
      <c r="C172" s="49">
        <v>31854431</v>
      </c>
      <c r="D172" s="50">
        <v>19563135</v>
      </c>
      <c r="E172" s="50">
        <v>1353995</v>
      </c>
      <c r="F172" s="50">
        <v>7350984</v>
      </c>
      <c r="G172" s="50">
        <v>2715860</v>
      </c>
      <c r="H172" s="50">
        <v>870457</v>
      </c>
      <c r="I172" s="22"/>
      <c r="J172" s="24"/>
      <c r="K172" s="8"/>
      <c r="L172" s="8"/>
      <c r="M172" s="8"/>
      <c r="N172" s="8"/>
      <c r="O172" s="8"/>
      <c r="P172" s="8"/>
      <c r="Q172" s="8"/>
      <c r="R172" s="8"/>
    </row>
    <row r="173" spans="1:18" ht="15" customHeight="1">
      <c r="A173" s="1"/>
      <c r="B173" s="48" t="s">
        <v>33</v>
      </c>
      <c r="C173" s="49">
        <v>29786431</v>
      </c>
      <c r="D173" s="50">
        <v>18637464</v>
      </c>
      <c r="E173" s="50">
        <v>1263454</v>
      </c>
      <c r="F173" s="50">
        <v>6697465</v>
      </c>
      <c r="G173" s="50">
        <v>2524506</v>
      </c>
      <c r="H173" s="50">
        <v>663542</v>
      </c>
      <c r="I173" s="22"/>
      <c r="J173" s="24"/>
      <c r="K173" s="8"/>
      <c r="L173" s="8"/>
      <c r="M173" s="8"/>
      <c r="N173" s="8"/>
      <c r="O173" s="8"/>
      <c r="P173" s="8"/>
      <c r="Q173" s="8"/>
      <c r="R173" s="8"/>
    </row>
    <row r="174" spans="1:18" ht="15" customHeight="1">
      <c r="A174" s="48"/>
      <c r="B174" s="48" t="s">
        <v>34</v>
      </c>
      <c r="C174" s="49">
        <v>27433304</v>
      </c>
      <c r="D174" s="50">
        <v>16710587</v>
      </c>
      <c r="E174" s="50">
        <v>1198493</v>
      </c>
      <c r="F174" s="50">
        <v>6497838</v>
      </c>
      <c r="G174" s="50">
        <v>2452135</v>
      </c>
      <c r="H174" s="50">
        <v>574251</v>
      </c>
      <c r="I174" s="22"/>
      <c r="J174" s="24"/>
      <c r="K174" s="8"/>
      <c r="L174" s="8"/>
      <c r="M174" s="8"/>
      <c r="N174" s="8"/>
      <c r="O174" s="8"/>
      <c r="P174" s="8"/>
      <c r="Q174" s="8"/>
      <c r="R174" s="8"/>
    </row>
    <row r="175" spans="1:18" ht="15" customHeight="1">
      <c r="A175" s="48">
        <v>2024</v>
      </c>
      <c r="B175" s="48" t="s">
        <v>23</v>
      </c>
      <c r="C175" s="49">
        <v>27446477</v>
      </c>
      <c r="D175" s="50">
        <v>17036999</v>
      </c>
      <c r="E175" s="50">
        <v>1073769</v>
      </c>
      <c r="F175" s="50">
        <v>6408281</v>
      </c>
      <c r="G175" s="50">
        <v>2334832</v>
      </c>
      <c r="H175" s="50">
        <v>592596</v>
      </c>
      <c r="I175" s="22"/>
      <c r="J175" s="24"/>
      <c r="K175" s="8"/>
      <c r="L175" s="8"/>
      <c r="M175" s="8"/>
      <c r="N175" s="8"/>
      <c r="O175" s="8"/>
      <c r="P175" s="8"/>
      <c r="Q175" s="8"/>
      <c r="R175" s="8"/>
    </row>
    <row r="176" spans="1:18" ht="15" customHeight="1">
      <c r="A176" s="48"/>
      <c r="B176" s="48" t="s">
        <v>24</v>
      </c>
      <c r="C176" s="49">
        <v>27668668</v>
      </c>
      <c r="D176" s="50">
        <v>17583531</v>
      </c>
      <c r="E176" s="50">
        <v>1044547</v>
      </c>
      <c r="F176" s="50">
        <v>6347330</v>
      </c>
      <c r="G176" s="50">
        <v>2029718</v>
      </c>
      <c r="H176" s="50">
        <v>663542</v>
      </c>
      <c r="I176" s="22"/>
      <c r="J176" s="24"/>
      <c r="K176" s="8"/>
      <c r="L176" s="8"/>
      <c r="M176" s="8"/>
      <c r="N176" s="8"/>
      <c r="O176" s="8"/>
      <c r="P176" s="8"/>
      <c r="Q176" s="8"/>
      <c r="R176" s="8"/>
    </row>
    <row r="177" spans="1:27" ht="15" customHeight="1">
      <c r="A177" s="48"/>
      <c r="B177" s="48" t="s">
        <v>25</v>
      </c>
      <c r="C177" s="49">
        <v>28981175</v>
      </c>
      <c r="D177" s="50">
        <v>18212044</v>
      </c>
      <c r="E177" s="50">
        <v>1191401</v>
      </c>
      <c r="F177" s="50">
        <v>6279186</v>
      </c>
      <c r="G177" s="50">
        <v>2422786</v>
      </c>
      <c r="H177" s="50">
        <v>875758</v>
      </c>
      <c r="I177" s="22"/>
      <c r="J177" s="24"/>
      <c r="K177" s="8"/>
      <c r="L177" s="8"/>
      <c r="M177" s="8"/>
      <c r="N177" s="8"/>
      <c r="O177" s="8"/>
      <c r="P177" s="8"/>
      <c r="Q177" s="8"/>
      <c r="R177" s="8"/>
    </row>
    <row r="178" spans="1:27" ht="15" customHeight="1">
      <c r="A178" s="48"/>
      <c r="B178" s="48" t="s">
        <v>26</v>
      </c>
      <c r="C178" s="49">
        <v>29643241</v>
      </c>
      <c r="D178" s="50">
        <v>17965146</v>
      </c>
      <c r="E178" s="50">
        <v>1333588</v>
      </c>
      <c r="F178" s="50">
        <v>6838379</v>
      </c>
      <c r="G178" s="50">
        <v>2476464</v>
      </c>
      <c r="H178" s="50">
        <v>1029664</v>
      </c>
      <c r="I178" s="22"/>
      <c r="J178" s="24"/>
      <c r="K178" s="8"/>
      <c r="L178" s="8"/>
      <c r="M178" s="8"/>
      <c r="N178" s="8"/>
      <c r="O178" s="8"/>
      <c r="P178" s="8"/>
      <c r="Q178" s="8"/>
      <c r="R178" s="8"/>
    </row>
    <row r="179" spans="1:27" ht="15" customHeight="1">
      <c r="A179" s="1"/>
      <c r="B179" s="48" t="s">
        <v>27</v>
      </c>
      <c r="C179" s="49">
        <v>26278874</v>
      </c>
      <c r="D179" s="50">
        <v>14473650</v>
      </c>
      <c r="E179" s="50">
        <v>1284129</v>
      </c>
      <c r="F179" s="50">
        <v>6774577</v>
      </c>
      <c r="G179" s="50">
        <v>2488267</v>
      </c>
      <c r="H179" s="50">
        <v>1258251</v>
      </c>
      <c r="I179" s="22"/>
      <c r="J179" s="24"/>
      <c r="K179" s="8"/>
      <c r="L179" s="8"/>
      <c r="M179" s="8"/>
      <c r="N179" s="8"/>
      <c r="O179" s="8"/>
      <c r="P179" s="8"/>
      <c r="Q179" s="8"/>
      <c r="R179" s="8"/>
    </row>
    <row r="180" spans="1:27" ht="15" customHeight="1">
      <c r="A180" s="1"/>
      <c r="B180" s="48" t="s">
        <v>28</v>
      </c>
      <c r="C180" s="49">
        <v>28313066</v>
      </c>
      <c r="D180" s="50">
        <v>16421651</v>
      </c>
      <c r="E180" s="50">
        <v>1266593</v>
      </c>
      <c r="F180" s="50">
        <v>6768832</v>
      </c>
      <c r="G180" s="50">
        <v>2437106</v>
      </c>
      <c r="H180" s="50">
        <v>1418884</v>
      </c>
      <c r="I180" s="22"/>
      <c r="J180" s="24"/>
      <c r="K180" s="8"/>
      <c r="L180" s="8"/>
      <c r="M180" s="8"/>
      <c r="N180" s="8"/>
      <c r="O180" s="8"/>
      <c r="P180" s="8"/>
      <c r="Q180" s="8"/>
      <c r="R180" s="8"/>
    </row>
    <row r="181" spans="1:27" ht="15" customHeight="1">
      <c r="A181" s="1"/>
      <c r="B181" s="48" t="s">
        <v>29</v>
      </c>
      <c r="C181" s="49">
        <v>31187668</v>
      </c>
      <c r="D181" s="50">
        <v>17149268</v>
      </c>
      <c r="E181" s="50">
        <v>1357304</v>
      </c>
      <c r="F181" s="50">
        <v>8443891</v>
      </c>
      <c r="G181" s="50">
        <v>2800142</v>
      </c>
      <c r="H181" s="50">
        <v>1437063</v>
      </c>
      <c r="I181" s="22"/>
      <c r="J181" s="24"/>
      <c r="K181" s="8"/>
      <c r="L181" s="8"/>
      <c r="M181" s="8"/>
      <c r="N181" s="8"/>
      <c r="O181" s="8"/>
      <c r="P181" s="8"/>
      <c r="Q181" s="8"/>
      <c r="R181" s="8"/>
    </row>
    <row r="182" spans="1:27" ht="15" customHeight="1">
      <c r="A182" s="1"/>
      <c r="B182" s="48" t="s">
        <v>30</v>
      </c>
      <c r="C182" s="49">
        <v>28532325</v>
      </c>
      <c r="D182" s="24">
        <v>16169637</v>
      </c>
      <c r="E182" s="24">
        <v>1207601</v>
      </c>
      <c r="F182" s="24">
        <v>7344765</v>
      </c>
      <c r="G182" s="24">
        <v>2560361</v>
      </c>
      <c r="H182" s="24">
        <v>1249961</v>
      </c>
      <c r="I182" s="22"/>
      <c r="J182" s="24"/>
      <c r="K182" s="8"/>
      <c r="L182" s="8"/>
      <c r="M182" s="8"/>
      <c r="N182" s="8"/>
      <c r="O182" s="8"/>
      <c r="P182" s="8"/>
      <c r="Q182" s="8"/>
      <c r="R182" s="8"/>
    </row>
    <row r="183" spans="1:27" ht="15" customHeight="1">
      <c r="A183" s="1"/>
      <c r="B183" s="48" t="s">
        <v>31</v>
      </c>
      <c r="C183" s="49">
        <v>28240035</v>
      </c>
      <c r="D183" s="24">
        <v>16825250</v>
      </c>
      <c r="E183" s="24">
        <v>1195312</v>
      </c>
      <c r="F183" s="24">
        <v>6743580</v>
      </c>
      <c r="G183" s="24">
        <v>2446229</v>
      </c>
      <c r="H183" s="24">
        <v>1029664</v>
      </c>
      <c r="I183" s="22"/>
      <c r="J183" s="24"/>
      <c r="K183" s="8"/>
      <c r="L183" s="8"/>
      <c r="M183" s="8"/>
      <c r="N183" s="8"/>
      <c r="O183" s="8"/>
      <c r="P183" s="8"/>
      <c r="Q183" s="8"/>
      <c r="R183" s="8"/>
      <c r="U183" s="102"/>
    </row>
    <row r="184" spans="1:27" ht="15" customHeight="1">
      <c r="A184" s="1"/>
      <c r="B184" s="48" t="s">
        <v>32</v>
      </c>
      <c r="C184" s="49">
        <v>29116433</v>
      </c>
      <c r="D184" s="24">
        <v>17557508</v>
      </c>
      <c r="E184" s="24">
        <v>1220330</v>
      </c>
      <c r="F184" s="24">
        <v>6974628</v>
      </c>
      <c r="G184" s="24">
        <v>2488209</v>
      </c>
      <c r="H184" s="24">
        <v>875758</v>
      </c>
      <c r="I184" s="22"/>
      <c r="J184" s="24"/>
      <c r="K184" s="8"/>
      <c r="L184" s="8"/>
      <c r="M184" s="8"/>
      <c r="N184" s="8"/>
      <c r="O184" s="8"/>
      <c r="P184" s="8"/>
      <c r="Q184" s="8"/>
      <c r="R184" s="8"/>
      <c r="U184" s="102"/>
    </row>
    <row r="185" spans="1:27" ht="15" customHeight="1">
      <c r="A185" s="1"/>
      <c r="B185" s="48" t="s">
        <v>33</v>
      </c>
      <c r="C185" s="49">
        <v>27326063</v>
      </c>
      <c r="D185" s="24">
        <v>16436629</v>
      </c>
      <c r="E185" s="24">
        <v>1154139</v>
      </c>
      <c r="F185" s="24">
        <v>6663076</v>
      </c>
      <c r="G185" s="24">
        <v>2404687</v>
      </c>
      <c r="H185" s="24">
        <v>667532</v>
      </c>
      <c r="I185" s="22"/>
      <c r="J185" s="24"/>
      <c r="K185" s="8"/>
      <c r="L185" s="8"/>
      <c r="M185" s="8"/>
      <c r="N185" s="8"/>
      <c r="O185" s="8"/>
      <c r="P185" s="8"/>
      <c r="Q185" s="8"/>
      <c r="R185" s="8"/>
      <c r="U185" s="102"/>
    </row>
    <row r="186" spans="1:27" ht="15" customHeight="1">
      <c r="A186" s="1"/>
      <c r="B186" s="48" t="s">
        <v>34</v>
      </c>
      <c r="C186" s="49">
        <v>24768527</v>
      </c>
      <c r="D186" s="24">
        <v>14815859</v>
      </c>
      <c r="E186" s="24">
        <v>1035237</v>
      </c>
      <c r="F186" s="24">
        <v>6151740</v>
      </c>
      <c r="G186" s="24">
        <v>2187617</v>
      </c>
      <c r="H186" s="24">
        <v>578074</v>
      </c>
      <c r="I186" s="22"/>
      <c r="J186" s="24"/>
      <c r="K186" s="8"/>
      <c r="L186" s="8"/>
      <c r="M186" s="8"/>
      <c r="N186" s="8"/>
      <c r="O186" s="8"/>
      <c r="P186" s="8"/>
      <c r="Q186" s="8"/>
      <c r="R186" s="8"/>
      <c r="U186" s="102"/>
    </row>
    <row r="187" spans="1:27" s="93" customFormat="1" ht="15" customHeight="1">
      <c r="A187" s="88">
        <v>2025</v>
      </c>
      <c r="B187" s="88" t="s">
        <v>23</v>
      </c>
      <c r="C187" s="98">
        <v>25939930</v>
      </c>
      <c r="D187" s="99">
        <v>14914928</v>
      </c>
      <c r="E187" s="99">
        <v>1051799</v>
      </c>
      <c r="F187" s="99">
        <v>6917217</v>
      </c>
      <c r="G187" s="99">
        <v>2459531</v>
      </c>
      <c r="H187" s="99">
        <v>596455</v>
      </c>
      <c r="I187" s="89"/>
      <c r="J187" s="90"/>
      <c r="K187" s="91"/>
      <c r="L187" s="91"/>
      <c r="M187" s="91"/>
      <c r="N187" s="91"/>
      <c r="O187" s="90"/>
      <c r="P187" s="90"/>
      <c r="Q187" s="90"/>
      <c r="R187" s="90"/>
      <c r="S187" s="90"/>
      <c r="T187" s="91"/>
      <c r="U187" s="91"/>
      <c r="V187" s="92"/>
      <c r="W187" s="92"/>
      <c r="X187" s="92"/>
      <c r="Y187" s="92"/>
      <c r="Z187" s="92"/>
      <c r="AA187" s="92"/>
    </row>
    <row r="188" spans="1:27" ht="15" customHeight="1">
      <c r="A188" s="1"/>
      <c r="B188" s="48" t="s">
        <v>24</v>
      </c>
      <c r="C188" s="100">
        <f t="shared" ref="C188:C191" si="0">D188+E188+F188+G188+H188</f>
        <v>23909206</v>
      </c>
      <c r="D188" s="67">
        <v>14729603</v>
      </c>
      <c r="E188" s="73">
        <v>915909</v>
      </c>
      <c r="F188" s="67">
        <v>5543721</v>
      </c>
      <c r="G188" s="67">
        <v>2052441</v>
      </c>
      <c r="H188" s="66">
        <v>667532</v>
      </c>
      <c r="I188" s="72"/>
      <c r="J188" s="65"/>
      <c r="K188" s="64"/>
      <c r="L188" s="64"/>
      <c r="M188" s="64"/>
      <c r="N188" s="64"/>
      <c r="O188" s="90"/>
      <c r="P188" s="90"/>
      <c r="Q188" s="90"/>
      <c r="R188" s="90"/>
      <c r="S188" s="90"/>
      <c r="T188" s="91"/>
      <c r="U188" s="91"/>
    </row>
    <row r="189" spans="1:27" ht="15" customHeight="1">
      <c r="A189" s="1"/>
      <c r="B189" s="48" t="s">
        <v>25</v>
      </c>
      <c r="C189" s="100">
        <f t="shared" si="0"/>
        <v>25800806</v>
      </c>
      <c r="D189" s="67">
        <v>15495261</v>
      </c>
      <c r="E189" s="73">
        <v>1132602</v>
      </c>
      <c r="F189" s="67">
        <v>6108557</v>
      </c>
      <c r="G189" s="67">
        <v>2188628</v>
      </c>
      <c r="H189" s="66">
        <v>875758</v>
      </c>
      <c r="I189" s="72"/>
      <c r="J189" s="65"/>
      <c r="K189" s="64"/>
      <c r="L189" s="64"/>
      <c r="M189" s="64"/>
      <c r="N189" s="64"/>
      <c r="O189" s="90"/>
      <c r="P189" s="90"/>
      <c r="Q189" s="90"/>
      <c r="R189" s="90"/>
      <c r="S189" s="90"/>
      <c r="T189" s="91"/>
      <c r="U189" s="91"/>
    </row>
    <row r="190" spans="1:27" ht="15" customHeight="1">
      <c r="A190" s="68"/>
      <c r="B190" s="69" t="s">
        <v>26</v>
      </c>
      <c r="C190" s="100">
        <v>29376293</v>
      </c>
      <c r="D190" s="101">
        <v>17516514</v>
      </c>
      <c r="E190" s="101">
        <v>2130120</v>
      </c>
      <c r="F190" s="101">
        <v>6428494</v>
      </c>
      <c r="G190" s="101">
        <v>2271501</v>
      </c>
      <c r="H190" s="101">
        <v>1029664</v>
      </c>
      <c r="I190" s="49"/>
      <c r="J190" s="65"/>
      <c r="K190" s="49"/>
      <c r="L190" s="49"/>
      <c r="M190" s="49"/>
      <c r="N190" s="64"/>
      <c r="O190" s="90"/>
      <c r="P190" s="90"/>
      <c r="Q190" s="90"/>
      <c r="R190" s="90"/>
      <c r="S190" s="90"/>
      <c r="T190" s="91"/>
      <c r="U190" s="91"/>
      <c r="V190" s="71"/>
      <c r="W190" s="71"/>
      <c r="X190" s="71"/>
      <c r="Y190" s="71"/>
      <c r="Z190" s="71"/>
      <c r="AA190" s="71"/>
    </row>
    <row r="191" spans="1:27" ht="15" customHeight="1">
      <c r="A191" s="68"/>
      <c r="B191" s="48" t="s">
        <v>27</v>
      </c>
      <c r="C191" s="46">
        <f t="shared" si="0"/>
        <v>27815666</v>
      </c>
      <c r="D191" s="74">
        <v>15878448</v>
      </c>
      <c r="E191" s="73">
        <v>1297070</v>
      </c>
      <c r="F191" s="67">
        <v>6917717</v>
      </c>
      <c r="G191" s="67">
        <v>2467180</v>
      </c>
      <c r="H191" s="73">
        <v>1255251</v>
      </c>
      <c r="I191" s="72"/>
      <c r="J191" s="65"/>
      <c r="K191" s="64"/>
      <c r="L191" s="64"/>
      <c r="M191" s="64"/>
      <c r="N191" s="64"/>
      <c r="O191" s="90"/>
      <c r="P191" s="90"/>
      <c r="Q191" s="90"/>
      <c r="R191" s="90"/>
      <c r="S191" s="90"/>
      <c r="T191" s="91"/>
      <c r="U191" s="91"/>
      <c r="V191" s="71"/>
      <c r="W191" s="71"/>
      <c r="X191" s="71"/>
      <c r="Y191" s="71"/>
      <c r="Z191" s="71"/>
      <c r="AA191" s="71"/>
    </row>
    <row r="192" spans="1:27" ht="15" customHeight="1">
      <c r="A192" s="68"/>
      <c r="B192" s="48" t="s">
        <v>28</v>
      </c>
      <c r="C192" s="46">
        <v>27802141</v>
      </c>
      <c r="D192" s="74">
        <v>16026049</v>
      </c>
      <c r="E192" s="73">
        <v>1272637</v>
      </c>
      <c r="F192" s="67">
        <v>6704825</v>
      </c>
      <c r="G192" s="67">
        <v>2372006</v>
      </c>
      <c r="H192" s="73">
        <v>1426624</v>
      </c>
      <c r="I192" s="72"/>
      <c r="J192" s="65"/>
      <c r="K192" s="64"/>
      <c r="L192" s="64"/>
      <c r="M192" s="64"/>
      <c r="N192" s="64"/>
      <c r="O192" s="90"/>
      <c r="P192" s="90"/>
      <c r="Q192" s="90"/>
      <c r="R192" s="90"/>
      <c r="S192" s="90"/>
      <c r="T192" s="91"/>
      <c r="U192" s="91"/>
      <c r="V192" s="71"/>
      <c r="W192" s="71"/>
      <c r="X192" s="71"/>
      <c r="Y192" s="71"/>
      <c r="Z192" s="71"/>
      <c r="AA192" s="71"/>
    </row>
    <row r="193" spans="1:27" ht="15" customHeight="1">
      <c r="A193" s="68"/>
      <c r="B193" s="48" t="s">
        <v>29</v>
      </c>
      <c r="C193" s="46">
        <v>32027360</v>
      </c>
      <c r="D193" s="74">
        <v>18468396</v>
      </c>
      <c r="E193" s="73">
        <v>1420734</v>
      </c>
      <c r="F193" s="67">
        <v>7843285</v>
      </c>
      <c r="G193" s="67">
        <v>2850041</v>
      </c>
      <c r="H193" s="73">
        <v>1444904</v>
      </c>
      <c r="I193" s="72"/>
      <c r="J193" s="65"/>
      <c r="K193" s="64"/>
      <c r="L193" s="64"/>
      <c r="M193" s="64"/>
      <c r="N193" s="64"/>
      <c r="O193" s="90"/>
      <c r="P193" s="90"/>
      <c r="Q193" s="90"/>
      <c r="R193" s="90"/>
      <c r="S193" s="90"/>
      <c r="T193" s="91"/>
      <c r="U193" s="91"/>
      <c r="V193" s="71"/>
      <c r="W193" s="71"/>
      <c r="X193" s="71"/>
      <c r="Y193" s="71"/>
      <c r="Z193" s="71"/>
      <c r="AA193" s="71"/>
    </row>
    <row r="194" spans="1:27" ht="15" customHeight="1">
      <c r="A194" s="68"/>
      <c r="B194" s="48" t="s">
        <v>30</v>
      </c>
      <c r="C194" s="46">
        <v>30156892</v>
      </c>
      <c r="D194" s="74">
        <v>17343701</v>
      </c>
      <c r="E194" s="73">
        <v>1305078</v>
      </c>
      <c r="F194" s="67">
        <v>7521299</v>
      </c>
      <c r="G194" s="67">
        <v>2729625</v>
      </c>
      <c r="H194" s="73">
        <v>1257189</v>
      </c>
      <c r="I194" s="72"/>
      <c r="J194" s="65"/>
      <c r="K194" s="64"/>
      <c r="L194" s="64"/>
      <c r="M194" s="64"/>
      <c r="N194" s="64"/>
      <c r="O194" s="90"/>
      <c r="P194" s="90"/>
      <c r="Q194" s="90"/>
      <c r="R194" s="90"/>
      <c r="S194" s="90"/>
      <c r="T194" s="91"/>
      <c r="U194" s="91"/>
      <c r="V194" s="71"/>
      <c r="W194" s="71"/>
      <c r="X194" s="71"/>
      <c r="Y194" s="71"/>
      <c r="Z194" s="71"/>
      <c r="AA194" s="71"/>
    </row>
    <row r="195" spans="1:27" ht="15" customHeight="1">
      <c r="A195" s="68"/>
      <c r="B195" s="48" t="s">
        <v>31</v>
      </c>
      <c r="C195" s="46">
        <v>29921046</v>
      </c>
      <c r="D195" s="74">
        <v>17724132</v>
      </c>
      <c r="E195" s="73">
        <v>1281134</v>
      </c>
      <c r="F195" s="67">
        <v>7181076</v>
      </c>
      <c r="G195" s="67">
        <v>2699043</v>
      </c>
      <c r="H195" s="73">
        <v>1035661</v>
      </c>
      <c r="I195" s="72"/>
      <c r="J195" s="65"/>
      <c r="K195" s="64"/>
      <c r="L195" s="64"/>
      <c r="M195" s="64"/>
      <c r="N195" s="64"/>
      <c r="O195" s="90"/>
      <c r="P195" s="90"/>
      <c r="Q195" s="90"/>
      <c r="R195" s="90"/>
      <c r="S195" s="90"/>
      <c r="T195" s="91"/>
      <c r="U195" s="91"/>
      <c r="V195" s="71"/>
      <c r="W195" s="71"/>
      <c r="X195" s="71"/>
      <c r="Y195" s="71"/>
      <c r="Z195" s="71"/>
      <c r="AA195" s="71"/>
    </row>
    <row r="196" spans="1:27" ht="15" customHeight="1">
      <c r="A196" s="68"/>
      <c r="B196" s="48" t="s">
        <v>32</v>
      </c>
      <c r="C196" s="46">
        <v>28912990</v>
      </c>
      <c r="D196" s="74">
        <v>17122651</v>
      </c>
      <c r="E196" s="73">
        <v>1323526</v>
      </c>
      <c r="F196" s="67">
        <v>7026949</v>
      </c>
      <c r="G196" s="67">
        <v>2558506</v>
      </c>
      <c r="H196" s="73">
        <v>881358</v>
      </c>
      <c r="I196" s="72"/>
      <c r="J196" s="65"/>
      <c r="K196" s="64"/>
      <c r="L196" s="64"/>
      <c r="M196" s="64"/>
      <c r="N196" s="64"/>
      <c r="O196" s="90"/>
      <c r="P196" s="90"/>
      <c r="Q196" s="90"/>
      <c r="R196" s="90"/>
      <c r="S196" s="90"/>
      <c r="T196" s="91"/>
      <c r="U196" s="91"/>
      <c r="V196" s="71"/>
      <c r="W196" s="71"/>
      <c r="X196" s="71"/>
      <c r="Y196" s="71"/>
      <c r="Z196" s="71"/>
      <c r="AA196" s="71"/>
    </row>
    <row r="197" spans="1:27" ht="15" customHeight="1">
      <c r="A197" s="68"/>
      <c r="B197" s="48" t="s">
        <v>33</v>
      </c>
      <c r="C197" s="46">
        <v>27463495</v>
      </c>
      <c r="D197" s="74">
        <v>16467816</v>
      </c>
      <c r="E197" s="73">
        <v>1172540</v>
      </c>
      <c r="F197" s="67">
        <v>6740507</v>
      </c>
      <c r="G197" s="67">
        <v>2410778</v>
      </c>
      <c r="H197" s="73">
        <v>671854</v>
      </c>
      <c r="I197" s="72"/>
      <c r="J197" s="65"/>
      <c r="K197" s="64"/>
      <c r="L197" s="64"/>
      <c r="M197" s="64"/>
      <c r="N197" s="64"/>
      <c r="O197" s="90"/>
      <c r="P197" s="90"/>
      <c r="Q197" s="90"/>
      <c r="R197" s="90"/>
      <c r="S197" s="90"/>
      <c r="T197" s="91"/>
      <c r="U197" s="91"/>
      <c r="V197" s="71"/>
      <c r="W197" s="71"/>
      <c r="X197" s="71"/>
      <c r="Y197" s="71"/>
      <c r="Z197" s="71"/>
      <c r="AA197" s="71"/>
    </row>
    <row r="198" spans="1:27" ht="15" customHeight="1">
      <c r="A198" s="68"/>
      <c r="B198" s="48" t="s">
        <v>34</v>
      </c>
      <c r="C198" s="46">
        <v>24681114</v>
      </c>
      <c r="D198" s="74">
        <v>14670125</v>
      </c>
      <c r="E198" s="73">
        <v>1129685</v>
      </c>
      <c r="F198" s="67">
        <v>6112426</v>
      </c>
      <c r="G198" s="67">
        <v>2186924</v>
      </c>
      <c r="H198" s="73">
        <v>581954</v>
      </c>
      <c r="I198" s="72"/>
      <c r="J198" s="65"/>
      <c r="K198" s="64"/>
      <c r="L198" s="64"/>
      <c r="M198" s="64"/>
      <c r="N198" s="64"/>
      <c r="O198" s="90"/>
      <c r="P198" s="90"/>
      <c r="Q198" s="90"/>
      <c r="R198" s="90"/>
      <c r="S198" s="90"/>
      <c r="T198" s="91"/>
      <c r="U198" s="91"/>
      <c r="V198" s="71"/>
      <c r="W198" s="71"/>
      <c r="X198" s="71"/>
      <c r="Y198" s="71"/>
      <c r="Z198" s="71"/>
      <c r="AA198" s="71"/>
    </row>
    <row r="199" spans="1:27" ht="15" customHeight="1">
      <c r="A199" s="69">
        <v>2026</v>
      </c>
      <c r="B199" s="45" t="s">
        <v>40</v>
      </c>
      <c r="C199" s="46">
        <v>20520896</v>
      </c>
      <c r="D199" s="74">
        <v>9428847</v>
      </c>
      <c r="E199" s="73">
        <v>1068720</v>
      </c>
      <c r="F199" s="67">
        <v>6947954</v>
      </c>
      <c r="G199" s="67">
        <v>2474927</v>
      </c>
      <c r="H199" s="73">
        <v>600448</v>
      </c>
      <c r="I199" s="72"/>
      <c r="J199" s="65"/>
      <c r="K199" s="64"/>
      <c r="L199" s="64"/>
      <c r="M199" s="64"/>
      <c r="N199" s="64"/>
      <c r="O199" s="64"/>
      <c r="P199" s="64"/>
      <c r="Q199" s="70"/>
      <c r="R199" s="70"/>
      <c r="S199" s="71"/>
      <c r="T199" s="71"/>
      <c r="U199" s="103"/>
      <c r="V199" s="71"/>
      <c r="W199" s="71"/>
      <c r="X199" s="71"/>
      <c r="Y199" s="71"/>
      <c r="Z199" s="71"/>
      <c r="AA199" s="71"/>
    </row>
    <row r="200" spans="1:27" ht="15" customHeight="1">
      <c r="A200" s="68"/>
      <c r="B200" s="48" t="s">
        <v>24</v>
      </c>
      <c r="C200" s="121">
        <v>20649956</v>
      </c>
      <c r="D200" s="122">
        <v>10982677</v>
      </c>
      <c r="E200" s="122">
        <v>1079006</v>
      </c>
      <c r="F200" s="122">
        <v>5843217</v>
      </c>
      <c r="G200" s="122">
        <v>2073202</v>
      </c>
      <c r="H200" s="122">
        <v>671854</v>
      </c>
      <c r="I200" s="72"/>
      <c r="J200" s="65"/>
      <c r="K200" s="64"/>
      <c r="L200" s="64"/>
      <c r="M200" s="64"/>
      <c r="N200" s="64"/>
      <c r="O200" s="64"/>
      <c r="P200" s="64"/>
      <c r="Q200" s="70"/>
      <c r="R200" s="70"/>
      <c r="S200" s="71"/>
      <c r="T200" s="71"/>
      <c r="U200" s="103"/>
      <c r="V200" s="71"/>
      <c r="W200" s="71"/>
      <c r="X200" s="71"/>
      <c r="Y200" s="71"/>
      <c r="Z200" s="71"/>
      <c r="AA200" s="71"/>
    </row>
    <row r="201" spans="1:27" ht="15" customHeight="1">
      <c r="A201" s="164"/>
      <c r="B201" s="165" t="s">
        <v>25</v>
      </c>
      <c r="C201" s="166">
        <v>21200116</v>
      </c>
      <c r="D201" s="167">
        <v>11457666</v>
      </c>
      <c r="E201" s="167">
        <v>1091353</v>
      </c>
      <c r="F201" s="167">
        <v>5711014</v>
      </c>
      <c r="G201" s="167">
        <v>2058725</v>
      </c>
      <c r="H201" s="167">
        <v>881358</v>
      </c>
      <c r="I201" s="72"/>
      <c r="J201" s="65"/>
      <c r="K201" s="64"/>
      <c r="L201" s="64"/>
      <c r="M201" s="64"/>
      <c r="N201" s="64"/>
      <c r="O201" s="64"/>
      <c r="P201" s="64"/>
      <c r="Q201" s="70"/>
      <c r="R201" s="70"/>
      <c r="S201" s="71"/>
      <c r="T201" s="71"/>
      <c r="U201" s="103"/>
      <c r="V201" s="71"/>
      <c r="W201" s="71"/>
      <c r="X201" s="71"/>
      <c r="Y201" s="71"/>
      <c r="Z201" s="71"/>
      <c r="AA201" s="71"/>
    </row>
    <row r="202" spans="1:27" ht="15" customHeight="1">
      <c r="A202" s="112"/>
      <c r="B202" s="123" t="s">
        <v>26</v>
      </c>
      <c r="C202" s="113" t="s">
        <v>61</v>
      </c>
      <c r="D202" s="113" t="s">
        <v>61</v>
      </c>
      <c r="E202" s="113" t="s">
        <v>61</v>
      </c>
      <c r="F202" s="113" t="s">
        <v>61</v>
      </c>
      <c r="G202" s="113" t="s">
        <v>61</v>
      </c>
      <c r="H202" s="113" t="s">
        <v>61</v>
      </c>
      <c r="I202" s="72"/>
      <c r="J202" s="65"/>
      <c r="K202" s="64"/>
      <c r="L202" s="64"/>
      <c r="M202" s="64"/>
      <c r="N202" s="64"/>
      <c r="O202" s="64"/>
      <c r="P202" s="64"/>
      <c r="Q202" s="70"/>
      <c r="R202" s="70"/>
      <c r="S202" s="71"/>
      <c r="T202" s="71"/>
      <c r="U202" s="103"/>
      <c r="V202" s="71"/>
      <c r="W202" s="71"/>
      <c r="X202" s="71"/>
      <c r="Y202" s="71"/>
      <c r="Z202" s="71"/>
      <c r="AA202" s="71"/>
    </row>
    <row r="203" spans="1:27" ht="15" customHeight="1">
      <c r="A203" s="68"/>
      <c r="B203" s="48"/>
      <c r="C203" s="46"/>
      <c r="D203" s="74"/>
      <c r="E203" s="73"/>
      <c r="F203" s="67"/>
      <c r="G203" s="67"/>
      <c r="H203" s="73"/>
      <c r="I203" s="72"/>
      <c r="J203" s="65"/>
      <c r="K203" s="64"/>
      <c r="L203" s="64"/>
      <c r="M203" s="64"/>
      <c r="N203" s="64"/>
      <c r="O203" s="64"/>
      <c r="P203" s="64"/>
      <c r="Q203" s="70"/>
      <c r="R203" s="70"/>
      <c r="S203" s="71"/>
      <c r="T203" s="71"/>
      <c r="U203" s="103"/>
      <c r="V203" s="71"/>
      <c r="W203" s="71"/>
      <c r="X203" s="71"/>
      <c r="Y203" s="71"/>
      <c r="Z203" s="71"/>
      <c r="AA203" s="71"/>
    </row>
    <row r="204" spans="1:27" ht="23.25" customHeight="1">
      <c r="A204" s="161" t="s">
        <v>62</v>
      </c>
      <c r="B204" s="161"/>
      <c r="C204" s="161"/>
      <c r="D204" s="161"/>
      <c r="E204" s="161"/>
      <c r="F204" s="161"/>
      <c r="G204" s="161"/>
      <c r="H204" s="161"/>
      <c r="I204" s="22"/>
      <c r="J204" s="24"/>
      <c r="K204" s="8"/>
      <c r="L204" s="8"/>
      <c r="M204" s="8"/>
      <c r="N204" s="8"/>
      <c r="O204" s="8"/>
      <c r="P204" s="8"/>
      <c r="Q204" s="8"/>
      <c r="R204" s="8"/>
    </row>
    <row r="205" spans="1:27" ht="15" customHeight="1">
      <c r="A205" s="1"/>
      <c r="B205" s="1"/>
      <c r="C205" s="63"/>
      <c r="D205" s="62"/>
      <c r="E205" s="62"/>
      <c r="F205" s="62"/>
      <c r="G205" s="62"/>
      <c r="H205" s="62"/>
      <c r="I205" s="22"/>
      <c r="K205" s="8"/>
      <c r="L205" s="8"/>
      <c r="M205" s="8"/>
      <c r="N205" s="8"/>
      <c r="O205" s="8"/>
      <c r="P205" s="8"/>
      <c r="Q205" s="8"/>
      <c r="R205" s="8"/>
    </row>
    <row r="206" spans="1:27" ht="15" customHeight="1">
      <c r="A206" s="40" t="s">
        <v>63</v>
      </c>
      <c r="B206" s="51"/>
      <c r="C206" s="52"/>
      <c r="D206" s="53"/>
      <c r="E206" s="53"/>
      <c r="F206" s="53"/>
      <c r="G206" s="53"/>
      <c r="H206" s="53"/>
      <c r="I206" s="39"/>
      <c r="J206" s="24"/>
      <c r="K206" s="8"/>
      <c r="L206" s="8"/>
      <c r="M206" s="8"/>
      <c r="N206" s="8"/>
      <c r="O206" s="8"/>
      <c r="P206" s="8"/>
      <c r="Q206" s="8"/>
      <c r="R206" s="8"/>
    </row>
    <row r="207" spans="1:27" ht="15" customHeight="1">
      <c r="A207" s="8"/>
      <c r="B207" s="9"/>
      <c r="C207" s="38"/>
      <c r="D207" s="24"/>
      <c r="E207" s="24"/>
      <c r="F207" s="24"/>
      <c r="G207" s="24"/>
      <c r="H207" s="24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spans="1:27" ht="15" customHeight="1">
      <c r="A208" s="24"/>
      <c r="B208" s="38"/>
      <c r="C208" s="38"/>
      <c r="D208" s="24"/>
      <c r="E208" s="24"/>
      <c r="F208" s="24"/>
      <c r="G208" s="24"/>
      <c r="H208" s="24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spans="1:18" ht="15" customHeight="1">
      <c r="A209" s="24"/>
      <c r="B209" s="38"/>
      <c r="C209" s="38"/>
      <c r="D209" s="104"/>
      <c r="E209" s="104"/>
      <c r="F209" s="104"/>
      <c r="G209" s="104"/>
      <c r="H209" s="104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spans="1:18" ht="15" customHeight="1">
      <c r="A210" s="24"/>
      <c r="B210" s="38"/>
      <c r="C210" s="38"/>
      <c r="D210" s="24"/>
      <c r="E210" s="24"/>
      <c r="F210" s="24"/>
      <c r="G210" s="24"/>
      <c r="H210" s="24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spans="1:18" ht="15" customHeight="1">
      <c r="A211" s="24"/>
      <c r="B211" s="38"/>
      <c r="C211" s="38"/>
      <c r="D211" s="24"/>
      <c r="E211" s="24"/>
      <c r="F211" s="24"/>
      <c r="G211" s="24"/>
      <c r="H211" s="24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spans="1:18" ht="15" customHeight="1">
      <c r="A212" s="24"/>
      <c r="B212" s="38"/>
      <c r="C212" s="38"/>
      <c r="D212" s="24"/>
      <c r="E212" s="24"/>
      <c r="F212" s="24"/>
      <c r="G212" s="24"/>
      <c r="H212" s="24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spans="1:18" ht="15" customHeight="1">
      <c r="A213" s="8"/>
      <c r="B213" s="9"/>
      <c r="C213" s="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spans="1:18" ht="15" customHeight="1">
      <c r="A214" s="8"/>
      <c r="B214" s="9"/>
      <c r="C214" s="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spans="1:18" ht="15" customHeight="1">
      <c r="A215" s="8"/>
      <c r="B215" s="9"/>
      <c r="C215" s="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spans="1:18" ht="15" customHeight="1">
      <c r="A216" s="8"/>
      <c r="B216" s="9"/>
      <c r="C216" s="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spans="1:18" ht="15" customHeight="1">
      <c r="A217" s="8"/>
      <c r="B217" s="9"/>
      <c r="C217" s="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spans="1:18" ht="15" customHeight="1">
      <c r="A218" s="8"/>
      <c r="B218" s="9"/>
      <c r="C218" s="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spans="1:18" ht="15" customHeight="1">
      <c r="A219" s="8"/>
      <c r="B219" s="9"/>
      <c r="C219" s="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spans="1:18" ht="15" customHeight="1">
      <c r="A220" s="8"/>
      <c r="B220" s="9"/>
      <c r="C220" s="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spans="1:18" ht="15" customHeight="1">
      <c r="A221" s="8"/>
      <c r="B221" s="9"/>
      <c r="C221" s="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spans="1:18" ht="15" customHeight="1">
      <c r="A222" s="8"/>
      <c r="B222" s="9"/>
      <c r="C222" s="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spans="1:18" ht="15" customHeight="1">
      <c r="A223" s="8"/>
      <c r="B223" s="9"/>
      <c r="C223" s="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spans="1:18" ht="15" customHeight="1">
      <c r="A224" s="8"/>
      <c r="B224" s="9"/>
      <c r="C224" s="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spans="1:18" ht="15" customHeight="1">
      <c r="A225" s="8"/>
      <c r="B225" s="9"/>
      <c r="C225" s="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spans="1:18" ht="15" customHeight="1">
      <c r="A226" s="8"/>
      <c r="B226" s="9"/>
      <c r="C226" s="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spans="1:18" ht="15" customHeight="1">
      <c r="A227" s="8"/>
      <c r="B227" s="9"/>
      <c r="C227" s="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spans="1:18" ht="15" customHeight="1">
      <c r="A228" s="8"/>
      <c r="B228" s="9"/>
      <c r="C228" s="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spans="1:18" ht="15" customHeight="1">
      <c r="A229" s="8"/>
      <c r="B229" s="9"/>
      <c r="C229" s="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spans="1:18" ht="15" customHeight="1">
      <c r="A230" s="8"/>
      <c r="B230" s="9"/>
      <c r="C230" s="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spans="1:18" ht="15" customHeight="1">
      <c r="A231" s="8"/>
      <c r="B231" s="9"/>
      <c r="C231" s="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spans="1:18" ht="15" customHeight="1">
      <c r="A232" s="8"/>
      <c r="B232" s="9"/>
      <c r="C232" s="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spans="1:18" ht="15" customHeight="1">
      <c r="A233" s="8"/>
      <c r="B233" s="9"/>
      <c r="C233" s="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spans="1:18" ht="15" customHeight="1">
      <c r="A234" s="8"/>
      <c r="B234" s="9"/>
      <c r="C234" s="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spans="1:18" ht="15" customHeight="1">
      <c r="A235" s="8"/>
      <c r="B235" s="9"/>
      <c r="C235" s="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spans="1:18" ht="15" customHeight="1">
      <c r="A236" s="8"/>
      <c r="B236" s="9"/>
      <c r="C236" s="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spans="1:18" ht="15" customHeight="1">
      <c r="A237" s="8"/>
      <c r="B237" s="9"/>
      <c r="C237" s="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spans="1:18" ht="15" customHeight="1">
      <c r="A238" s="8"/>
      <c r="B238" s="9"/>
      <c r="C238" s="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spans="1:18" ht="15" customHeight="1">
      <c r="A239" s="8"/>
      <c r="B239" s="9"/>
      <c r="C239" s="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spans="1:18" ht="15" customHeight="1">
      <c r="A240" s="8"/>
      <c r="B240" s="9"/>
      <c r="C240" s="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spans="1:18" ht="15" customHeight="1">
      <c r="A241" s="8"/>
      <c r="B241" s="9"/>
      <c r="C241" s="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spans="1:18" ht="15" customHeight="1">
      <c r="A242" s="8"/>
      <c r="B242" s="9"/>
      <c r="C242" s="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spans="1:18" ht="15" customHeight="1">
      <c r="A243" s="8"/>
      <c r="B243" s="9"/>
      <c r="C243" s="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spans="1:18" ht="15" customHeight="1">
      <c r="A244" s="8"/>
      <c r="B244" s="9"/>
      <c r="C244" s="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spans="1:18" ht="15" customHeight="1">
      <c r="A245" s="8"/>
      <c r="B245" s="9"/>
      <c r="C245" s="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spans="1:18" ht="15" customHeight="1">
      <c r="A246" s="8"/>
      <c r="B246" s="9"/>
      <c r="C246" s="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spans="1:18" ht="15" customHeight="1">
      <c r="A247" s="8"/>
      <c r="B247" s="9"/>
      <c r="C247" s="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spans="1:18" ht="15" customHeight="1">
      <c r="A248" s="8"/>
      <c r="B248" s="9"/>
      <c r="C248" s="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spans="1:18" ht="15" customHeight="1">
      <c r="A249" s="8"/>
      <c r="B249" s="9"/>
      <c r="C249" s="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spans="1:18" ht="15" customHeight="1">
      <c r="A250" s="8"/>
      <c r="B250" s="9"/>
      <c r="C250" s="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spans="1:18" ht="15" customHeight="1">
      <c r="A251" s="8"/>
      <c r="B251" s="9"/>
      <c r="C251" s="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spans="1:18" ht="15" customHeight="1">
      <c r="A252" s="8"/>
      <c r="B252" s="9"/>
      <c r="C252" s="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spans="1:18" ht="15" customHeight="1">
      <c r="A253" s="8"/>
      <c r="B253" s="9"/>
      <c r="C253" s="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spans="1:18" ht="15" customHeight="1">
      <c r="A254" s="8"/>
      <c r="B254" s="9"/>
      <c r="C254" s="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spans="1:18" ht="15" customHeight="1">
      <c r="A255" s="8"/>
      <c r="B255" s="9"/>
      <c r="C255" s="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spans="1:18" ht="15" customHeight="1">
      <c r="A256" s="8"/>
      <c r="B256" s="9"/>
      <c r="C256" s="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spans="1:18" ht="15" customHeight="1">
      <c r="A257" s="8"/>
      <c r="B257" s="9"/>
      <c r="C257" s="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spans="1:18" ht="15" customHeight="1">
      <c r="A258" s="8"/>
      <c r="B258" s="9"/>
      <c r="C258" s="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spans="1:18" ht="15" customHeight="1">
      <c r="A259" s="8"/>
      <c r="B259" s="9"/>
      <c r="C259" s="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spans="1:18" ht="15" customHeight="1">
      <c r="A260" s="8"/>
      <c r="B260" s="9"/>
      <c r="C260" s="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spans="1:18" ht="15" customHeight="1">
      <c r="A261" s="8"/>
      <c r="B261" s="9"/>
      <c r="C261" s="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spans="1:18" ht="15" customHeight="1">
      <c r="A262" s="8"/>
      <c r="B262" s="9"/>
      <c r="C262" s="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spans="1:18" ht="15" customHeight="1">
      <c r="A263" s="8"/>
      <c r="B263" s="9"/>
      <c r="C263" s="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spans="1:18" ht="15" customHeight="1">
      <c r="A264" s="8"/>
      <c r="B264" s="9"/>
      <c r="C264" s="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spans="1:18" ht="15" customHeight="1">
      <c r="A265" s="8"/>
      <c r="B265" s="9"/>
      <c r="C265" s="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spans="1:18" ht="15" customHeight="1">
      <c r="A266" s="8"/>
      <c r="B266" s="9"/>
      <c r="C266" s="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spans="1:18" ht="15" customHeight="1">
      <c r="A267" s="8"/>
      <c r="B267" s="9"/>
      <c r="C267" s="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spans="1:18" ht="15" customHeight="1">
      <c r="A268" s="8"/>
      <c r="B268" s="9"/>
      <c r="C268" s="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spans="1:18" ht="15" customHeight="1">
      <c r="A269" s="8"/>
      <c r="B269" s="9"/>
      <c r="C269" s="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spans="1:18" ht="15" customHeight="1">
      <c r="A270" s="8"/>
      <c r="B270" s="9"/>
      <c r="C270" s="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spans="1:18" ht="15" customHeight="1">
      <c r="A271" s="8"/>
      <c r="B271" s="9"/>
      <c r="C271" s="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spans="1:18" ht="15" customHeight="1">
      <c r="A272" s="8"/>
      <c r="B272" s="9"/>
      <c r="C272" s="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spans="1:18" ht="15" customHeight="1">
      <c r="A273" s="8"/>
      <c r="B273" s="9"/>
      <c r="C273" s="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spans="1:18" ht="15" customHeight="1">
      <c r="A274" s="8"/>
      <c r="B274" s="9"/>
      <c r="C274" s="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spans="1:18" ht="15" customHeight="1">
      <c r="A275" s="8"/>
      <c r="B275" s="9"/>
      <c r="C275" s="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spans="1:18" ht="15" customHeight="1">
      <c r="A276" s="8"/>
      <c r="B276" s="9"/>
      <c r="C276" s="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spans="1:18" ht="15" customHeight="1">
      <c r="A277" s="8"/>
      <c r="B277" s="9"/>
      <c r="C277" s="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spans="1:18" ht="15" customHeight="1">
      <c r="A278" s="8"/>
      <c r="B278" s="9"/>
      <c r="C278" s="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spans="1:18" ht="15" customHeight="1">
      <c r="A279" s="8"/>
      <c r="B279" s="9"/>
      <c r="C279" s="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spans="1:18" ht="15" customHeight="1">
      <c r="A280" s="8"/>
      <c r="B280" s="9"/>
      <c r="C280" s="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spans="1:18" ht="15" customHeight="1">
      <c r="A281" s="8"/>
      <c r="B281" s="9"/>
      <c r="C281" s="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spans="1:18" ht="15" customHeight="1">
      <c r="A282" s="8"/>
      <c r="B282" s="9"/>
      <c r="C282" s="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spans="1:18" ht="15" customHeight="1">
      <c r="A283" s="8"/>
      <c r="B283" s="9"/>
      <c r="C283" s="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spans="1:18" ht="15" customHeight="1">
      <c r="A284" s="8"/>
      <c r="B284" s="9"/>
      <c r="C284" s="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spans="1:18" ht="15" customHeight="1">
      <c r="A285" s="8"/>
      <c r="B285" s="9"/>
      <c r="C285" s="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spans="1:18" ht="15" customHeight="1">
      <c r="A286" s="8"/>
      <c r="B286" s="9"/>
      <c r="C286" s="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spans="1:18" ht="15" customHeight="1">
      <c r="A287" s="8"/>
      <c r="B287" s="9"/>
      <c r="C287" s="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spans="1:18" ht="15" customHeight="1">
      <c r="A288" s="8"/>
      <c r="B288" s="9"/>
      <c r="C288" s="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spans="1:18" ht="15" customHeight="1">
      <c r="A289" s="8"/>
      <c r="B289" s="9"/>
      <c r="C289" s="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spans="1:18" ht="15" customHeight="1">
      <c r="A290" s="8"/>
      <c r="B290" s="9"/>
      <c r="C290" s="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spans="1:18" ht="15" customHeight="1">
      <c r="A291" s="8"/>
      <c r="B291" s="9"/>
      <c r="C291" s="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spans="1:18" ht="15" customHeight="1">
      <c r="A292" s="8"/>
      <c r="B292" s="9"/>
      <c r="C292" s="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spans="1:18" ht="15" customHeight="1">
      <c r="A293" s="8"/>
      <c r="B293" s="9"/>
      <c r="C293" s="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spans="1:18" ht="15" customHeight="1">
      <c r="A294" s="8"/>
      <c r="B294" s="9"/>
      <c r="C294" s="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spans="1:18" ht="15" customHeight="1">
      <c r="A295" s="8"/>
      <c r="B295" s="9"/>
      <c r="C295" s="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spans="1:18" ht="15" customHeight="1">
      <c r="A296" s="8"/>
      <c r="B296" s="9"/>
      <c r="C296" s="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spans="1:18" ht="15" customHeight="1">
      <c r="A297" s="8"/>
      <c r="B297" s="9"/>
      <c r="C297" s="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spans="1:18" ht="15" customHeight="1">
      <c r="A298" s="8"/>
      <c r="B298" s="9"/>
      <c r="C298" s="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spans="1:18" ht="15" customHeight="1">
      <c r="A299" s="8"/>
      <c r="B299" s="9"/>
      <c r="C299" s="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spans="1:18" ht="15" customHeight="1">
      <c r="A300" s="8"/>
      <c r="B300" s="9"/>
      <c r="C300" s="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spans="1:18" ht="15" customHeight="1">
      <c r="A301" s="8"/>
      <c r="B301" s="9"/>
      <c r="C301" s="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spans="1:18" ht="15" customHeight="1">
      <c r="A302" s="8"/>
      <c r="B302" s="9"/>
      <c r="C302" s="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spans="1:18" ht="15" customHeight="1">
      <c r="A303" s="8"/>
      <c r="B303" s="9"/>
      <c r="C303" s="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spans="1:18" ht="15" customHeight="1">
      <c r="A304" s="8"/>
      <c r="B304" s="9"/>
      <c r="C304" s="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spans="1:18" ht="15" customHeight="1">
      <c r="A305" s="8"/>
      <c r="B305" s="9"/>
      <c r="C305" s="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spans="1:18" ht="15" customHeight="1">
      <c r="A306" s="8"/>
      <c r="B306" s="9"/>
      <c r="C306" s="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spans="1:18" ht="15" customHeight="1">
      <c r="A307" s="8"/>
      <c r="B307" s="9"/>
      <c r="C307" s="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spans="1:18" ht="15" customHeight="1">
      <c r="A308" s="8"/>
      <c r="B308" s="9"/>
      <c r="C308" s="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spans="1:18" ht="15" customHeight="1">
      <c r="A309" s="8"/>
      <c r="B309" s="9"/>
      <c r="C309" s="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spans="1:18" ht="15" customHeight="1">
      <c r="A310" s="8"/>
      <c r="B310" s="9"/>
      <c r="C310" s="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spans="1:18" ht="15" customHeight="1">
      <c r="A311" s="8"/>
      <c r="B311" s="9"/>
      <c r="C311" s="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spans="1:18" ht="15" customHeight="1">
      <c r="A312" s="8"/>
      <c r="B312" s="9"/>
      <c r="C312" s="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spans="1:18" ht="15" customHeight="1">
      <c r="A313" s="8"/>
      <c r="B313" s="9"/>
      <c r="C313" s="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spans="1:18" ht="15" customHeight="1">
      <c r="A314" s="8"/>
      <c r="B314" s="9"/>
      <c r="C314" s="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spans="1:18" ht="15" customHeight="1">
      <c r="A315" s="8"/>
      <c r="B315" s="9"/>
      <c r="C315" s="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spans="1:18" ht="15" customHeight="1">
      <c r="A316" s="8"/>
      <c r="B316" s="9"/>
      <c r="C316" s="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spans="1:18" ht="15" customHeight="1">
      <c r="A317" s="8"/>
      <c r="B317" s="9"/>
      <c r="C317" s="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spans="1:18" ht="15" customHeight="1">
      <c r="A318" s="8"/>
      <c r="B318" s="9"/>
      <c r="C318" s="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spans="1:18" ht="15" customHeight="1">
      <c r="A319" s="8"/>
      <c r="B319" s="9"/>
      <c r="C319" s="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spans="1:18" ht="15" customHeight="1">
      <c r="A320" s="8"/>
      <c r="B320" s="9"/>
      <c r="C320" s="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spans="1:18" ht="15" customHeight="1">
      <c r="A321" s="8"/>
      <c r="B321" s="9"/>
      <c r="C321" s="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spans="1:18" ht="15" customHeight="1">
      <c r="A322" s="8"/>
      <c r="B322" s="9"/>
      <c r="C322" s="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spans="1:18" ht="15" customHeight="1">
      <c r="A323" s="8"/>
      <c r="B323" s="9"/>
      <c r="C323" s="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spans="1:18" ht="15" customHeight="1">
      <c r="A324" s="8"/>
      <c r="B324" s="9"/>
      <c r="C324" s="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spans="1:18" ht="15" customHeight="1">
      <c r="A325" s="8"/>
      <c r="B325" s="9"/>
      <c r="C325" s="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spans="1:18" ht="15" customHeight="1">
      <c r="A326" s="8"/>
      <c r="B326" s="9"/>
      <c r="C326" s="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spans="1:18" ht="15" customHeight="1">
      <c r="A327" s="8"/>
      <c r="B327" s="9"/>
      <c r="C327" s="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spans="1:18" ht="15" customHeight="1">
      <c r="A328" s="8"/>
      <c r="B328" s="9"/>
      <c r="C328" s="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spans="1:18" ht="15" customHeight="1">
      <c r="A329" s="8"/>
      <c r="B329" s="9"/>
      <c r="C329" s="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spans="1:18" ht="15" customHeight="1">
      <c r="A330" s="8"/>
      <c r="B330" s="9"/>
      <c r="C330" s="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spans="1:18" ht="15" customHeight="1">
      <c r="A331" s="8"/>
      <c r="B331" s="9"/>
      <c r="C331" s="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spans="1:18" ht="15" customHeight="1">
      <c r="A332" s="8"/>
      <c r="B332" s="9"/>
      <c r="C332" s="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spans="1:18" ht="15" customHeight="1">
      <c r="A333" s="8"/>
      <c r="B333" s="9"/>
      <c r="C333" s="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spans="1:18" ht="15" customHeight="1">
      <c r="A334" s="8"/>
      <c r="B334" s="9"/>
      <c r="C334" s="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spans="1:18" ht="15" customHeight="1">
      <c r="A335" s="8"/>
      <c r="B335" s="9"/>
      <c r="C335" s="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spans="1:18" ht="15" customHeight="1">
      <c r="A336" s="8"/>
      <c r="B336" s="9"/>
      <c r="C336" s="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spans="1:18" ht="15" customHeight="1">
      <c r="A337" s="8"/>
      <c r="B337" s="9"/>
      <c r="C337" s="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spans="1:18" ht="15" customHeight="1">
      <c r="A338" s="8"/>
      <c r="B338" s="9"/>
      <c r="C338" s="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spans="1:18" ht="15" customHeight="1">
      <c r="A339" s="8"/>
      <c r="B339" s="9"/>
      <c r="C339" s="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spans="1:18" ht="15" customHeight="1">
      <c r="A340" s="8"/>
      <c r="B340" s="9"/>
      <c r="C340" s="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spans="1:18" ht="15" customHeight="1">
      <c r="A341" s="8"/>
      <c r="B341" s="9"/>
      <c r="C341" s="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spans="1:18" ht="15" customHeight="1">
      <c r="A342" s="8"/>
      <c r="B342" s="9"/>
      <c r="C342" s="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spans="1:18" ht="15" customHeight="1">
      <c r="A343" s="8"/>
      <c r="B343" s="9"/>
      <c r="C343" s="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spans="1:18" ht="15" customHeight="1">
      <c r="A344" s="8"/>
      <c r="B344" s="9"/>
      <c r="C344" s="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spans="1:18" ht="15" customHeight="1">
      <c r="A345" s="8"/>
      <c r="B345" s="9"/>
      <c r="C345" s="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spans="1:18" ht="15" customHeight="1">
      <c r="A346" s="8"/>
      <c r="B346" s="9"/>
      <c r="C346" s="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spans="1:18" ht="15" customHeight="1">
      <c r="A347" s="8"/>
      <c r="B347" s="9"/>
      <c r="C347" s="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spans="1:18" ht="15" customHeight="1">
      <c r="A348" s="8"/>
      <c r="B348" s="9"/>
      <c r="C348" s="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spans="1:18" ht="15" customHeight="1">
      <c r="A349" s="8"/>
      <c r="B349" s="9"/>
      <c r="C349" s="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spans="1:18" ht="15" customHeight="1">
      <c r="A350" s="8"/>
      <c r="B350" s="9"/>
      <c r="C350" s="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spans="1:18" ht="15" customHeight="1">
      <c r="A351" s="8"/>
      <c r="B351" s="9"/>
      <c r="C351" s="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spans="1:18" ht="15" customHeight="1">
      <c r="A352" s="8"/>
      <c r="B352" s="9"/>
      <c r="C352" s="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spans="1:18" ht="15" customHeight="1">
      <c r="A353" s="8"/>
      <c r="B353" s="9"/>
      <c r="C353" s="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spans="1:18" ht="15" customHeight="1">
      <c r="A354" s="8"/>
      <c r="B354" s="9"/>
      <c r="C354" s="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spans="1:18" ht="15" customHeight="1">
      <c r="A355" s="8"/>
      <c r="B355" s="9"/>
      <c r="C355" s="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spans="1:18" ht="15" customHeight="1">
      <c r="A356" s="8"/>
      <c r="B356" s="9"/>
      <c r="C356" s="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spans="1:18" ht="15" customHeight="1">
      <c r="A357" s="8"/>
      <c r="B357" s="9"/>
      <c r="C357" s="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spans="1:18" ht="15" customHeight="1">
      <c r="A358" s="8"/>
      <c r="B358" s="9"/>
      <c r="C358" s="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spans="1:18" ht="15" customHeight="1">
      <c r="A359" s="8"/>
      <c r="B359" s="9"/>
      <c r="C359" s="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spans="1:18" ht="15" customHeight="1">
      <c r="A360" s="8"/>
      <c r="B360" s="9"/>
      <c r="C360" s="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spans="1:18" ht="15" customHeight="1">
      <c r="A361" s="8"/>
      <c r="B361" s="9"/>
      <c r="C361" s="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spans="1:18" ht="15" customHeight="1">
      <c r="A362" s="8"/>
      <c r="B362" s="9"/>
      <c r="C362" s="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spans="1:18" ht="15" customHeight="1">
      <c r="A363" s="8"/>
      <c r="B363" s="9"/>
      <c r="C363" s="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spans="1:18" ht="15" customHeight="1">
      <c r="A364" s="8"/>
      <c r="B364" s="9"/>
      <c r="C364" s="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spans="1:18" ht="15" customHeight="1">
      <c r="A365" s="8"/>
      <c r="B365" s="9"/>
      <c r="C365" s="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spans="1:18" ht="15" customHeight="1">
      <c r="A366" s="8"/>
      <c r="B366" s="9"/>
      <c r="C366" s="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spans="1:18" ht="15" customHeight="1">
      <c r="A367" s="8"/>
      <c r="B367" s="9"/>
      <c r="C367" s="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spans="1:18" ht="15" customHeight="1">
      <c r="A368" s="8"/>
      <c r="B368" s="9"/>
      <c r="C368" s="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spans="1:18" ht="15" customHeight="1">
      <c r="A369" s="8"/>
      <c r="B369" s="9"/>
      <c r="C369" s="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spans="1:18" ht="15" customHeight="1">
      <c r="A370" s="8"/>
      <c r="B370" s="9"/>
      <c r="C370" s="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spans="1:18" ht="15" customHeight="1">
      <c r="A371" s="8"/>
      <c r="B371" s="9"/>
      <c r="C371" s="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spans="1:18" ht="15" customHeight="1">
      <c r="A372" s="8"/>
      <c r="B372" s="9"/>
      <c r="C372" s="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spans="1:18" ht="15" customHeight="1">
      <c r="A373" s="8"/>
      <c r="B373" s="9"/>
      <c r="C373" s="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spans="1:18" ht="15" customHeight="1">
      <c r="A374" s="8"/>
      <c r="B374" s="9"/>
      <c r="C374" s="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spans="1:18" ht="15" customHeight="1">
      <c r="A375" s="8"/>
      <c r="B375" s="9"/>
      <c r="C375" s="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spans="1:18" ht="15" customHeight="1">
      <c r="A376" s="8"/>
      <c r="B376" s="9"/>
      <c r="C376" s="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spans="1:18" ht="15" customHeight="1">
      <c r="A377" s="8"/>
      <c r="B377" s="9"/>
      <c r="C377" s="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spans="1:18" ht="15" customHeight="1">
      <c r="A378" s="8"/>
      <c r="B378" s="9"/>
      <c r="C378" s="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spans="1:18" ht="15" customHeight="1">
      <c r="A379" s="8"/>
      <c r="B379" s="9"/>
      <c r="C379" s="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spans="1:18" ht="15" customHeight="1">
      <c r="A380" s="8"/>
      <c r="B380" s="9"/>
      <c r="C380" s="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spans="1:18" ht="15" customHeight="1">
      <c r="A381" s="8"/>
      <c r="B381" s="9"/>
      <c r="C381" s="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spans="1:18" ht="15" customHeight="1">
      <c r="A382" s="8"/>
      <c r="B382" s="9"/>
      <c r="C382" s="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spans="1:18" ht="15" customHeight="1">
      <c r="A383" s="8"/>
      <c r="B383" s="9"/>
      <c r="C383" s="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spans="1:18" ht="15" customHeight="1">
      <c r="A384" s="8"/>
      <c r="B384" s="9"/>
      <c r="C384" s="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spans="1:18" ht="15" customHeight="1">
      <c r="A385" s="8"/>
      <c r="B385" s="9"/>
      <c r="C385" s="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spans="1:18" ht="15" customHeight="1">
      <c r="A386" s="8"/>
      <c r="B386" s="9"/>
      <c r="C386" s="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spans="1:18" ht="15" customHeight="1">
      <c r="A387" s="8"/>
      <c r="B387" s="9"/>
      <c r="C387" s="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spans="1:18" ht="15" customHeight="1">
      <c r="A388" s="8"/>
      <c r="B388" s="9"/>
      <c r="C388" s="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spans="1:18" ht="15" customHeight="1">
      <c r="A389" s="8"/>
      <c r="B389" s="9"/>
      <c r="C389" s="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spans="1:18" ht="15" customHeight="1">
      <c r="A390" s="8"/>
      <c r="B390" s="9"/>
      <c r="C390" s="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spans="1:18" ht="15" customHeight="1">
      <c r="A391" s="8"/>
      <c r="B391" s="9"/>
      <c r="C391" s="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spans="1:18" ht="15" customHeight="1">
      <c r="A392" s="8"/>
      <c r="B392" s="9"/>
      <c r="C392" s="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spans="1:18" ht="15" customHeight="1">
      <c r="A393" s="8"/>
      <c r="B393" s="9"/>
      <c r="C393" s="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spans="1:18" ht="15" customHeight="1">
      <c r="A394" s="8"/>
      <c r="B394" s="9"/>
      <c r="C394" s="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spans="1:18" ht="15" customHeight="1">
      <c r="A395" s="8"/>
      <c r="B395" s="9"/>
      <c r="C395" s="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spans="1:18" ht="15" customHeight="1">
      <c r="A396" s="8"/>
      <c r="B396" s="9"/>
      <c r="C396" s="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spans="1:18" ht="15" customHeight="1">
      <c r="A397" s="8"/>
      <c r="B397" s="9"/>
      <c r="C397" s="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spans="1:18" ht="15" customHeight="1">
      <c r="A398" s="8"/>
      <c r="B398" s="9"/>
      <c r="C398" s="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spans="1:18" ht="15" customHeight="1">
      <c r="A399" s="8"/>
      <c r="B399" s="9"/>
      <c r="C399" s="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spans="1:18" ht="15" customHeight="1">
      <c r="A400" s="8"/>
      <c r="B400" s="9"/>
      <c r="C400" s="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spans="1:18" ht="15" customHeight="1">
      <c r="A401" s="8"/>
      <c r="B401" s="9"/>
      <c r="C401" s="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spans="1:18" ht="15" customHeight="1">
      <c r="A402" s="8"/>
      <c r="B402" s="9"/>
      <c r="C402" s="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spans="1:18" ht="15" customHeight="1">
      <c r="A403" s="8"/>
      <c r="B403" s="9"/>
      <c r="C403" s="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spans="1:18" ht="15" customHeight="1">
      <c r="A404" s="8"/>
      <c r="B404" s="9"/>
      <c r="C404" s="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spans="1:18" ht="15" customHeight="1">
      <c r="A405" s="8"/>
      <c r="B405" s="9"/>
      <c r="C405" s="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spans="1:18" ht="15" customHeight="1">
      <c r="A406" s="8"/>
      <c r="B406" s="9"/>
      <c r="C406" s="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spans="1:18" ht="15" customHeight="1">
      <c r="A407" s="8"/>
      <c r="B407" s="9"/>
      <c r="C407" s="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spans="1:18" ht="15" customHeight="1">
      <c r="A408" s="8"/>
      <c r="B408" s="9"/>
      <c r="C408" s="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spans="1:18" ht="15" customHeight="1">
      <c r="A409" s="8"/>
      <c r="B409" s="9"/>
      <c r="C409" s="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spans="1:18" ht="15" customHeight="1">
      <c r="A410" s="8"/>
      <c r="B410" s="9"/>
      <c r="C410" s="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spans="1:18" ht="15" customHeight="1">
      <c r="A411" s="8"/>
      <c r="B411" s="9"/>
      <c r="C411" s="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spans="1:18" ht="15" customHeight="1">
      <c r="A412" s="8"/>
      <c r="B412" s="9"/>
      <c r="C412" s="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spans="1:18" ht="15" customHeight="1">
      <c r="A413" s="8"/>
      <c r="B413" s="9"/>
      <c r="C413" s="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spans="1:18" ht="15" customHeight="1">
      <c r="A414" s="8"/>
      <c r="B414" s="9"/>
      <c r="C414" s="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</row>
    <row r="415" spans="1:18" ht="15" customHeight="1">
      <c r="A415" s="8"/>
      <c r="B415" s="9"/>
      <c r="C415" s="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</row>
    <row r="416" spans="1:18" ht="15" customHeight="1">
      <c r="A416" s="8"/>
      <c r="B416" s="9"/>
      <c r="C416" s="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 spans="1:18" ht="15" customHeight="1">
      <c r="A417" s="8"/>
      <c r="B417" s="9"/>
      <c r="C417" s="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</row>
    <row r="418" spans="1:18" ht="15" customHeight="1">
      <c r="A418" s="8"/>
      <c r="B418" s="9"/>
      <c r="C418" s="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</row>
    <row r="419" spans="1:18" ht="15" customHeight="1">
      <c r="A419" s="8"/>
      <c r="B419" s="9"/>
      <c r="C419" s="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</row>
    <row r="420" spans="1:18" ht="15" customHeight="1">
      <c r="A420" s="8"/>
      <c r="B420" s="9"/>
      <c r="C420" s="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</row>
    <row r="421" spans="1:18" ht="15" customHeight="1">
      <c r="A421" s="8"/>
      <c r="B421" s="9"/>
      <c r="C421" s="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</row>
    <row r="422" spans="1:18" ht="15" customHeight="1">
      <c r="A422" s="8"/>
      <c r="B422" s="9"/>
      <c r="C422" s="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 spans="1:18" ht="15" customHeight="1">
      <c r="A423" s="8"/>
      <c r="B423" s="9"/>
      <c r="C423" s="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</row>
    <row r="424" spans="1:18" ht="15" customHeight="1">
      <c r="A424" s="8"/>
      <c r="B424" s="9"/>
      <c r="C424" s="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</row>
    <row r="425" spans="1:18" ht="15" customHeight="1">
      <c r="A425" s="8"/>
      <c r="B425" s="9"/>
      <c r="C425" s="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 spans="1:18" ht="15" customHeight="1">
      <c r="A426" s="8"/>
      <c r="B426" s="9"/>
      <c r="C426" s="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</row>
    <row r="427" spans="1:18" ht="15" customHeight="1">
      <c r="A427" s="8"/>
      <c r="B427" s="9"/>
      <c r="C427" s="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 spans="1:18" ht="15" customHeight="1">
      <c r="A428" s="8"/>
      <c r="B428" s="9"/>
      <c r="C428" s="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 spans="1:18" ht="15" customHeight="1">
      <c r="A429" s="8"/>
      <c r="B429" s="9"/>
      <c r="C429" s="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</row>
    <row r="430" spans="1:18" ht="15" customHeight="1">
      <c r="A430" s="8"/>
      <c r="B430" s="9"/>
      <c r="C430" s="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</row>
    <row r="431" spans="1:18" ht="15" customHeight="1">
      <c r="A431" s="8"/>
      <c r="B431" s="9"/>
      <c r="C431" s="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</row>
    <row r="432" spans="1:18" ht="15" customHeight="1">
      <c r="A432" s="8"/>
      <c r="B432" s="9"/>
      <c r="C432" s="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</row>
    <row r="433" spans="1:18" ht="15" customHeight="1">
      <c r="A433" s="8"/>
      <c r="B433" s="9"/>
      <c r="C433" s="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spans="1:18" ht="15" customHeight="1">
      <c r="A434" s="8"/>
      <c r="B434" s="9"/>
      <c r="C434" s="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</row>
    <row r="435" spans="1:18" ht="15" customHeight="1">
      <c r="A435" s="8"/>
      <c r="B435" s="9"/>
      <c r="C435" s="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</row>
    <row r="436" spans="1:18" ht="15" customHeight="1">
      <c r="A436" s="8"/>
      <c r="B436" s="9"/>
      <c r="C436" s="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</row>
    <row r="437" spans="1:18" ht="15" customHeight="1">
      <c r="A437" s="8"/>
      <c r="B437" s="9"/>
      <c r="C437" s="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</row>
    <row r="438" spans="1:18" ht="15" customHeight="1">
      <c r="A438" s="8"/>
      <c r="B438" s="9"/>
      <c r="C438" s="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</row>
    <row r="439" spans="1:18" ht="15" customHeight="1">
      <c r="A439" s="8"/>
      <c r="B439" s="9"/>
      <c r="C439" s="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</row>
    <row r="440" spans="1:18" ht="15" customHeight="1">
      <c r="A440" s="8"/>
      <c r="B440" s="9"/>
      <c r="C440" s="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 spans="1:18" ht="15" customHeight="1">
      <c r="A441" s="8"/>
      <c r="B441" s="9"/>
      <c r="C441" s="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</row>
    <row r="442" spans="1:18" ht="15" customHeight="1">
      <c r="A442" s="8"/>
      <c r="B442" s="9"/>
      <c r="C442" s="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</row>
    <row r="443" spans="1:18" ht="15" customHeight="1">
      <c r="A443" s="8"/>
      <c r="B443" s="9"/>
      <c r="C443" s="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</row>
    <row r="444" spans="1:18" ht="15" customHeight="1">
      <c r="A444" s="8"/>
      <c r="B444" s="9"/>
      <c r="C444" s="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</row>
    <row r="445" spans="1:18" ht="15" customHeight="1">
      <c r="A445" s="8"/>
      <c r="B445" s="9"/>
      <c r="C445" s="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</row>
    <row r="446" spans="1:18" ht="15" customHeight="1">
      <c r="A446" s="8"/>
      <c r="B446" s="9"/>
      <c r="C446" s="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</row>
    <row r="447" spans="1:18" ht="15" customHeight="1">
      <c r="A447" s="8"/>
      <c r="B447" s="9"/>
      <c r="C447" s="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</row>
    <row r="448" spans="1:18" ht="15" customHeight="1">
      <c r="A448" s="8"/>
      <c r="B448" s="9"/>
      <c r="C448" s="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</row>
    <row r="449" spans="1:18" ht="15" customHeight="1">
      <c r="A449" s="8"/>
      <c r="B449" s="9"/>
      <c r="C449" s="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</row>
    <row r="450" spans="1:18" ht="15" customHeight="1">
      <c r="A450" s="8"/>
      <c r="B450" s="9"/>
      <c r="C450" s="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</row>
    <row r="451" spans="1:18" ht="15" customHeight="1">
      <c r="A451" s="8"/>
      <c r="B451" s="9"/>
      <c r="C451" s="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</row>
    <row r="452" spans="1:18" ht="15" customHeight="1">
      <c r="A452" s="8"/>
      <c r="B452" s="9"/>
      <c r="C452" s="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 spans="1:18" ht="15" customHeight="1">
      <c r="A453" s="8"/>
      <c r="B453" s="9"/>
      <c r="C453" s="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</row>
    <row r="454" spans="1:18" ht="15" customHeight="1">
      <c r="A454" s="8"/>
      <c r="B454" s="9"/>
      <c r="C454" s="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</row>
    <row r="455" spans="1:18" ht="15" customHeight="1">
      <c r="A455" s="8"/>
      <c r="B455" s="9"/>
      <c r="C455" s="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</row>
    <row r="456" spans="1:18" ht="15" customHeight="1">
      <c r="A456" s="8"/>
      <c r="B456" s="9"/>
      <c r="C456" s="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</row>
    <row r="457" spans="1:18" ht="15" customHeight="1">
      <c r="A457" s="8"/>
      <c r="B457" s="9"/>
      <c r="C457" s="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</row>
    <row r="458" spans="1:18" ht="15" customHeight="1">
      <c r="A458" s="8"/>
      <c r="B458" s="9"/>
      <c r="C458" s="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</row>
    <row r="459" spans="1:18" ht="15" customHeight="1">
      <c r="A459" s="8"/>
      <c r="B459" s="9"/>
      <c r="C459" s="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</row>
    <row r="460" spans="1:18" ht="15" customHeight="1">
      <c r="A460" s="8"/>
      <c r="B460" s="9"/>
      <c r="C460" s="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</row>
    <row r="461" spans="1:18" ht="15" customHeight="1">
      <c r="A461" s="8"/>
      <c r="B461" s="9"/>
      <c r="C461" s="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</row>
    <row r="462" spans="1:18" ht="15" customHeight="1">
      <c r="A462" s="8"/>
      <c r="B462" s="9"/>
      <c r="C462" s="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</row>
    <row r="463" spans="1:18" ht="15" customHeight="1">
      <c r="A463" s="8"/>
      <c r="B463" s="9"/>
      <c r="C463" s="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</row>
    <row r="464" spans="1:18" ht="15" customHeight="1">
      <c r="A464" s="8"/>
      <c r="B464" s="9"/>
      <c r="C464" s="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 spans="1:18" ht="15" customHeight="1">
      <c r="A465" s="8"/>
      <c r="B465" s="9"/>
      <c r="C465" s="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</row>
    <row r="466" spans="1:18" ht="15" customHeight="1">
      <c r="A466" s="8"/>
      <c r="B466" s="9"/>
      <c r="C466" s="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</row>
    <row r="467" spans="1:18" ht="15" customHeight="1">
      <c r="A467" s="8"/>
      <c r="B467" s="9"/>
      <c r="C467" s="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</row>
    <row r="468" spans="1:18" ht="15" customHeight="1">
      <c r="A468" s="8"/>
      <c r="B468" s="9"/>
      <c r="C468" s="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</row>
    <row r="469" spans="1:18" ht="15" customHeight="1">
      <c r="A469" s="8"/>
      <c r="B469" s="9"/>
      <c r="C469" s="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</row>
    <row r="470" spans="1:18" ht="15" customHeight="1">
      <c r="A470" s="8"/>
      <c r="B470" s="9"/>
      <c r="C470" s="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</row>
    <row r="471" spans="1:18" ht="15" customHeight="1">
      <c r="A471" s="8"/>
      <c r="B471" s="9"/>
      <c r="C471" s="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</row>
    <row r="472" spans="1:18" ht="15" customHeight="1">
      <c r="A472" s="8"/>
      <c r="B472" s="9"/>
      <c r="C472" s="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</row>
    <row r="473" spans="1:18" ht="15" customHeight="1">
      <c r="A473" s="8"/>
      <c r="B473" s="9"/>
      <c r="C473" s="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</row>
    <row r="474" spans="1:18" ht="15" customHeight="1">
      <c r="A474" s="8"/>
      <c r="B474" s="9"/>
      <c r="C474" s="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</row>
    <row r="475" spans="1:18" ht="15" customHeight="1">
      <c r="A475" s="8"/>
      <c r="B475" s="9"/>
      <c r="C475" s="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</row>
    <row r="476" spans="1:18" ht="15" customHeight="1">
      <c r="A476" s="8"/>
      <c r="B476" s="9"/>
      <c r="C476" s="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 spans="1:18" ht="15" customHeight="1">
      <c r="A477" s="8"/>
      <c r="B477" s="9"/>
      <c r="C477" s="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</row>
    <row r="478" spans="1:18" ht="15" customHeight="1">
      <c r="A478" s="8"/>
      <c r="B478" s="9"/>
      <c r="C478" s="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</row>
    <row r="479" spans="1:18" ht="15" customHeight="1">
      <c r="A479" s="8"/>
      <c r="B479" s="9"/>
      <c r="C479" s="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</row>
    <row r="480" spans="1:18" ht="15" customHeight="1">
      <c r="A480" s="8"/>
      <c r="B480" s="9"/>
      <c r="C480" s="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</row>
    <row r="481" spans="1:18" ht="15" customHeight="1">
      <c r="A481" s="8"/>
      <c r="B481" s="9"/>
      <c r="C481" s="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 spans="1:18" ht="15" customHeight="1">
      <c r="A482" s="8"/>
      <c r="B482" s="9"/>
      <c r="C482" s="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</row>
    <row r="483" spans="1:18" ht="15" customHeight="1">
      <c r="A483" s="8"/>
      <c r="B483" s="9"/>
      <c r="C483" s="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</row>
    <row r="484" spans="1:18" ht="15" customHeight="1">
      <c r="A484" s="8"/>
      <c r="B484" s="9"/>
      <c r="C484" s="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</row>
    <row r="485" spans="1:18" ht="15" customHeight="1">
      <c r="A485" s="8"/>
      <c r="B485" s="9"/>
      <c r="C485" s="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</row>
    <row r="486" spans="1:18" ht="15" customHeight="1">
      <c r="A486" s="8"/>
      <c r="B486" s="9"/>
      <c r="C486" s="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 spans="1:18" ht="15" customHeight="1">
      <c r="A487" s="8"/>
      <c r="B487" s="9"/>
      <c r="C487" s="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</row>
    <row r="488" spans="1:18" ht="15" customHeight="1">
      <c r="A488" s="8"/>
      <c r="B488" s="9"/>
      <c r="C488" s="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 spans="1:18" ht="15" customHeight="1">
      <c r="A489" s="8"/>
      <c r="B489" s="9"/>
      <c r="C489" s="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spans="1:18" ht="15" customHeight="1">
      <c r="A490" s="8"/>
      <c r="B490" s="9"/>
      <c r="C490" s="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</row>
    <row r="491" spans="1:18" ht="15" customHeight="1">
      <c r="A491" s="8"/>
      <c r="B491" s="9"/>
      <c r="C491" s="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</row>
    <row r="492" spans="1:18" ht="15" customHeight="1">
      <c r="A492" s="8"/>
      <c r="B492" s="9"/>
      <c r="C492" s="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</row>
    <row r="493" spans="1:18" ht="15" customHeight="1">
      <c r="A493" s="8"/>
      <c r="B493" s="9"/>
      <c r="C493" s="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 spans="1:18" ht="15" customHeight="1">
      <c r="A494" s="8"/>
      <c r="B494" s="9"/>
      <c r="C494" s="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</row>
    <row r="495" spans="1:18" ht="15" customHeight="1">
      <c r="A495" s="8"/>
      <c r="B495" s="9"/>
      <c r="C495" s="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</row>
    <row r="496" spans="1:18" ht="15" customHeight="1">
      <c r="A496" s="8"/>
      <c r="B496" s="9"/>
      <c r="C496" s="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</row>
    <row r="497" spans="1:18" ht="15" customHeight="1">
      <c r="A497" s="8"/>
      <c r="B497" s="9"/>
      <c r="C497" s="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</row>
    <row r="498" spans="1:18" ht="15" customHeight="1">
      <c r="A498" s="8"/>
      <c r="B498" s="9"/>
      <c r="C498" s="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</row>
    <row r="499" spans="1:18" ht="15" customHeight="1">
      <c r="A499" s="8"/>
      <c r="B499" s="9"/>
      <c r="C499" s="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spans="1:18" ht="15" customHeight="1">
      <c r="A500" s="8"/>
      <c r="B500" s="9"/>
      <c r="C500" s="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</row>
    <row r="501" spans="1:18" ht="15" customHeight="1">
      <c r="A501" s="8"/>
      <c r="B501" s="9"/>
      <c r="C501" s="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</row>
    <row r="502" spans="1:18" ht="15" customHeight="1">
      <c r="A502" s="8"/>
      <c r="B502" s="9"/>
      <c r="C502" s="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</row>
    <row r="503" spans="1:18" ht="15" customHeight="1">
      <c r="A503" s="8"/>
      <c r="B503" s="9"/>
      <c r="C503" s="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</row>
    <row r="504" spans="1:18" ht="15" customHeight="1">
      <c r="A504" s="8"/>
      <c r="B504" s="9"/>
      <c r="C504" s="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</row>
    <row r="505" spans="1:18" ht="15" customHeight="1">
      <c r="A505" s="8"/>
      <c r="B505" s="9"/>
      <c r="C505" s="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 spans="1:18" ht="15" customHeight="1">
      <c r="A506" s="8"/>
      <c r="B506" s="9"/>
      <c r="C506" s="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</row>
    <row r="507" spans="1:18" ht="15" customHeight="1">
      <c r="A507" s="8"/>
      <c r="B507" s="9"/>
      <c r="C507" s="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</row>
    <row r="508" spans="1:18" ht="15" customHeight="1">
      <c r="A508" s="8"/>
      <c r="B508" s="9"/>
      <c r="C508" s="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09" spans="1:18" ht="15" customHeight="1">
      <c r="A509" s="8"/>
      <c r="B509" s="9"/>
      <c r="C509" s="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</row>
    <row r="510" spans="1:18" ht="15" customHeight="1">
      <c r="A510" s="8"/>
      <c r="B510" s="9"/>
      <c r="C510" s="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</row>
    <row r="511" spans="1:18" ht="15" customHeight="1">
      <c r="A511" s="8"/>
      <c r="B511" s="9"/>
      <c r="C511" s="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</row>
    <row r="512" spans="1:18" ht="15" customHeight="1">
      <c r="A512" s="8"/>
      <c r="B512" s="9"/>
      <c r="C512" s="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</row>
    <row r="513" spans="1:18" ht="15" customHeight="1">
      <c r="A513" s="8"/>
      <c r="B513" s="9"/>
      <c r="C513" s="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</row>
    <row r="514" spans="1:18" ht="15" customHeight="1">
      <c r="A514" s="8"/>
      <c r="B514" s="9"/>
      <c r="C514" s="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</row>
    <row r="515" spans="1:18" ht="15" customHeight="1">
      <c r="A515" s="8"/>
      <c r="B515" s="9"/>
      <c r="C515" s="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</row>
    <row r="516" spans="1:18" ht="15" customHeight="1">
      <c r="A516" s="8"/>
      <c r="B516" s="9"/>
      <c r="C516" s="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</row>
    <row r="517" spans="1:18" ht="15" customHeight="1">
      <c r="A517" s="8"/>
      <c r="B517" s="9"/>
      <c r="C517" s="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 spans="1:18" ht="15" customHeight="1">
      <c r="A518" s="8"/>
      <c r="B518" s="9"/>
      <c r="C518" s="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</row>
    <row r="519" spans="1:18" ht="15" customHeight="1">
      <c r="A519" s="8"/>
      <c r="B519" s="9"/>
      <c r="C519" s="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</row>
    <row r="520" spans="1:18" ht="15" customHeight="1">
      <c r="A520" s="8"/>
      <c r="B520" s="9"/>
      <c r="C520" s="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</row>
    <row r="521" spans="1:18" ht="15" customHeight="1">
      <c r="A521" s="8"/>
      <c r="B521" s="9"/>
      <c r="C521" s="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</row>
    <row r="522" spans="1:18" ht="15" customHeight="1">
      <c r="A522" s="8"/>
      <c r="B522" s="9"/>
      <c r="C522" s="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</row>
    <row r="523" spans="1:18" ht="15" customHeight="1">
      <c r="A523" s="8"/>
      <c r="B523" s="9"/>
      <c r="C523" s="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</row>
    <row r="524" spans="1:18" ht="15" customHeight="1">
      <c r="A524" s="8"/>
      <c r="B524" s="9"/>
      <c r="C524" s="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</row>
    <row r="525" spans="1:18" ht="15" customHeight="1">
      <c r="A525" s="8"/>
      <c r="B525" s="9"/>
      <c r="C525" s="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</row>
    <row r="526" spans="1:18" ht="15" customHeight="1">
      <c r="A526" s="8"/>
      <c r="B526" s="9"/>
      <c r="C526" s="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</row>
    <row r="527" spans="1:18" ht="15" customHeight="1">
      <c r="A527" s="8"/>
      <c r="B527" s="9"/>
      <c r="C527" s="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</row>
    <row r="528" spans="1:18" ht="15" customHeight="1">
      <c r="A528" s="8"/>
      <c r="B528" s="9"/>
      <c r="C528" s="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</row>
    <row r="529" spans="1:18" ht="15" customHeight="1">
      <c r="A529" s="8"/>
      <c r="B529" s="9"/>
      <c r="C529" s="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 spans="1:18" ht="15" customHeight="1">
      <c r="A530" s="8"/>
      <c r="B530" s="9"/>
      <c r="C530" s="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</row>
    <row r="531" spans="1:18" ht="15" customHeight="1">
      <c r="A531" s="8"/>
      <c r="B531" s="9"/>
      <c r="C531" s="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</row>
    <row r="532" spans="1:18" ht="15" customHeight="1">
      <c r="A532" s="8"/>
      <c r="B532" s="9"/>
      <c r="C532" s="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</row>
    <row r="533" spans="1:18" ht="15" customHeight="1">
      <c r="A533" s="8"/>
      <c r="B533" s="9"/>
      <c r="C533" s="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</row>
    <row r="534" spans="1:18" ht="15" customHeight="1">
      <c r="A534" s="8"/>
      <c r="B534" s="9"/>
      <c r="C534" s="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</row>
    <row r="535" spans="1:18" ht="15" customHeight="1">
      <c r="A535" s="8"/>
      <c r="B535" s="9"/>
      <c r="C535" s="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</row>
    <row r="536" spans="1:18" ht="15" customHeight="1">
      <c r="A536" s="8"/>
      <c r="B536" s="9"/>
      <c r="C536" s="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</row>
    <row r="537" spans="1:18" ht="15" customHeight="1">
      <c r="A537" s="8"/>
      <c r="B537" s="9"/>
      <c r="C537" s="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</row>
    <row r="538" spans="1:18" ht="15" customHeight="1">
      <c r="A538" s="8"/>
      <c r="B538" s="9"/>
      <c r="C538" s="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</row>
    <row r="539" spans="1:18" ht="15" customHeight="1">
      <c r="A539" s="8"/>
      <c r="B539" s="9"/>
      <c r="C539" s="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</row>
    <row r="540" spans="1:18" ht="15" customHeight="1">
      <c r="A540" s="8"/>
      <c r="B540" s="9"/>
      <c r="C540" s="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</row>
    <row r="541" spans="1:18" ht="15" customHeight="1">
      <c r="A541" s="8"/>
      <c r="B541" s="9"/>
      <c r="C541" s="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 spans="1:18" ht="15" customHeight="1">
      <c r="A542" s="8"/>
      <c r="B542" s="9"/>
      <c r="C542" s="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</row>
    <row r="543" spans="1:18" ht="15" customHeight="1">
      <c r="A543" s="8"/>
      <c r="B543" s="9"/>
      <c r="C543" s="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</row>
    <row r="544" spans="1:18" ht="15" customHeight="1">
      <c r="A544" s="8"/>
      <c r="B544" s="9"/>
      <c r="C544" s="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</row>
    <row r="545" spans="1:18" ht="15" customHeight="1">
      <c r="A545" s="8"/>
      <c r="B545" s="9"/>
      <c r="C545" s="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</row>
    <row r="546" spans="1:18" ht="15" customHeight="1">
      <c r="A546" s="8"/>
      <c r="B546" s="9"/>
      <c r="C546" s="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 spans="1:18" ht="15" customHeight="1">
      <c r="A547" s="8"/>
      <c r="B547" s="9"/>
      <c r="C547" s="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 spans="1:18" ht="15" customHeight="1">
      <c r="A548" s="8"/>
      <c r="B548" s="9"/>
      <c r="C548" s="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49" spans="1:18" ht="15" customHeight="1">
      <c r="A549" s="8"/>
      <c r="B549" s="9"/>
      <c r="C549" s="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</row>
    <row r="550" spans="1:18" ht="15" customHeight="1">
      <c r="A550" s="8"/>
      <c r="B550" s="9"/>
      <c r="C550" s="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</row>
    <row r="551" spans="1:18" ht="15" customHeight="1">
      <c r="A551" s="8"/>
      <c r="B551" s="9"/>
      <c r="C551" s="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</row>
    <row r="552" spans="1:18" ht="15" customHeight="1">
      <c r="A552" s="8"/>
      <c r="B552" s="9"/>
      <c r="C552" s="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</row>
    <row r="553" spans="1:18" ht="15" customHeight="1">
      <c r="A553" s="8"/>
      <c r="B553" s="9"/>
      <c r="C553" s="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 spans="1:18" ht="15" customHeight="1">
      <c r="A554" s="8"/>
      <c r="B554" s="9"/>
      <c r="C554" s="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</row>
    <row r="555" spans="1:18" ht="15" customHeight="1">
      <c r="A555" s="8"/>
      <c r="B555" s="9"/>
      <c r="C555" s="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</row>
    <row r="556" spans="1:18" ht="15" customHeight="1">
      <c r="A556" s="8"/>
      <c r="B556" s="9"/>
      <c r="C556" s="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1:18" ht="15" customHeight="1">
      <c r="A557" s="8"/>
      <c r="B557" s="9"/>
      <c r="C557" s="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 spans="1:18" ht="15" customHeight="1">
      <c r="A558" s="8"/>
      <c r="B558" s="9"/>
      <c r="C558" s="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</row>
    <row r="559" spans="1:18" ht="15" customHeight="1">
      <c r="A559" s="8"/>
      <c r="B559" s="9"/>
      <c r="C559" s="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</row>
    <row r="560" spans="1:18" ht="15" customHeight="1">
      <c r="A560" s="8"/>
      <c r="B560" s="9"/>
      <c r="C560" s="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</row>
    <row r="561" spans="1:18" ht="15" customHeight="1">
      <c r="A561" s="8"/>
      <c r="B561" s="9"/>
      <c r="C561" s="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</row>
    <row r="562" spans="1:18" ht="15" customHeight="1">
      <c r="A562" s="8"/>
      <c r="B562" s="9"/>
      <c r="C562" s="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</row>
    <row r="563" spans="1:18" ht="15" customHeight="1">
      <c r="A563" s="8"/>
      <c r="B563" s="9"/>
      <c r="C563" s="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</row>
    <row r="564" spans="1:18" ht="15" customHeight="1">
      <c r="A564" s="8"/>
      <c r="B564" s="9"/>
      <c r="C564" s="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</row>
    <row r="565" spans="1:18" ht="15" customHeight="1">
      <c r="A565" s="8"/>
      <c r="B565" s="9"/>
      <c r="C565" s="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 spans="1:18" ht="15" customHeight="1">
      <c r="A566" s="8"/>
      <c r="B566" s="9"/>
      <c r="C566" s="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 spans="1:18" ht="15" customHeight="1">
      <c r="A567" s="8"/>
      <c r="B567" s="9"/>
      <c r="C567" s="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</row>
    <row r="568" spans="1:18" ht="15" customHeight="1">
      <c r="A568" s="8"/>
      <c r="B568" s="9"/>
      <c r="C568" s="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</row>
    <row r="569" spans="1:18" ht="15" customHeight="1">
      <c r="A569" s="8"/>
      <c r="B569" s="9"/>
      <c r="C569" s="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</row>
    <row r="570" spans="1:18" ht="15" customHeight="1">
      <c r="A570" s="8"/>
      <c r="B570" s="9"/>
      <c r="C570" s="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</row>
    <row r="571" spans="1:18" ht="15" customHeight="1">
      <c r="A571" s="8"/>
      <c r="B571" s="9"/>
      <c r="C571" s="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</row>
    <row r="572" spans="1:18" ht="15" customHeight="1">
      <c r="A572" s="8"/>
      <c r="B572" s="9"/>
      <c r="C572" s="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</row>
    <row r="573" spans="1:18" ht="15" customHeight="1">
      <c r="A573" s="8"/>
      <c r="B573" s="9"/>
      <c r="C573" s="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</row>
    <row r="574" spans="1:18" ht="15" customHeight="1">
      <c r="A574" s="8"/>
      <c r="B574" s="9"/>
      <c r="C574" s="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 spans="1:18" ht="15" customHeight="1">
      <c r="A575" s="8"/>
      <c r="B575" s="9"/>
      <c r="C575" s="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</row>
    <row r="576" spans="1:18" ht="15" customHeight="1">
      <c r="A576" s="8"/>
      <c r="B576" s="9"/>
      <c r="C576" s="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</row>
    <row r="577" spans="1:18" ht="15" customHeight="1">
      <c r="A577" s="8"/>
      <c r="B577" s="9"/>
      <c r="C577" s="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</row>
    <row r="578" spans="1:18" ht="15" customHeight="1">
      <c r="A578" s="8"/>
      <c r="B578" s="9"/>
      <c r="C578" s="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 spans="1:18" ht="15" customHeight="1">
      <c r="A579" s="8"/>
      <c r="B579" s="9"/>
      <c r="C579" s="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</row>
    <row r="580" spans="1:18" ht="15" customHeight="1">
      <c r="A580" s="8"/>
      <c r="B580" s="9"/>
      <c r="C580" s="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</row>
    <row r="581" spans="1:18" ht="15" customHeight="1">
      <c r="A581" s="8"/>
      <c r="B581" s="9"/>
      <c r="C581" s="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</row>
    <row r="582" spans="1:18" ht="15" customHeight="1">
      <c r="A582" s="8"/>
      <c r="B582" s="9"/>
      <c r="C582" s="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</row>
    <row r="583" spans="1:18" ht="15" customHeight="1">
      <c r="A583" s="8"/>
      <c r="B583" s="9"/>
      <c r="C583" s="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</row>
    <row r="584" spans="1:18" ht="15" customHeight="1">
      <c r="A584" s="8"/>
      <c r="B584" s="9"/>
      <c r="C584" s="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</row>
    <row r="585" spans="1:18" ht="15" customHeight="1">
      <c r="A585" s="8"/>
      <c r="B585" s="9"/>
      <c r="C585" s="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</row>
    <row r="586" spans="1:18" ht="15" customHeight="1">
      <c r="A586" s="8"/>
      <c r="B586" s="9"/>
      <c r="C586" s="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</row>
    <row r="587" spans="1:18" ht="15" customHeight="1">
      <c r="A587" s="8"/>
      <c r="B587" s="9"/>
      <c r="C587" s="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</row>
    <row r="588" spans="1:18" ht="15" customHeight="1">
      <c r="A588" s="8"/>
      <c r="B588" s="9"/>
      <c r="C588" s="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</row>
    <row r="589" spans="1:18" ht="15" customHeight="1">
      <c r="A589" s="8"/>
      <c r="B589" s="9"/>
      <c r="C589" s="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</row>
    <row r="590" spans="1:18" ht="15" customHeight="1">
      <c r="A590" s="8"/>
      <c r="B590" s="9"/>
      <c r="C590" s="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 spans="1:18" ht="15" customHeight="1">
      <c r="A591" s="8"/>
      <c r="B591" s="9"/>
      <c r="C591" s="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</row>
    <row r="592" spans="1:18" ht="15" customHeight="1">
      <c r="A592" s="8"/>
      <c r="B592" s="9"/>
      <c r="C592" s="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</row>
    <row r="593" spans="1:18" ht="15" customHeight="1">
      <c r="A593" s="8"/>
      <c r="B593" s="9"/>
      <c r="C593" s="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</row>
    <row r="594" spans="1:18" ht="15" customHeight="1">
      <c r="A594" s="8"/>
      <c r="B594" s="9"/>
      <c r="C594" s="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</row>
    <row r="595" spans="1:18" ht="15" customHeight="1">
      <c r="A595" s="8"/>
      <c r="B595" s="9"/>
      <c r="C595" s="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</row>
    <row r="596" spans="1:18" ht="15" customHeight="1">
      <c r="A596" s="8"/>
      <c r="B596" s="9"/>
      <c r="C596" s="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</row>
    <row r="597" spans="1:18" ht="15" customHeight="1">
      <c r="A597" s="8"/>
      <c r="B597" s="9"/>
      <c r="C597" s="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</row>
    <row r="598" spans="1:18" ht="15" customHeight="1">
      <c r="A598" s="8"/>
      <c r="B598" s="9"/>
      <c r="C598" s="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</row>
    <row r="599" spans="1:18" ht="15" customHeight="1">
      <c r="A599" s="8"/>
      <c r="B599" s="9"/>
      <c r="C599" s="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</row>
    <row r="600" spans="1:18" ht="15" customHeight="1">
      <c r="A600" s="8"/>
      <c r="B600" s="9"/>
      <c r="C600" s="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</row>
    <row r="601" spans="1:18" ht="15" customHeight="1">
      <c r="A601" s="8"/>
      <c r="B601" s="9"/>
      <c r="C601" s="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</row>
    <row r="602" spans="1:18" ht="15" customHeight="1">
      <c r="A602" s="8"/>
      <c r="B602" s="9"/>
      <c r="C602" s="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 spans="1:18" ht="15" customHeight="1">
      <c r="A603" s="8"/>
      <c r="B603" s="9"/>
      <c r="C603" s="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</row>
    <row r="604" spans="1:18" ht="15" customHeight="1">
      <c r="A604" s="8"/>
      <c r="B604" s="9"/>
      <c r="C604" s="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</row>
    <row r="605" spans="1:18" ht="15" customHeight="1">
      <c r="A605" s="8"/>
      <c r="B605" s="9"/>
      <c r="C605" s="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</row>
    <row r="606" spans="1:18" ht="15" customHeight="1">
      <c r="A606" s="8"/>
      <c r="B606" s="9"/>
      <c r="C606" s="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</row>
    <row r="607" spans="1:18" ht="15" customHeight="1">
      <c r="A607" s="8"/>
      <c r="B607" s="9"/>
      <c r="C607" s="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</row>
    <row r="608" spans="1:18" ht="15" customHeight="1">
      <c r="A608" s="8"/>
      <c r="B608" s="9"/>
      <c r="C608" s="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</row>
    <row r="609" spans="1:18" ht="15" customHeight="1">
      <c r="A609" s="8"/>
      <c r="B609" s="9"/>
      <c r="C609" s="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 spans="1:18" ht="15" customHeight="1">
      <c r="A610" s="8"/>
      <c r="B610" s="9"/>
      <c r="C610" s="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 spans="1:18" ht="15" customHeight="1">
      <c r="A611" s="8"/>
      <c r="B611" s="9"/>
      <c r="C611" s="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</row>
    <row r="612" spans="1:18" ht="15" customHeight="1">
      <c r="A612" s="8"/>
      <c r="B612" s="9"/>
      <c r="C612" s="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</row>
    <row r="613" spans="1:18" ht="15" customHeight="1">
      <c r="A613" s="8"/>
      <c r="B613" s="9"/>
      <c r="C613" s="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</row>
    <row r="614" spans="1:18" ht="15" customHeight="1">
      <c r="A614" s="8"/>
      <c r="B614" s="9"/>
      <c r="C614" s="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 spans="1:18" ht="15" customHeight="1">
      <c r="A615" s="8"/>
      <c r="B615" s="9"/>
      <c r="C615" s="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</row>
    <row r="616" spans="1:18" ht="15" customHeight="1">
      <c r="A616" s="8"/>
      <c r="B616" s="9"/>
      <c r="C616" s="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7" spans="1:18" ht="15" customHeight="1">
      <c r="A617" s="8"/>
      <c r="B617" s="9"/>
      <c r="C617" s="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</row>
    <row r="618" spans="1:18" ht="15" customHeight="1">
      <c r="A618" s="8"/>
      <c r="B618" s="9"/>
      <c r="C618" s="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</row>
    <row r="619" spans="1:18" ht="15" customHeight="1">
      <c r="A619" s="8"/>
      <c r="B619" s="9"/>
      <c r="C619" s="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</row>
    <row r="620" spans="1:18" ht="15" customHeight="1">
      <c r="A620" s="8"/>
      <c r="B620" s="9"/>
      <c r="C620" s="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</row>
    <row r="621" spans="1:18" ht="15" customHeight="1">
      <c r="A621" s="8"/>
      <c r="B621" s="9"/>
      <c r="C621" s="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</row>
    <row r="622" spans="1:18" ht="15" customHeight="1">
      <c r="A622" s="8"/>
      <c r="B622" s="9"/>
      <c r="C622" s="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</row>
    <row r="623" spans="1:18" ht="15" customHeight="1">
      <c r="A623" s="8"/>
      <c r="B623" s="9"/>
      <c r="C623" s="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</row>
    <row r="624" spans="1:18" ht="15" customHeight="1">
      <c r="A624" s="8"/>
      <c r="B624" s="9"/>
      <c r="C624" s="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</row>
    <row r="625" spans="1:18" ht="15" customHeight="1">
      <c r="A625" s="8"/>
      <c r="B625" s="9"/>
      <c r="C625" s="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</row>
    <row r="626" spans="1:18" ht="15" customHeight="1">
      <c r="A626" s="8"/>
      <c r="B626" s="9"/>
      <c r="C626" s="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 spans="1:18" ht="15" customHeight="1">
      <c r="A627" s="8"/>
      <c r="B627" s="9"/>
      <c r="C627" s="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</row>
    <row r="628" spans="1:18" ht="15" customHeight="1">
      <c r="A628" s="8"/>
      <c r="B628" s="9"/>
      <c r="C628" s="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</row>
    <row r="629" spans="1:18" ht="15" customHeight="1">
      <c r="A629" s="8"/>
      <c r="B629" s="9"/>
      <c r="C629" s="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</row>
    <row r="630" spans="1:18" ht="15" customHeight="1">
      <c r="A630" s="8"/>
      <c r="B630" s="9"/>
      <c r="C630" s="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</row>
    <row r="631" spans="1:18" ht="15" customHeight="1">
      <c r="A631" s="8"/>
      <c r="B631" s="9"/>
      <c r="C631" s="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</row>
    <row r="632" spans="1:18" ht="15" customHeight="1">
      <c r="A632" s="8"/>
      <c r="B632" s="9"/>
      <c r="C632" s="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</row>
    <row r="633" spans="1:18" ht="15" customHeight="1">
      <c r="A633" s="8"/>
      <c r="B633" s="9"/>
      <c r="C633" s="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</row>
    <row r="634" spans="1:18" ht="15" customHeight="1">
      <c r="A634" s="8"/>
      <c r="B634" s="9"/>
      <c r="C634" s="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</row>
    <row r="635" spans="1:18" ht="15" customHeight="1">
      <c r="A635" s="8"/>
      <c r="B635" s="9"/>
      <c r="C635" s="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</row>
    <row r="636" spans="1:18" ht="15" customHeight="1">
      <c r="A636" s="8"/>
      <c r="B636" s="9"/>
      <c r="C636" s="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</row>
    <row r="637" spans="1:18" ht="15" customHeight="1">
      <c r="A637" s="8"/>
      <c r="B637" s="9"/>
      <c r="C637" s="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</row>
    <row r="638" spans="1:18" ht="15" customHeight="1">
      <c r="A638" s="8"/>
      <c r="B638" s="9"/>
      <c r="C638" s="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 spans="1:18" ht="15" customHeight="1">
      <c r="A639" s="8"/>
      <c r="B639" s="9"/>
      <c r="C639" s="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</row>
    <row r="640" spans="1:18" ht="15" customHeight="1">
      <c r="A640" s="8"/>
      <c r="B640" s="9"/>
      <c r="C640" s="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</row>
    <row r="641" spans="1:18" ht="15" customHeight="1">
      <c r="A641" s="8"/>
      <c r="B641" s="9"/>
      <c r="C641" s="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</row>
    <row r="642" spans="1:18" ht="15" customHeight="1">
      <c r="A642" s="8"/>
      <c r="B642" s="9"/>
      <c r="C642" s="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</row>
    <row r="643" spans="1:18" ht="15" customHeight="1">
      <c r="A643" s="8"/>
      <c r="B643" s="9"/>
      <c r="C643" s="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</row>
    <row r="644" spans="1:18" ht="15" customHeight="1">
      <c r="A644" s="8"/>
      <c r="B644" s="9"/>
      <c r="C644" s="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</row>
    <row r="645" spans="1:18" ht="15" customHeight="1">
      <c r="A645" s="8"/>
      <c r="B645" s="9"/>
      <c r="C645" s="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</row>
    <row r="646" spans="1:18" ht="15" customHeight="1">
      <c r="A646" s="8"/>
      <c r="B646" s="9"/>
      <c r="C646" s="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</row>
    <row r="647" spans="1:18" ht="15" customHeight="1">
      <c r="A647" s="8"/>
      <c r="B647" s="9"/>
      <c r="C647" s="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</row>
    <row r="648" spans="1:18" ht="15" customHeight="1">
      <c r="A648" s="8"/>
      <c r="B648" s="9"/>
      <c r="C648" s="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</row>
    <row r="649" spans="1:18" ht="15" customHeight="1">
      <c r="A649" s="8"/>
      <c r="B649" s="9"/>
      <c r="C649" s="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</row>
    <row r="650" spans="1:18" ht="15" customHeight="1">
      <c r="A650" s="8"/>
      <c r="B650" s="9"/>
      <c r="C650" s="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 spans="1:18" ht="15" customHeight="1">
      <c r="A651" s="8"/>
      <c r="B651" s="9"/>
      <c r="C651" s="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</row>
    <row r="652" spans="1:18" ht="15" customHeight="1">
      <c r="A652" s="8"/>
      <c r="B652" s="9"/>
      <c r="C652" s="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</row>
    <row r="653" spans="1:18" ht="15" customHeight="1">
      <c r="A653" s="8"/>
      <c r="B653" s="9"/>
      <c r="C653" s="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</row>
    <row r="654" spans="1:18" ht="15" customHeight="1">
      <c r="A654" s="8"/>
      <c r="B654" s="9"/>
      <c r="C654" s="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</row>
    <row r="655" spans="1:18" ht="15" customHeight="1">
      <c r="A655" s="8"/>
      <c r="B655" s="9"/>
      <c r="C655" s="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</row>
    <row r="656" spans="1:18" ht="15" customHeight="1">
      <c r="A656" s="8"/>
      <c r="B656" s="9"/>
      <c r="C656" s="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</row>
    <row r="657" spans="1:18" ht="15" customHeight="1">
      <c r="A657" s="8"/>
      <c r="B657" s="9"/>
      <c r="C657" s="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</row>
    <row r="658" spans="1:18" ht="15" customHeight="1">
      <c r="A658" s="8"/>
      <c r="B658" s="9"/>
      <c r="C658" s="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</row>
    <row r="659" spans="1:18" ht="15" customHeight="1">
      <c r="A659" s="8"/>
      <c r="B659" s="9"/>
      <c r="C659" s="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</row>
    <row r="660" spans="1:18" ht="15" customHeight="1">
      <c r="A660" s="8"/>
      <c r="B660" s="9"/>
      <c r="C660" s="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</row>
    <row r="661" spans="1:18" ht="15" customHeight="1">
      <c r="A661" s="8"/>
      <c r="B661" s="9"/>
      <c r="C661" s="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</row>
    <row r="662" spans="1:18" ht="15" customHeight="1">
      <c r="A662" s="8"/>
      <c r="B662" s="9"/>
      <c r="C662" s="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 spans="1:18" ht="15" customHeight="1">
      <c r="A663" s="8"/>
      <c r="B663" s="9"/>
      <c r="C663" s="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</row>
    <row r="664" spans="1:18" ht="15" customHeight="1">
      <c r="A664" s="8"/>
      <c r="B664" s="9"/>
      <c r="C664" s="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</row>
    <row r="665" spans="1:18" ht="15" customHeight="1">
      <c r="A665" s="8"/>
      <c r="B665" s="9"/>
      <c r="C665" s="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</row>
    <row r="666" spans="1:18" ht="15" customHeight="1">
      <c r="A666" s="8"/>
      <c r="B666" s="9"/>
      <c r="C666" s="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</row>
    <row r="667" spans="1:18" ht="15" customHeight="1">
      <c r="A667" s="8"/>
      <c r="B667" s="9"/>
      <c r="C667" s="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</row>
    <row r="668" spans="1:18" ht="15" customHeight="1">
      <c r="A668" s="8"/>
      <c r="B668" s="9"/>
      <c r="C668" s="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</row>
    <row r="669" spans="1:18" ht="15" customHeight="1">
      <c r="A669" s="8"/>
      <c r="B669" s="9"/>
      <c r="C669" s="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 spans="1:18" ht="15" customHeight="1">
      <c r="A670" s="8"/>
      <c r="B670" s="9"/>
      <c r="C670" s="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</row>
    <row r="671" spans="1:18" ht="15" customHeight="1">
      <c r="A671" s="8"/>
      <c r="B671" s="9"/>
      <c r="C671" s="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</row>
    <row r="672" spans="1:18" ht="15" customHeight="1">
      <c r="A672" s="8"/>
      <c r="B672" s="9"/>
      <c r="C672" s="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</row>
    <row r="673" spans="1:18" ht="15" customHeight="1">
      <c r="A673" s="8"/>
      <c r="B673" s="9"/>
      <c r="C673" s="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</row>
    <row r="674" spans="1:18" ht="15" customHeight="1">
      <c r="A674" s="8"/>
      <c r="B674" s="9"/>
      <c r="C674" s="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spans="1:18" ht="15" customHeight="1">
      <c r="A675" s="8"/>
      <c r="B675" s="9"/>
      <c r="C675" s="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</row>
    <row r="676" spans="1:18" ht="15" customHeight="1">
      <c r="A676" s="8"/>
      <c r="B676" s="9"/>
      <c r="C676" s="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</row>
    <row r="677" spans="1:18" ht="15" customHeight="1">
      <c r="A677" s="8"/>
      <c r="B677" s="9"/>
      <c r="C677" s="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</row>
    <row r="678" spans="1:18" ht="15" customHeight="1">
      <c r="A678" s="8"/>
      <c r="B678" s="9"/>
      <c r="C678" s="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</row>
    <row r="679" spans="1:18" ht="15" customHeight="1">
      <c r="A679" s="8"/>
      <c r="B679" s="9"/>
      <c r="C679" s="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</row>
    <row r="680" spans="1:18" ht="15" customHeight="1">
      <c r="A680" s="8"/>
      <c r="B680" s="9"/>
      <c r="C680" s="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</row>
    <row r="681" spans="1:18" ht="15" customHeight="1">
      <c r="A681" s="8"/>
      <c r="B681" s="9"/>
      <c r="C681" s="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</row>
    <row r="682" spans="1:18" ht="15" customHeight="1">
      <c r="A682" s="8"/>
      <c r="B682" s="9"/>
      <c r="C682" s="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</row>
    <row r="683" spans="1:18" ht="15" customHeight="1">
      <c r="A683" s="8"/>
      <c r="B683" s="9"/>
      <c r="C683" s="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</row>
    <row r="684" spans="1:18" ht="15" customHeight="1">
      <c r="A684" s="8"/>
      <c r="B684" s="9"/>
      <c r="C684" s="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</row>
    <row r="685" spans="1:18" ht="15" customHeight="1">
      <c r="A685" s="8"/>
      <c r="B685" s="9"/>
      <c r="C685" s="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</row>
    <row r="686" spans="1:18" ht="15" customHeight="1">
      <c r="A686" s="8"/>
      <c r="B686" s="9"/>
      <c r="C686" s="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 spans="1:18" ht="15" customHeight="1">
      <c r="A687" s="8"/>
      <c r="B687" s="9"/>
      <c r="C687" s="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</row>
    <row r="688" spans="1:18" ht="15" customHeight="1">
      <c r="A688" s="8"/>
      <c r="B688" s="9"/>
      <c r="C688" s="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</row>
    <row r="689" spans="1:18" ht="15" customHeight="1">
      <c r="A689" s="8"/>
      <c r="B689" s="9"/>
      <c r="C689" s="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</row>
    <row r="690" spans="1:18" ht="15" customHeight="1">
      <c r="A690" s="8"/>
      <c r="B690" s="9"/>
      <c r="C690" s="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</row>
    <row r="691" spans="1:18" ht="15" customHeight="1">
      <c r="A691" s="8"/>
      <c r="B691" s="9"/>
      <c r="C691" s="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</row>
    <row r="692" spans="1:18" ht="15" customHeight="1">
      <c r="A692" s="8"/>
      <c r="B692" s="9"/>
      <c r="C692" s="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</row>
    <row r="693" spans="1:18" ht="15" customHeight="1">
      <c r="A693" s="8"/>
      <c r="B693" s="9"/>
      <c r="C693" s="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</row>
    <row r="694" spans="1:18" ht="15" customHeight="1">
      <c r="A694" s="8"/>
      <c r="B694" s="9"/>
      <c r="C694" s="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</row>
    <row r="695" spans="1:18" ht="15" customHeight="1">
      <c r="A695" s="8"/>
      <c r="B695" s="9"/>
      <c r="C695" s="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</row>
    <row r="696" spans="1:18" ht="15" customHeight="1">
      <c r="A696" s="8"/>
      <c r="B696" s="9"/>
      <c r="C696" s="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</row>
    <row r="697" spans="1:18" ht="15" customHeight="1">
      <c r="A697" s="8"/>
      <c r="B697" s="9"/>
      <c r="C697" s="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</row>
    <row r="698" spans="1:18" ht="15" customHeight="1">
      <c r="A698" s="8"/>
      <c r="B698" s="9"/>
      <c r="C698" s="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 spans="1:18" ht="15" customHeight="1">
      <c r="A699" s="8"/>
      <c r="B699" s="9"/>
      <c r="C699" s="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</row>
    <row r="700" spans="1:18" ht="15" customHeight="1">
      <c r="A700" s="8"/>
      <c r="B700" s="9"/>
      <c r="C700" s="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</row>
    <row r="701" spans="1:18" ht="15" customHeight="1">
      <c r="A701" s="8"/>
      <c r="B701" s="9"/>
      <c r="C701" s="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</row>
    <row r="702" spans="1:18" ht="15" customHeight="1">
      <c r="A702" s="8"/>
      <c r="B702" s="9"/>
      <c r="C702" s="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</row>
    <row r="703" spans="1:18" ht="15" customHeight="1">
      <c r="A703" s="8"/>
      <c r="B703" s="9"/>
      <c r="C703" s="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</row>
    <row r="704" spans="1:18" ht="15" customHeight="1">
      <c r="A704" s="8"/>
      <c r="B704" s="9"/>
      <c r="C704" s="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</row>
    <row r="705" spans="1:18" ht="15" customHeight="1">
      <c r="A705" s="8"/>
      <c r="B705" s="9"/>
      <c r="C705" s="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</row>
    <row r="706" spans="1:18" ht="15" customHeight="1">
      <c r="A706" s="8"/>
      <c r="B706" s="9"/>
      <c r="C706" s="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 spans="1:18" ht="15" customHeight="1">
      <c r="A707" s="8"/>
      <c r="B707" s="9"/>
      <c r="C707" s="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</row>
    <row r="708" spans="1:18" ht="15" customHeight="1">
      <c r="A708" s="8"/>
      <c r="B708" s="9"/>
      <c r="C708" s="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 spans="1:18" ht="15" customHeight="1">
      <c r="A709" s="8"/>
      <c r="B709" s="9"/>
      <c r="C709" s="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</row>
    <row r="710" spans="1:18" ht="15" customHeight="1">
      <c r="A710" s="8"/>
      <c r="B710" s="9"/>
      <c r="C710" s="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 spans="1:18" ht="15" customHeight="1">
      <c r="A711" s="8"/>
      <c r="B711" s="9"/>
      <c r="C711" s="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</row>
    <row r="712" spans="1:18" ht="15" customHeight="1">
      <c r="A712" s="8"/>
      <c r="B712" s="9"/>
      <c r="C712" s="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</row>
    <row r="713" spans="1:18" ht="15" customHeight="1">
      <c r="A713" s="8"/>
      <c r="B713" s="9"/>
      <c r="C713" s="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 spans="1:18" ht="15" customHeight="1">
      <c r="A714" s="8"/>
      <c r="B714" s="9"/>
      <c r="C714" s="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 spans="1:18" ht="15" customHeight="1">
      <c r="A715" s="8"/>
      <c r="B715" s="9"/>
      <c r="C715" s="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</row>
    <row r="716" spans="1:18" ht="15" customHeight="1">
      <c r="A716" s="8"/>
      <c r="B716" s="9"/>
      <c r="C716" s="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</row>
    <row r="717" spans="1:18" ht="15" customHeight="1">
      <c r="A717" s="8"/>
      <c r="B717" s="9"/>
      <c r="C717" s="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</row>
    <row r="718" spans="1:18" ht="15" customHeight="1">
      <c r="A718" s="8"/>
      <c r="B718" s="9"/>
      <c r="C718" s="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</row>
    <row r="719" spans="1:18" ht="15" customHeight="1">
      <c r="A719" s="8"/>
      <c r="B719" s="9"/>
      <c r="C719" s="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</row>
    <row r="720" spans="1:18" ht="15" customHeight="1">
      <c r="A720" s="8"/>
      <c r="B720" s="9"/>
      <c r="C720" s="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</row>
    <row r="721" spans="1:18" ht="15" customHeight="1">
      <c r="A721" s="8"/>
      <c r="B721" s="9"/>
      <c r="C721" s="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</row>
    <row r="722" spans="1:18" ht="15" customHeight="1">
      <c r="A722" s="8"/>
      <c r="B722" s="9"/>
      <c r="C722" s="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 spans="1:18" ht="15" customHeight="1">
      <c r="A723" s="8"/>
      <c r="B723" s="9"/>
      <c r="C723" s="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</row>
    <row r="724" spans="1:18" ht="15" customHeight="1">
      <c r="A724" s="8"/>
      <c r="B724" s="9"/>
      <c r="C724" s="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</row>
    <row r="725" spans="1:18" ht="15" customHeight="1">
      <c r="A725" s="8"/>
      <c r="B725" s="9"/>
      <c r="C725" s="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</row>
    <row r="726" spans="1:18" ht="15" customHeight="1">
      <c r="A726" s="8"/>
      <c r="B726" s="9"/>
      <c r="C726" s="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</row>
    <row r="727" spans="1:18" ht="15" customHeight="1">
      <c r="A727" s="8"/>
      <c r="B727" s="9"/>
      <c r="C727" s="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</row>
    <row r="728" spans="1:18" ht="15" customHeight="1">
      <c r="A728" s="8"/>
      <c r="B728" s="9"/>
      <c r="C728" s="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</row>
    <row r="729" spans="1:18" ht="15" customHeight="1">
      <c r="A729" s="8"/>
      <c r="B729" s="9"/>
      <c r="C729" s="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</row>
    <row r="730" spans="1:18" ht="15" customHeight="1">
      <c r="A730" s="8"/>
      <c r="B730" s="9"/>
      <c r="C730" s="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 spans="1:18" ht="15" customHeight="1">
      <c r="A731" s="8"/>
      <c r="B731" s="9"/>
      <c r="C731" s="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</row>
    <row r="732" spans="1:18" ht="15" customHeight="1">
      <c r="A732" s="8"/>
      <c r="B732" s="9"/>
      <c r="C732" s="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 spans="1:18" ht="15" customHeight="1">
      <c r="A733" s="8"/>
      <c r="B733" s="9"/>
      <c r="C733" s="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</row>
    <row r="734" spans="1:18" ht="15" customHeight="1">
      <c r="A734" s="8"/>
      <c r="B734" s="9"/>
      <c r="C734" s="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 spans="1:18" ht="15" customHeight="1">
      <c r="A735" s="8"/>
      <c r="B735" s="9"/>
      <c r="C735" s="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</row>
    <row r="736" spans="1:18" ht="15" customHeight="1">
      <c r="A736" s="8"/>
      <c r="B736" s="9"/>
      <c r="C736" s="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</row>
    <row r="737" spans="1:18" ht="15" customHeight="1">
      <c r="A737" s="8"/>
      <c r="B737" s="9"/>
      <c r="C737" s="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</row>
    <row r="738" spans="1:18" ht="15" customHeight="1">
      <c r="A738" s="8"/>
      <c r="B738" s="9"/>
      <c r="C738" s="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</row>
    <row r="739" spans="1:18" ht="15" customHeight="1">
      <c r="A739" s="8"/>
      <c r="B739" s="9"/>
      <c r="C739" s="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</row>
    <row r="740" spans="1:18" ht="15" customHeight="1">
      <c r="A740" s="8"/>
      <c r="B740" s="9"/>
      <c r="C740" s="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</row>
    <row r="741" spans="1:18" ht="15" customHeight="1">
      <c r="A741" s="8"/>
      <c r="B741" s="9"/>
      <c r="C741" s="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</row>
    <row r="742" spans="1:18" ht="15" customHeight="1">
      <c r="A742" s="8"/>
      <c r="B742" s="9"/>
      <c r="C742" s="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</row>
    <row r="743" spans="1:18" ht="15" customHeight="1">
      <c r="A743" s="8"/>
      <c r="B743" s="9"/>
      <c r="C743" s="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</row>
    <row r="744" spans="1:18" ht="15" customHeight="1">
      <c r="A744" s="8"/>
      <c r="B744" s="9"/>
      <c r="C744" s="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</row>
    <row r="745" spans="1:18" ht="15" customHeight="1">
      <c r="A745" s="8"/>
      <c r="B745" s="9"/>
      <c r="C745" s="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</row>
    <row r="746" spans="1:18" ht="15" customHeight="1">
      <c r="A746" s="8"/>
      <c r="B746" s="9"/>
      <c r="C746" s="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 spans="1:18" ht="15" customHeight="1">
      <c r="A747" s="8"/>
      <c r="B747" s="9"/>
      <c r="C747" s="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</row>
    <row r="748" spans="1:18" ht="15" customHeight="1">
      <c r="A748" s="8"/>
      <c r="B748" s="9"/>
      <c r="C748" s="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</row>
    <row r="749" spans="1:18" ht="15" customHeight="1">
      <c r="A749" s="8"/>
      <c r="B749" s="9"/>
      <c r="C749" s="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</row>
    <row r="750" spans="1:18" ht="15" customHeight="1">
      <c r="A750" s="8"/>
      <c r="B750" s="9"/>
      <c r="C750" s="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</row>
    <row r="751" spans="1:18" ht="15" customHeight="1">
      <c r="A751" s="8"/>
      <c r="B751" s="9"/>
      <c r="C751" s="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</row>
    <row r="752" spans="1:18" ht="15" customHeight="1">
      <c r="A752" s="8"/>
      <c r="B752" s="9"/>
      <c r="C752" s="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</row>
    <row r="753" spans="1:18" ht="15" customHeight="1">
      <c r="A753" s="8"/>
      <c r="B753" s="9"/>
      <c r="C753" s="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</row>
    <row r="754" spans="1:18" ht="15" customHeight="1">
      <c r="A754" s="8"/>
      <c r="B754" s="9"/>
      <c r="C754" s="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</row>
    <row r="755" spans="1:18" ht="15" customHeight="1">
      <c r="A755" s="8"/>
      <c r="B755" s="9"/>
      <c r="C755" s="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</row>
    <row r="756" spans="1:18" ht="15" customHeight="1">
      <c r="A756" s="8"/>
      <c r="B756" s="9"/>
      <c r="C756" s="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</row>
    <row r="757" spans="1:18" ht="15" customHeight="1">
      <c r="A757" s="8"/>
      <c r="B757" s="9"/>
      <c r="C757" s="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</row>
    <row r="758" spans="1:18" ht="15" customHeight="1">
      <c r="A758" s="8"/>
      <c r="B758" s="9"/>
      <c r="C758" s="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spans="1:18" ht="15" customHeight="1">
      <c r="A759" s="8"/>
      <c r="B759" s="9"/>
      <c r="C759" s="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 spans="1:18" ht="15" customHeight="1">
      <c r="A760" s="8"/>
      <c r="B760" s="9"/>
      <c r="C760" s="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</row>
    <row r="761" spans="1:18" ht="15" customHeight="1">
      <c r="A761" s="8"/>
      <c r="B761" s="9"/>
      <c r="C761" s="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</row>
    <row r="762" spans="1:18" ht="15" customHeight="1">
      <c r="A762" s="8"/>
      <c r="B762" s="9"/>
      <c r="C762" s="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</row>
    <row r="763" spans="1:18" ht="15" customHeight="1">
      <c r="A763" s="8"/>
      <c r="B763" s="9"/>
      <c r="C763" s="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</row>
    <row r="764" spans="1:18" ht="15" customHeight="1">
      <c r="A764" s="8"/>
      <c r="B764" s="9"/>
      <c r="C764" s="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</row>
    <row r="765" spans="1:18" ht="15" customHeight="1">
      <c r="A765" s="8"/>
      <c r="B765" s="9"/>
      <c r="C765" s="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</row>
    <row r="766" spans="1:18" ht="15" customHeight="1">
      <c r="A766" s="8"/>
      <c r="B766" s="9"/>
      <c r="C766" s="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</row>
    <row r="767" spans="1:18" ht="15" customHeight="1">
      <c r="A767" s="8"/>
      <c r="B767" s="9"/>
      <c r="C767" s="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</row>
    <row r="768" spans="1:18" ht="15" customHeight="1">
      <c r="A768" s="8"/>
      <c r="B768" s="9"/>
      <c r="C768" s="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</row>
    <row r="769" spans="1:18" ht="15" customHeight="1">
      <c r="A769" s="8"/>
      <c r="B769" s="9"/>
      <c r="C769" s="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</row>
    <row r="770" spans="1:18" ht="15" customHeight="1">
      <c r="A770" s="8"/>
      <c r="B770" s="9"/>
      <c r="C770" s="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 spans="1:18" ht="15" customHeight="1">
      <c r="A771" s="8"/>
      <c r="B771" s="9"/>
      <c r="C771" s="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</row>
    <row r="772" spans="1:18" ht="15" customHeight="1">
      <c r="A772" s="8"/>
      <c r="B772" s="9"/>
      <c r="C772" s="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</row>
    <row r="773" spans="1:18" ht="15" customHeight="1">
      <c r="A773" s="8"/>
      <c r="B773" s="9"/>
      <c r="C773" s="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</row>
    <row r="774" spans="1:18" ht="15" customHeight="1">
      <c r="A774" s="8"/>
      <c r="B774" s="9"/>
      <c r="C774" s="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</row>
    <row r="775" spans="1:18" ht="15" customHeight="1">
      <c r="A775" s="8"/>
      <c r="B775" s="9"/>
      <c r="C775" s="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</row>
    <row r="776" spans="1:18" ht="15" customHeight="1">
      <c r="A776" s="8"/>
      <c r="B776" s="9"/>
      <c r="C776" s="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</row>
    <row r="777" spans="1:18" ht="15" customHeight="1">
      <c r="A777" s="8"/>
      <c r="B777" s="9"/>
      <c r="C777" s="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</row>
    <row r="778" spans="1:18" ht="15" customHeight="1">
      <c r="A778" s="8"/>
      <c r="B778" s="9"/>
      <c r="C778" s="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</row>
    <row r="779" spans="1:18" ht="15" customHeight="1">
      <c r="A779" s="8"/>
      <c r="B779" s="9"/>
      <c r="C779" s="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 spans="1:18" ht="15" customHeight="1">
      <c r="A780" s="8"/>
      <c r="B780" s="9"/>
      <c r="C780" s="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 spans="1:18" ht="15" customHeight="1">
      <c r="A781" s="8"/>
      <c r="B781" s="9"/>
      <c r="C781" s="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</row>
    <row r="782" spans="1:18" ht="15" customHeight="1">
      <c r="A782" s="8"/>
      <c r="B782" s="9"/>
      <c r="C782" s="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 spans="1:18" ht="15" customHeight="1">
      <c r="A783" s="8"/>
      <c r="B783" s="9"/>
      <c r="C783" s="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</row>
    <row r="784" spans="1:18" ht="15" customHeight="1">
      <c r="A784" s="8"/>
      <c r="B784" s="9"/>
      <c r="C784" s="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</row>
    <row r="785" spans="1:18" ht="15" customHeight="1">
      <c r="A785" s="8"/>
      <c r="B785" s="9"/>
      <c r="C785" s="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</row>
    <row r="786" spans="1:18" ht="15" customHeight="1">
      <c r="A786" s="8"/>
      <c r="B786" s="9"/>
      <c r="C786" s="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</row>
    <row r="787" spans="1:18" ht="15" customHeight="1">
      <c r="A787" s="8"/>
      <c r="B787" s="9"/>
      <c r="C787" s="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</row>
    <row r="788" spans="1:18" ht="15" customHeight="1">
      <c r="A788" s="8"/>
      <c r="B788" s="9"/>
      <c r="C788" s="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</row>
    <row r="789" spans="1:18" ht="15" customHeight="1">
      <c r="A789" s="8"/>
      <c r="B789" s="9"/>
      <c r="C789" s="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</row>
    <row r="790" spans="1:18" ht="15" customHeight="1">
      <c r="A790" s="8"/>
      <c r="B790" s="9"/>
      <c r="C790" s="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</row>
    <row r="791" spans="1:18" ht="15" customHeight="1">
      <c r="A791" s="8"/>
      <c r="B791" s="9"/>
      <c r="C791" s="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spans="1:18" ht="15" customHeight="1">
      <c r="A792" s="8"/>
      <c r="B792" s="9"/>
      <c r="C792" s="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</row>
    <row r="793" spans="1:18" ht="15" customHeight="1">
      <c r="A793" s="8"/>
      <c r="B793" s="9"/>
      <c r="C793" s="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</row>
    <row r="794" spans="1:18" ht="15" customHeight="1">
      <c r="A794" s="8"/>
      <c r="B794" s="9"/>
      <c r="C794" s="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 spans="1:18" ht="15" customHeight="1">
      <c r="A795" s="8"/>
      <c r="B795" s="9"/>
      <c r="C795" s="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</row>
    <row r="796" spans="1:18" ht="15" customHeight="1">
      <c r="A796" s="8"/>
      <c r="B796" s="9"/>
      <c r="C796" s="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</row>
    <row r="797" spans="1:18" ht="15" customHeight="1">
      <c r="A797" s="8"/>
      <c r="B797" s="9"/>
      <c r="C797" s="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</row>
    <row r="798" spans="1:18" ht="15" customHeight="1">
      <c r="A798" s="8"/>
      <c r="B798" s="9"/>
      <c r="C798" s="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</row>
    <row r="799" spans="1:18" ht="15" customHeight="1">
      <c r="A799" s="8"/>
      <c r="B799" s="9"/>
      <c r="C799" s="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</row>
    <row r="800" spans="1:18" ht="15" customHeight="1">
      <c r="A800" s="8"/>
      <c r="B800" s="9"/>
      <c r="C800" s="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</row>
    <row r="801" spans="1:18" ht="15" customHeight="1">
      <c r="A801" s="8"/>
      <c r="B801" s="9"/>
      <c r="C801" s="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</row>
    <row r="802" spans="1:18" ht="15" customHeight="1">
      <c r="A802" s="8"/>
      <c r="B802" s="9"/>
      <c r="C802" s="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</row>
    <row r="803" spans="1:18" ht="15" customHeight="1">
      <c r="A803" s="8"/>
      <c r="B803" s="9"/>
      <c r="C803" s="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</row>
    <row r="804" spans="1:18" ht="15" customHeight="1">
      <c r="A804" s="8"/>
      <c r="B804" s="9"/>
      <c r="C804" s="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</row>
    <row r="805" spans="1:18" ht="15" customHeight="1">
      <c r="A805" s="8"/>
      <c r="B805" s="9"/>
      <c r="C805" s="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</row>
    <row r="806" spans="1:18" ht="15" customHeight="1">
      <c r="A806" s="8"/>
      <c r="B806" s="9"/>
      <c r="C806" s="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 spans="1:18" ht="15" customHeight="1">
      <c r="A807" s="8"/>
      <c r="B807" s="9"/>
      <c r="C807" s="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</row>
    <row r="808" spans="1:18" ht="15" customHeight="1">
      <c r="A808" s="8"/>
      <c r="B808" s="9"/>
      <c r="C808" s="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</row>
    <row r="809" spans="1:18" ht="15" customHeight="1">
      <c r="A809" s="8"/>
      <c r="B809" s="9"/>
      <c r="C809" s="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</row>
    <row r="810" spans="1:18" ht="15" customHeight="1">
      <c r="A810" s="8"/>
      <c r="B810" s="9"/>
      <c r="C810" s="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</row>
    <row r="811" spans="1:18" ht="15" customHeight="1">
      <c r="A811" s="8"/>
      <c r="B811" s="9"/>
      <c r="C811" s="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</row>
    <row r="812" spans="1:18" ht="15" customHeight="1">
      <c r="A812" s="8"/>
      <c r="B812" s="9"/>
      <c r="C812" s="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</row>
    <row r="813" spans="1:18" ht="15" customHeight="1">
      <c r="A813" s="8"/>
      <c r="B813" s="9"/>
      <c r="C813" s="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</row>
    <row r="814" spans="1:18" ht="15" customHeight="1">
      <c r="A814" s="8"/>
      <c r="B814" s="9"/>
      <c r="C814" s="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</row>
    <row r="815" spans="1:18" ht="15" customHeight="1">
      <c r="A815" s="8"/>
      <c r="B815" s="9"/>
      <c r="C815" s="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</row>
    <row r="816" spans="1:18" ht="15" customHeight="1">
      <c r="A816" s="8"/>
      <c r="B816" s="9"/>
      <c r="C816" s="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</row>
    <row r="817" spans="1:18" ht="15" customHeight="1">
      <c r="A817" s="8"/>
      <c r="B817" s="9"/>
      <c r="C817" s="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</row>
    <row r="818" spans="1:18" ht="15" customHeight="1">
      <c r="A818" s="8"/>
      <c r="B818" s="9"/>
      <c r="C818" s="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 spans="1:18" ht="15" customHeight="1">
      <c r="A819" s="8"/>
      <c r="B819" s="9"/>
      <c r="C819" s="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</row>
    <row r="820" spans="1:18" ht="15" customHeight="1">
      <c r="A820" s="8"/>
      <c r="B820" s="9"/>
      <c r="C820" s="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</row>
    <row r="821" spans="1:18" ht="15" customHeight="1">
      <c r="A821" s="8"/>
      <c r="B821" s="9"/>
      <c r="C821" s="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</row>
    <row r="822" spans="1:18" ht="15" customHeight="1">
      <c r="A822" s="8"/>
      <c r="B822" s="9"/>
      <c r="C822" s="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</row>
    <row r="823" spans="1:18" ht="15" customHeight="1">
      <c r="A823" s="8"/>
      <c r="B823" s="9"/>
      <c r="C823" s="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</row>
    <row r="824" spans="1:18" ht="15" customHeight="1">
      <c r="A824" s="8"/>
      <c r="B824" s="9"/>
      <c r="C824" s="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</row>
    <row r="825" spans="1:18" ht="15" customHeight="1">
      <c r="A825" s="8"/>
      <c r="B825" s="9"/>
      <c r="C825" s="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</row>
    <row r="826" spans="1:18" ht="15" customHeight="1">
      <c r="A826" s="8"/>
      <c r="B826" s="9"/>
      <c r="C826" s="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</row>
    <row r="827" spans="1:18" ht="15" customHeight="1">
      <c r="A827" s="8"/>
      <c r="B827" s="9"/>
      <c r="C827" s="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</row>
    <row r="828" spans="1:18" ht="15" customHeight="1">
      <c r="A828" s="8"/>
      <c r="B828" s="9"/>
      <c r="C828" s="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</row>
    <row r="829" spans="1:18" ht="15" customHeight="1">
      <c r="A829" s="8"/>
      <c r="B829" s="9"/>
      <c r="C829" s="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</row>
    <row r="830" spans="1:18" ht="15" customHeight="1">
      <c r="A830" s="8"/>
      <c r="B830" s="9"/>
      <c r="C830" s="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 spans="1:18" ht="15" customHeight="1">
      <c r="A831" s="8"/>
      <c r="B831" s="9"/>
      <c r="C831" s="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</row>
    <row r="832" spans="1:18" ht="15" customHeight="1">
      <c r="A832" s="8"/>
      <c r="B832" s="9"/>
      <c r="C832" s="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</row>
    <row r="833" spans="1:18" ht="15" customHeight="1">
      <c r="A833" s="8"/>
      <c r="B833" s="9"/>
      <c r="C833" s="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</row>
    <row r="834" spans="1:18" ht="15" customHeight="1">
      <c r="A834" s="8"/>
      <c r="B834" s="9"/>
      <c r="C834" s="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</row>
    <row r="835" spans="1:18" ht="15" customHeight="1">
      <c r="A835" s="8"/>
      <c r="B835" s="9"/>
      <c r="C835" s="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</row>
    <row r="836" spans="1:18" ht="15" customHeight="1">
      <c r="A836" s="8"/>
      <c r="B836" s="9"/>
      <c r="C836" s="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</row>
    <row r="837" spans="1:18" ht="15" customHeight="1">
      <c r="A837" s="8"/>
      <c r="B837" s="9"/>
      <c r="C837" s="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</row>
    <row r="838" spans="1:18" ht="15" customHeight="1">
      <c r="A838" s="8"/>
      <c r="B838" s="9"/>
      <c r="C838" s="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</row>
    <row r="839" spans="1:18" ht="15" customHeight="1">
      <c r="A839" s="8"/>
      <c r="B839" s="9"/>
      <c r="C839" s="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</row>
    <row r="840" spans="1:18" ht="15" customHeight="1">
      <c r="A840" s="8"/>
      <c r="B840" s="9"/>
      <c r="C840" s="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</row>
    <row r="841" spans="1:18" ht="15" customHeight="1">
      <c r="A841" s="8"/>
      <c r="B841" s="9"/>
      <c r="C841" s="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</row>
    <row r="842" spans="1:18" ht="15" customHeight="1">
      <c r="A842" s="8"/>
      <c r="B842" s="9"/>
      <c r="C842" s="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 spans="1:18" ht="15" customHeight="1">
      <c r="A843" s="8"/>
      <c r="B843" s="9"/>
      <c r="C843" s="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</row>
    <row r="844" spans="1:18" ht="15" customHeight="1">
      <c r="A844" s="8"/>
      <c r="B844" s="9"/>
      <c r="C844" s="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</row>
    <row r="845" spans="1:18" ht="15" customHeight="1">
      <c r="A845" s="8"/>
      <c r="B845" s="9"/>
      <c r="C845" s="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</row>
    <row r="846" spans="1:18" ht="15" customHeight="1">
      <c r="A846" s="8"/>
      <c r="B846" s="9"/>
      <c r="C846" s="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</row>
    <row r="847" spans="1:18" ht="15" customHeight="1">
      <c r="A847" s="8"/>
      <c r="B847" s="9"/>
      <c r="C847" s="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</row>
    <row r="848" spans="1:18" ht="15" customHeight="1">
      <c r="A848" s="8"/>
      <c r="B848" s="9"/>
      <c r="C848" s="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</row>
    <row r="849" spans="1:18" ht="15" customHeight="1">
      <c r="A849" s="8"/>
      <c r="B849" s="9"/>
      <c r="C849" s="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</row>
    <row r="850" spans="1:18" ht="15" customHeight="1">
      <c r="A850" s="8"/>
      <c r="B850" s="9"/>
      <c r="C850" s="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 spans="1:18" ht="15" customHeight="1">
      <c r="A851" s="8"/>
      <c r="B851" s="9"/>
      <c r="C851" s="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 spans="1:18" ht="15" customHeight="1">
      <c r="A852" s="8"/>
      <c r="B852" s="9"/>
      <c r="C852" s="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</row>
    <row r="853" spans="1:18" ht="15" customHeight="1">
      <c r="A853" s="8"/>
      <c r="B853" s="9"/>
      <c r="C853" s="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</row>
    <row r="854" spans="1:18" ht="15" customHeight="1">
      <c r="A854" s="8"/>
      <c r="B854" s="9"/>
      <c r="C854" s="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 spans="1:18" ht="15" customHeight="1">
      <c r="A855" s="8"/>
      <c r="B855" s="9"/>
      <c r="C855" s="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</row>
    <row r="856" spans="1:18" ht="15" customHeight="1">
      <c r="A856" s="8"/>
      <c r="B856" s="9"/>
      <c r="C856" s="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</row>
    <row r="857" spans="1:18" ht="15" customHeight="1">
      <c r="A857" s="8"/>
      <c r="B857" s="9"/>
      <c r="C857" s="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</row>
    <row r="858" spans="1:18" ht="15" customHeight="1">
      <c r="A858" s="8"/>
      <c r="B858" s="9"/>
      <c r="C858" s="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</row>
    <row r="859" spans="1:18" ht="15" customHeight="1">
      <c r="A859" s="8"/>
      <c r="B859" s="9"/>
      <c r="C859" s="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</row>
    <row r="860" spans="1:18" ht="15" customHeight="1">
      <c r="A860" s="8"/>
      <c r="B860" s="9"/>
      <c r="C860" s="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</row>
    <row r="861" spans="1:18" ht="15" customHeight="1">
      <c r="A861" s="8"/>
      <c r="B861" s="9"/>
      <c r="C861" s="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</row>
    <row r="862" spans="1:18" ht="15" customHeight="1">
      <c r="A862" s="8"/>
      <c r="B862" s="9"/>
      <c r="C862" s="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</row>
    <row r="863" spans="1:18" ht="15" customHeight="1">
      <c r="A863" s="8"/>
      <c r="B863" s="9"/>
      <c r="C863" s="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 spans="1:18" ht="15" customHeight="1">
      <c r="A864" s="8"/>
      <c r="B864" s="9"/>
      <c r="C864" s="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</row>
    <row r="865" spans="1:18" ht="15" customHeight="1">
      <c r="A865" s="8"/>
      <c r="B865" s="9"/>
      <c r="C865" s="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</row>
    <row r="866" spans="1:18" ht="15" customHeight="1">
      <c r="A866" s="8"/>
      <c r="B866" s="9"/>
      <c r="C866" s="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</row>
    <row r="867" spans="1:18" ht="15" customHeight="1">
      <c r="A867" s="8"/>
      <c r="B867" s="9"/>
      <c r="C867" s="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</row>
    <row r="868" spans="1:18" ht="15" customHeight="1">
      <c r="A868" s="8"/>
      <c r="B868" s="9"/>
      <c r="C868" s="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</row>
    <row r="869" spans="1:18" ht="15" customHeight="1">
      <c r="A869" s="8"/>
      <c r="B869" s="9"/>
      <c r="C869" s="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 spans="1:18" ht="15" customHeight="1">
      <c r="A870" s="8"/>
      <c r="B870" s="9"/>
      <c r="C870" s="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</row>
    <row r="871" spans="1:18" ht="15" customHeight="1">
      <c r="A871" s="8"/>
      <c r="B871" s="9"/>
      <c r="C871" s="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</row>
    <row r="872" spans="1:18" ht="15" customHeight="1">
      <c r="A872" s="8"/>
      <c r="B872" s="9"/>
      <c r="C872" s="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</row>
    <row r="873" spans="1:18" ht="15" customHeight="1">
      <c r="A873" s="8"/>
      <c r="B873" s="9"/>
      <c r="C873" s="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</row>
    <row r="874" spans="1:18" ht="15" customHeight="1">
      <c r="A874" s="8"/>
      <c r="B874" s="9"/>
      <c r="C874" s="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</row>
    <row r="875" spans="1:18" ht="15" customHeight="1">
      <c r="A875" s="8"/>
      <c r="B875" s="9"/>
      <c r="C875" s="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</row>
    <row r="876" spans="1:18" ht="15" customHeight="1">
      <c r="A876" s="8"/>
      <c r="B876" s="9"/>
      <c r="C876" s="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</row>
    <row r="877" spans="1:18" ht="15" customHeight="1">
      <c r="A877" s="8"/>
      <c r="B877" s="9"/>
      <c r="C877" s="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</row>
    <row r="878" spans="1:18" ht="15" customHeight="1">
      <c r="A878" s="8"/>
      <c r="B878" s="9"/>
      <c r="C878" s="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</row>
    <row r="879" spans="1:18" ht="15" customHeight="1">
      <c r="A879" s="8"/>
      <c r="B879" s="9"/>
      <c r="C879" s="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</row>
    <row r="880" spans="1:18" ht="15" customHeight="1">
      <c r="A880" s="8"/>
      <c r="B880" s="9"/>
      <c r="C880" s="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</row>
    <row r="881" spans="1:18" ht="15" customHeight="1">
      <c r="A881" s="8"/>
      <c r="B881" s="9"/>
      <c r="C881" s="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 spans="1:18" ht="15" customHeight="1">
      <c r="A882" s="8"/>
      <c r="B882" s="9"/>
      <c r="C882" s="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</row>
    <row r="883" spans="1:18" ht="15" customHeight="1">
      <c r="A883" s="8"/>
      <c r="B883" s="9"/>
      <c r="C883" s="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</row>
    <row r="884" spans="1:18" ht="15" customHeight="1">
      <c r="A884" s="8"/>
      <c r="B884" s="9"/>
      <c r="C884" s="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</row>
    <row r="885" spans="1:18" ht="15" customHeight="1">
      <c r="A885" s="8"/>
      <c r="B885" s="9"/>
      <c r="C885" s="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</row>
    <row r="886" spans="1:18" ht="15" customHeight="1">
      <c r="A886" s="8"/>
      <c r="B886" s="9"/>
      <c r="C886" s="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</row>
    <row r="887" spans="1:18" ht="15" customHeight="1">
      <c r="A887" s="8"/>
      <c r="B887" s="9"/>
      <c r="C887" s="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</row>
    <row r="888" spans="1:18" ht="15" customHeight="1">
      <c r="A888" s="8"/>
      <c r="B888" s="9"/>
      <c r="C888" s="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</row>
    <row r="889" spans="1:18" ht="15" customHeight="1">
      <c r="A889" s="8"/>
      <c r="B889" s="9"/>
      <c r="C889" s="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</row>
    <row r="890" spans="1:18" ht="15" customHeight="1">
      <c r="A890" s="8"/>
      <c r="B890" s="9"/>
      <c r="C890" s="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</row>
    <row r="891" spans="1:18" ht="15" customHeight="1">
      <c r="A891" s="8"/>
      <c r="B891" s="9"/>
      <c r="C891" s="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</row>
    <row r="892" spans="1:18" ht="15" customHeight="1">
      <c r="A892" s="8"/>
      <c r="B892" s="9"/>
      <c r="C892" s="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</row>
    <row r="893" spans="1:18" ht="15" customHeight="1">
      <c r="A893" s="8"/>
      <c r="B893" s="9"/>
      <c r="C893" s="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 spans="1:18" ht="15" customHeight="1">
      <c r="A894" s="8"/>
      <c r="B894" s="9"/>
      <c r="C894" s="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</row>
    <row r="895" spans="1:18" ht="15" customHeight="1">
      <c r="A895" s="8"/>
      <c r="B895" s="9"/>
      <c r="C895" s="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</row>
    <row r="896" spans="1:18" ht="15" customHeight="1">
      <c r="A896" s="8"/>
      <c r="B896" s="9"/>
      <c r="C896" s="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</row>
    <row r="897" spans="1:18" ht="15" customHeight="1">
      <c r="A897" s="8"/>
      <c r="B897" s="9"/>
      <c r="C897" s="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</row>
    <row r="898" spans="1:18" ht="15" customHeight="1">
      <c r="A898" s="8"/>
      <c r="B898" s="9"/>
      <c r="C898" s="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 spans="1:18" ht="15" customHeight="1">
      <c r="A899" s="8"/>
      <c r="B899" s="9"/>
      <c r="C899" s="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 spans="1:18" ht="15" customHeight="1">
      <c r="A900" s="8"/>
      <c r="B900" s="9"/>
      <c r="C900" s="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</row>
    <row r="901" spans="1:18" ht="15" customHeight="1">
      <c r="A901" s="8"/>
      <c r="B901" s="9"/>
      <c r="C901" s="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</row>
    <row r="902" spans="1:18" ht="15" customHeight="1">
      <c r="A902" s="8"/>
      <c r="B902" s="9"/>
      <c r="C902" s="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</row>
    <row r="903" spans="1:18" ht="15" customHeight="1">
      <c r="A903" s="8"/>
      <c r="B903" s="9"/>
      <c r="C903" s="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</row>
    <row r="904" spans="1:18" ht="15" customHeight="1">
      <c r="A904" s="8"/>
      <c r="B904" s="9"/>
      <c r="C904" s="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</row>
    <row r="905" spans="1:18" ht="15" customHeight="1">
      <c r="A905" s="8"/>
      <c r="B905" s="9"/>
      <c r="C905" s="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 spans="1:18" ht="15" customHeight="1">
      <c r="A906" s="8"/>
      <c r="B906" s="9"/>
      <c r="C906" s="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</row>
    <row r="907" spans="1:18" ht="15" customHeight="1">
      <c r="A907" s="8"/>
      <c r="B907" s="9"/>
      <c r="C907" s="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</row>
    <row r="908" spans="1:18" ht="15" customHeight="1">
      <c r="A908" s="8"/>
      <c r="B908" s="9"/>
      <c r="C908" s="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</row>
    <row r="909" spans="1:18" ht="15" customHeight="1">
      <c r="A909" s="8"/>
      <c r="B909" s="9"/>
      <c r="C909" s="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 spans="1:18" ht="15" customHeight="1">
      <c r="A910" s="8"/>
      <c r="B910" s="9"/>
      <c r="C910" s="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</row>
    <row r="911" spans="1:18" ht="15" customHeight="1">
      <c r="A911" s="8"/>
      <c r="B911" s="9"/>
      <c r="C911" s="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</row>
    <row r="912" spans="1:18" ht="15" customHeight="1">
      <c r="A912" s="8"/>
      <c r="B912" s="9"/>
      <c r="C912" s="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</row>
    <row r="913" spans="1:18" ht="15" customHeight="1">
      <c r="A913" s="8"/>
      <c r="B913" s="9"/>
      <c r="C913" s="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 spans="1:18" ht="15" customHeight="1">
      <c r="A914" s="8"/>
      <c r="B914" s="9"/>
      <c r="C914" s="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 spans="1:18" ht="15" customHeight="1">
      <c r="A915" s="8"/>
      <c r="B915" s="9"/>
      <c r="C915" s="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 spans="1:18" ht="15" customHeight="1">
      <c r="A916" s="8"/>
      <c r="B916" s="9"/>
      <c r="C916" s="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 spans="1:18" ht="15" customHeight="1">
      <c r="A917" s="8"/>
      <c r="B917" s="9"/>
      <c r="C917" s="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spans="1:18" ht="15" customHeight="1">
      <c r="A918" s="8"/>
      <c r="B918" s="9"/>
      <c r="C918" s="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 spans="1:18" ht="15" customHeight="1">
      <c r="A919" s="8"/>
      <c r="B919" s="9"/>
      <c r="C919" s="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 spans="1:18" ht="15" customHeight="1">
      <c r="A920" s="8"/>
      <c r="B920" s="9"/>
      <c r="C920" s="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 spans="1:18" ht="15" customHeight="1">
      <c r="A921" s="8"/>
      <c r="B921" s="9"/>
      <c r="C921" s="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 spans="1:18" ht="15" customHeight="1">
      <c r="A922" s="8"/>
      <c r="B922" s="9"/>
      <c r="C922" s="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 spans="1:18" ht="15" customHeight="1">
      <c r="A923" s="8"/>
      <c r="B923" s="9"/>
      <c r="C923" s="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 spans="1:18" ht="15" customHeight="1">
      <c r="A924" s="8"/>
      <c r="B924" s="9"/>
      <c r="C924" s="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 spans="1:18" ht="15" customHeight="1">
      <c r="A925" s="8"/>
      <c r="B925" s="9"/>
      <c r="C925" s="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 spans="1:18" ht="15" customHeight="1">
      <c r="A926" s="8"/>
      <c r="B926" s="9"/>
      <c r="C926" s="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 spans="1:18" ht="15" customHeight="1">
      <c r="A927" s="8"/>
      <c r="B927" s="9"/>
      <c r="C927" s="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</row>
    <row r="928" spans="1:18" ht="15" customHeight="1">
      <c r="A928" s="8"/>
      <c r="B928" s="9"/>
      <c r="C928" s="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</row>
    <row r="929" spans="1:18" ht="15" customHeight="1">
      <c r="A929" s="8"/>
      <c r="B929" s="9"/>
      <c r="C929" s="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spans="1:18" ht="15" customHeight="1">
      <c r="A930" s="8"/>
      <c r="B930" s="9"/>
      <c r="C930" s="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</row>
    <row r="931" spans="1:18" ht="15" customHeight="1">
      <c r="A931" s="8"/>
      <c r="B931" s="9"/>
      <c r="C931" s="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</row>
    <row r="932" spans="1:18" ht="15" customHeight="1">
      <c r="A932" s="8"/>
      <c r="B932" s="9"/>
      <c r="C932" s="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</row>
    <row r="933" spans="1:18" ht="15" customHeight="1">
      <c r="A933" s="8"/>
      <c r="B933" s="9"/>
      <c r="C933" s="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</row>
    <row r="934" spans="1:18" ht="15" customHeight="1">
      <c r="A934" s="8"/>
      <c r="B934" s="9"/>
      <c r="C934" s="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</row>
    <row r="935" spans="1:18" ht="15" customHeight="1">
      <c r="A935" s="8"/>
      <c r="B935" s="9"/>
      <c r="C935" s="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</row>
    <row r="936" spans="1:18" ht="15" customHeight="1">
      <c r="A936" s="8"/>
      <c r="B936" s="9"/>
      <c r="C936" s="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</row>
    <row r="937" spans="1:18" ht="15" customHeight="1">
      <c r="A937" s="8"/>
      <c r="B937" s="9"/>
      <c r="C937" s="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</row>
    <row r="938" spans="1:18" ht="15" customHeight="1">
      <c r="A938" s="8"/>
      <c r="B938" s="9"/>
      <c r="C938" s="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</row>
    <row r="939" spans="1:18" ht="15" customHeight="1">
      <c r="A939" s="8"/>
      <c r="B939" s="9"/>
      <c r="C939" s="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</row>
    <row r="940" spans="1:18" ht="15" customHeight="1">
      <c r="A940" s="8"/>
      <c r="B940" s="9"/>
      <c r="C940" s="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</row>
    <row r="941" spans="1:18" ht="15" customHeight="1">
      <c r="A941" s="8"/>
      <c r="B941" s="9"/>
      <c r="C941" s="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spans="1:18" ht="15" customHeight="1">
      <c r="A942" s="8"/>
      <c r="B942" s="9"/>
      <c r="C942" s="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</row>
    <row r="943" spans="1:18" ht="15" customHeight="1">
      <c r="A943" s="8"/>
      <c r="B943" s="9"/>
      <c r="C943" s="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</row>
    <row r="944" spans="1:18" ht="15" customHeight="1">
      <c r="A944" s="8"/>
      <c r="B944" s="9"/>
      <c r="C944" s="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</row>
    <row r="945" spans="1:18" ht="15" customHeight="1">
      <c r="A945" s="8"/>
      <c r="B945" s="9"/>
      <c r="C945" s="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</row>
    <row r="946" spans="1:18" ht="15" customHeight="1">
      <c r="A946" s="8"/>
      <c r="B946" s="9"/>
      <c r="C946" s="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</row>
    <row r="947" spans="1:18" ht="15" customHeight="1">
      <c r="A947" s="8"/>
      <c r="B947" s="9"/>
      <c r="C947" s="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</row>
    <row r="948" spans="1:18" ht="15" customHeight="1">
      <c r="A948" s="8"/>
      <c r="B948" s="9"/>
      <c r="C948" s="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</row>
    <row r="949" spans="1:18" ht="15" customHeight="1">
      <c r="A949" s="8"/>
      <c r="B949" s="9"/>
      <c r="C949" s="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</row>
    <row r="950" spans="1:18" ht="15" customHeight="1">
      <c r="A950" s="8"/>
      <c r="B950" s="9"/>
      <c r="C950" s="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</row>
    <row r="951" spans="1:18" ht="15" customHeight="1">
      <c r="A951" s="8"/>
      <c r="B951" s="9"/>
      <c r="C951" s="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</row>
    <row r="952" spans="1:18" ht="15" customHeight="1">
      <c r="A952" s="8"/>
      <c r="B952" s="9"/>
      <c r="C952" s="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</row>
    <row r="953" spans="1:18" ht="15" customHeight="1">
      <c r="A953" s="8"/>
      <c r="B953" s="9"/>
      <c r="C953" s="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spans="1:18" ht="15" customHeight="1">
      <c r="A954" s="8"/>
      <c r="B954" s="9"/>
      <c r="C954" s="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</row>
    <row r="955" spans="1:18" ht="15" customHeight="1">
      <c r="A955" s="8"/>
      <c r="B955" s="9"/>
      <c r="C955" s="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</row>
    <row r="956" spans="1:18" ht="15" customHeight="1">
      <c r="A956" s="8"/>
      <c r="B956" s="9"/>
      <c r="C956" s="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</row>
    <row r="957" spans="1:18" ht="15" customHeight="1">
      <c r="A957" s="8"/>
      <c r="B957" s="9"/>
      <c r="C957" s="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</row>
    <row r="958" spans="1:18" ht="15" customHeight="1">
      <c r="A958" s="8"/>
      <c r="B958" s="9"/>
      <c r="C958" s="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spans="1:18" ht="15" customHeight="1">
      <c r="A959" s="8"/>
      <c r="B959" s="9"/>
      <c r="C959" s="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spans="1:18" ht="15" customHeight="1">
      <c r="A960" s="8"/>
      <c r="B960" s="9"/>
      <c r="C960" s="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spans="1:18" ht="15" customHeight="1">
      <c r="A961" s="8"/>
      <c r="B961" s="9"/>
      <c r="C961" s="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spans="1:18" ht="15" customHeight="1">
      <c r="A962" s="8"/>
      <c r="B962" s="9"/>
      <c r="C962" s="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spans="1:18" ht="15" customHeight="1">
      <c r="A963" s="8"/>
      <c r="B963" s="9"/>
      <c r="C963" s="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spans="1:18" ht="15" customHeight="1">
      <c r="A964" s="8"/>
      <c r="B964" s="9"/>
      <c r="C964" s="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spans="1:18" ht="15" customHeight="1">
      <c r="A965" s="8"/>
      <c r="B965" s="9"/>
      <c r="C965" s="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spans="1:18" ht="15" customHeight="1">
      <c r="A966" s="8"/>
      <c r="B966" s="9"/>
      <c r="C966" s="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spans="1:18" ht="15" customHeight="1">
      <c r="A967" s="8"/>
      <c r="B967" s="9"/>
      <c r="C967" s="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spans="1:18" ht="15" customHeight="1">
      <c r="A968" s="8"/>
      <c r="B968" s="9"/>
      <c r="C968" s="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spans="1:18" ht="15" customHeight="1">
      <c r="A969" s="8"/>
      <c r="B969" s="9"/>
      <c r="C969" s="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spans="1:18" ht="15" customHeight="1">
      <c r="A970" s="8"/>
      <c r="B970" s="9"/>
      <c r="C970" s="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spans="1:18" ht="15" customHeight="1">
      <c r="A971" s="8"/>
      <c r="B971" s="9"/>
      <c r="C971" s="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spans="1:18" ht="15" customHeight="1">
      <c r="A972" s="8"/>
      <c r="B972" s="9"/>
      <c r="C972" s="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spans="1:18" ht="15" customHeight="1">
      <c r="A973" s="8"/>
      <c r="B973" s="9"/>
      <c r="C973" s="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spans="1:18" ht="15" customHeight="1">
      <c r="A974" s="8"/>
      <c r="B974" s="9"/>
      <c r="C974" s="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spans="1:18" ht="15" customHeight="1">
      <c r="A975" s="8"/>
      <c r="B975" s="9"/>
      <c r="C975" s="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spans="1:18" ht="15" customHeight="1">
      <c r="A976" s="8"/>
      <c r="B976" s="9"/>
      <c r="C976" s="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spans="1:18" ht="15" customHeight="1">
      <c r="A977" s="8"/>
      <c r="B977" s="9"/>
      <c r="C977" s="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spans="1:18" ht="15" customHeight="1">
      <c r="A978" s="8"/>
      <c r="B978" s="9"/>
      <c r="C978" s="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1:18" ht="15" customHeight="1">
      <c r="A979" s="8"/>
      <c r="B979" s="9"/>
      <c r="C979" s="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1:18" ht="15" customHeight="1">
      <c r="A980" s="8"/>
      <c r="B980" s="9"/>
      <c r="C980" s="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1:18" ht="15" customHeight="1">
      <c r="A981" s="8"/>
      <c r="B981" s="9"/>
      <c r="C981" s="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1:18" ht="15" customHeight="1">
      <c r="A982" s="8"/>
      <c r="B982" s="9"/>
      <c r="C982" s="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1:18" ht="15" customHeight="1">
      <c r="A983" s="8"/>
      <c r="B983" s="9"/>
      <c r="C983" s="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1:18" ht="15" customHeight="1">
      <c r="A984" s="8"/>
      <c r="B984" s="9"/>
      <c r="C984" s="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1:18" ht="15" customHeight="1">
      <c r="A985" s="8"/>
      <c r="B985" s="9"/>
      <c r="C985" s="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1:18" ht="15" customHeight="1">
      <c r="A986" s="8"/>
      <c r="B986" s="9"/>
      <c r="C986" s="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1:18" ht="15" customHeight="1">
      <c r="A987" s="8"/>
      <c r="B987" s="9"/>
      <c r="C987" s="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spans="1:18" ht="15" customHeight="1">
      <c r="A988" s="8"/>
      <c r="B988" s="9"/>
      <c r="C988" s="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spans="1:18" ht="15" customHeight="1">
      <c r="A989" s="8"/>
      <c r="B989" s="9"/>
      <c r="C989" s="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spans="1:18" ht="15" customHeight="1">
      <c r="A990" s="8"/>
      <c r="B990" s="9"/>
      <c r="C990" s="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spans="1:18" ht="15" customHeight="1">
      <c r="A991" s="8"/>
      <c r="B991" s="9"/>
      <c r="C991" s="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spans="1:18" ht="15" customHeight="1">
      <c r="A992" s="8"/>
      <c r="B992" s="9"/>
      <c r="C992" s="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spans="1:18" ht="15" customHeight="1">
      <c r="A993" s="8"/>
      <c r="B993" s="9"/>
      <c r="C993" s="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spans="1:18" ht="15" customHeight="1">
      <c r="A994" s="8"/>
      <c r="B994" s="9"/>
      <c r="C994" s="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spans="1:18" ht="15" customHeight="1">
      <c r="A995" s="8"/>
      <c r="B995" s="9"/>
      <c r="C995" s="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  <row r="996" spans="1:18" ht="15" customHeight="1">
      <c r="A996" s="8"/>
      <c r="B996" s="9"/>
      <c r="C996" s="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</row>
    <row r="997" spans="1:18" ht="15" customHeight="1">
      <c r="A997" s="8"/>
      <c r="B997" s="9"/>
      <c r="C997" s="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</row>
    <row r="998" spans="1:18" ht="15" customHeight="1">
      <c r="A998" s="8"/>
      <c r="B998" s="9"/>
      <c r="C998" s="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</row>
    <row r="999" spans="1:18" ht="15" customHeight="1">
      <c r="A999" s="8"/>
      <c r="B999" s="9"/>
      <c r="C999" s="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</row>
    <row r="1000" spans="1:18" ht="15" customHeight="1">
      <c r="A1000" s="8"/>
      <c r="B1000" s="9"/>
      <c r="C1000" s="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</row>
    <row r="1001" spans="1:18" ht="15" customHeight="1">
      <c r="A1001" s="8"/>
      <c r="B1001" s="9"/>
      <c r="C1001" s="9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</row>
    <row r="1002" spans="1:18" ht="15" customHeight="1">
      <c r="A1002" s="8"/>
      <c r="B1002" s="9"/>
      <c r="C1002" s="9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</row>
    <row r="1003" spans="1:18" ht="15" customHeight="1">
      <c r="A1003" s="8"/>
      <c r="B1003" s="9"/>
      <c r="C1003" s="9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</row>
    <row r="1004" spans="1:18" ht="15" customHeight="1">
      <c r="A1004" s="8"/>
      <c r="B1004" s="9"/>
      <c r="C1004" s="9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</row>
    <row r="1005" spans="1:18" ht="15" customHeight="1">
      <c r="A1005" s="8"/>
      <c r="B1005" s="9"/>
      <c r="C1005" s="9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</row>
    <row r="1006" spans="1:18" ht="15" customHeight="1">
      <c r="A1006" s="8"/>
      <c r="B1006" s="9"/>
      <c r="C1006" s="9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</row>
    <row r="1007" spans="1:18" ht="15" customHeight="1">
      <c r="A1007" s="8"/>
      <c r="B1007" s="9"/>
      <c r="C1007" s="9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</row>
    <row r="1008" spans="1:18" ht="15" customHeight="1">
      <c r="A1008" s="8"/>
      <c r="B1008" s="9"/>
      <c r="C1008" s="9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</row>
    <row r="1009" spans="1:18" ht="15" customHeight="1">
      <c r="A1009" s="8"/>
      <c r="B1009" s="9"/>
      <c r="C1009" s="9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</row>
    <row r="1010" spans="1:18" ht="15" customHeight="1">
      <c r="A1010" s="8"/>
      <c r="B1010" s="9"/>
      <c r="C1010" s="9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</row>
    <row r="1011" spans="1:18" ht="15" customHeight="1">
      <c r="A1011" s="8"/>
      <c r="B1011" s="9"/>
      <c r="C1011" s="9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</row>
    <row r="1012" spans="1:18" ht="15" customHeight="1">
      <c r="A1012" s="8"/>
      <c r="B1012" s="9"/>
      <c r="C1012" s="9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</row>
    <row r="1013" spans="1:18" ht="15" customHeight="1">
      <c r="A1013" s="8"/>
      <c r="B1013" s="9"/>
      <c r="C1013" s="9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</row>
    <row r="1014" spans="1:18" ht="15" customHeight="1">
      <c r="A1014" s="8"/>
      <c r="B1014" s="9"/>
      <c r="C1014" s="9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</row>
    <row r="1015" spans="1:18" ht="15" customHeight="1">
      <c r="A1015" s="8"/>
      <c r="B1015" s="9"/>
      <c r="C1015" s="9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</row>
    <row r="1016" spans="1:18" ht="15" customHeight="1">
      <c r="A1016" s="8"/>
      <c r="B1016" s="9"/>
      <c r="C1016" s="9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</row>
    <row r="1017" spans="1:18" ht="15" customHeight="1">
      <c r="A1017" s="8"/>
      <c r="B1017" s="9"/>
      <c r="C1017" s="9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</row>
    <row r="1018" spans="1:18" ht="15" customHeight="1">
      <c r="A1018" s="8"/>
      <c r="B1018" s="9"/>
      <c r="C1018" s="9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</row>
    <row r="1019" spans="1:18" ht="15" customHeight="1">
      <c r="A1019" s="8"/>
      <c r="B1019" s="9"/>
      <c r="C1019" s="9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</row>
    <row r="1020" spans="1:18" ht="15" customHeight="1">
      <c r="A1020" s="8"/>
      <c r="B1020" s="9"/>
      <c r="C1020" s="9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</row>
    <row r="1021" spans="1:18" ht="15" customHeight="1">
      <c r="A1021" s="8"/>
      <c r="B1021" s="9"/>
      <c r="C1021" s="9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</row>
    <row r="1022" spans="1:18" ht="15" customHeight="1">
      <c r="A1022" s="8"/>
      <c r="B1022" s="9"/>
      <c r="C1022" s="9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</row>
    <row r="1023" spans="1:18" ht="15" customHeight="1">
      <c r="A1023" s="8"/>
      <c r="B1023" s="9"/>
      <c r="C1023" s="9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</row>
    <row r="1024" spans="1:18" ht="15" customHeight="1">
      <c r="A1024" s="8"/>
      <c r="B1024" s="9"/>
      <c r="C1024" s="9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</row>
    <row r="1025" spans="1:18" ht="15" customHeight="1">
      <c r="A1025" s="8"/>
      <c r="B1025" s="9"/>
      <c r="C1025" s="9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</row>
    <row r="1026" spans="1:18" ht="15" customHeight="1">
      <c r="A1026" s="8"/>
      <c r="B1026" s="9"/>
      <c r="C1026" s="9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</row>
    <row r="1027" spans="1:18" ht="15" customHeight="1">
      <c r="A1027" s="8"/>
      <c r="B1027" s="9"/>
      <c r="C1027" s="9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</row>
    <row r="1028" spans="1:18" ht="15" customHeight="1">
      <c r="A1028" s="8"/>
      <c r="B1028" s="9"/>
      <c r="C1028" s="9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</row>
    <row r="1029" spans="1:18" ht="15" customHeight="1">
      <c r="A1029" s="8"/>
      <c r="B1029" s="9"/>
      <c r="C1029" s="9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</row>
    <row r="1030" spans="1:18" ht="15" customHeight="1">
      <c r="A1030" s="8"/>
      <c r="B1030" s="9"/>
      <c r="C1030" s="9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</row>
    <row r="1031" spans="1:18" ht="15" customHeight="1">
      <c r="A1031" s="8"/>
      <c r="B1031" s="9"/>
      <c r="C1031" s="9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</row>
    <row r="1032" spans="1:18" ht="15" customHeight="1">
      <c r="A1032" s="8"/>
      <c r="B1032" s="9"/>
      <c r="C1032" s="9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</row>
    <row r="1033" spans="1:18" ht="15" customHeight="1">
      <c r="A1033" s="8"/>
      <c r="B1033" s="9"/>
      <c r="C1033" s="9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</row>
    <row r="1034" spans="1:18" ht="15" customHeight="1">
      <c r="A1034" s="8"/>
      <c r="B1034" s="9"/>
      <c r="C1034" s="9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</row>
    <row r="1035" spans="1:18" ht="15" customHeight="1">
      <c r="A1035" s="8"/>
      <c r="B1035" s="9"/>
      <c r="C1035" s="9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</row>
    <row r="1036" spans="1:18" ht="15" customHeight="1">
      <c r="A1036" s="8"/>
      <c r="B1036" s="9"/>
      <c r="C1036" s="9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</row>
    <row r="1037" spans="1:18" ht="15" customHeight="1">
      <c r="A1037" s="8"/>
      <c r="B1037" s="9"/>
      <c r="C1037" s="9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</row>
    <row r="1038" spans="1:18" ht="15" customHeight="1">
      <c r="A1038" s="8"/>
      <c r="B1038" s="9"/>
      <c r="C1038" s="9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</row>
    <row r="1039" spans="1:18" ht="15" customHeight="1">
      <c r="A1039" s="8"/>
      <c r="B1039" s="9"/>
      <c r="C1039" s="9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</row>
    <row r="1040" spans="1:18" ht="15" customHeight="1">
      <c r="A1040" s="8"/>
      <c r="B1040" s="9"/>
      <c r="C1040" s="9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</row>
    <row r="1041" spans="1:18" ht="15" customHeight="1">
      <c r="A1041" s="8"/>
      <c r="B1041" s="9"/>
      <c r="C1041" s="9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</row>
    <row r="1042" spans="1:18" ht="15" customHeight="1">
      <c r="A1042" s="8"/>
      <c r="B1042" s="9"/>
      <c r="C1042" s="9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</row>
    <row r="1043" spans="1:18" ht="15" customHeight="1">
      <c r="A1043" s="8"/>
      <c r="B1043" s="9"/>
      <c r="C1043" s="9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</row>
    <row r="1044" spans="1:18" ht="15" customHeight="1">
      <c r="A1044" s="8"/>
      <c r="B1044" s="9"/>
      <c r="C1044" s="9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</row>
    <row r="1045" spans="1:18" ht="15" customHeight="1">
      <c r="A1045" s="8"/>
      <c r="B1045" s="9"/>
      <c r="C1045" s="9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</row>
    <row r="1046" spans="1:18" ht="15" customHeight="1">
      <c r="A1046" s="8"/>
      <c r="B1046" s="9"/>
      <c r="C1046" s="9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</row>
    <row r="1047" spans="1:18" ht="15" customHeight="1">
      <c r="A1047" s="8"/>
      <c r="B1047" s="9"/>
      <c r="C1047" s="9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</row>
    <row r="1048" spans="1:18" ht="15" customHeight="1">
      <c r="A1048" s="8"/>
      <c r="B1048" s="9"/>
      <c r="C1048" s="9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</row>
    <row r="1049" spans="1:18" ht="15" customHeight="1">
      <c r="A1049" s="8"/>
      <c r="B1049" s="9"/>
      <c r="C1049" s="9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</row>
  </sheetData>
  <mergeCells count="7">
    <mergeCell ref="A204:H204"/>
    <mergeCell ref="K52:R52"/>
    <mergeCell ref="A1:H1"/>
    <mergeCell ref="A3:B4"/>
    <mergeCell ref="C3:C4"/>
    <mergeCell ref="D3:H3"/>
    <mergeCell ref="C5:H5"/>
  </mergeCells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EY960"/>
  <sheetViews>
    <sheetView showGridLines="0" tabSelected="1" zoomScaleNormal="100" workbookViewId="0">
      <pane ySplit="5" topLeftCell="A111" activePane="bottomLeft" state="frozen"/>
      <selection pane="bottomLeft" activeCell="E118" sqref="E118"/>
    </sheetView>
  </sheetViews>
  <sheetFormatPr defaultColWidth="13.125" defaultRowHeight="14.25"/>
  <cols>
    <col min="1" max="1" width="6.375" customWidth="1"/>
    <col min="4" max="4" width="10.5" customWidth="1"/>
    <col min="5" max="5" width="9.625" customWidth="1"/>
    <col min="6" max="6" width="10.125" customWidth="1"/>
    <col min="7" max="7" width="10.875" customWidth="1"/>
    <col min="8" max="8" width="9.375" customWidth="1"/>
    <col min="12" max="12" width="19.25" bestFit="1" customWidth="1"/>
    <col min="13" max="13" width="14.75" customWidth="1"/>
  </cols>
  <sheetData>
    <row r="1" spans="1:27" ht="15" customHeight="1">
      <c r="A1" s="147" t="s">
        <v>64</v>
      </c>
      <c r="B1" s="147"/>
      <c r="C1" s="147"/>
      <c r="D1" s="147"/>
      <c r="E1" s="147"/>
      <c r="F1" s="147"/>
      <c r="G1" s="147"/>
      <c r="H1" s="147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5"/>
      <c r="Z1" s="55"/>
      <c r="AA1" s="55"/>
    </row>
    <row r="2" spans="1:27" ht="15" customHeight="1">
      <c r="A2" s="37"/>
      <c r="B2" s="37"/>
      <c r="C2" s="42"/>
      <c r="D2" s="37"/>
      <c r="E2" s="37"/>
      <c r="F2" s="37"/>
      <c r="G2" s="37"/>
      <c r="H2" s="37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4"/>
      <c r="V2" s="54"/>
      <c r="W2" s="54"/>
      <c r="X2" s="54"/>
      <c r="Y2" s="55"/>
      <c r="Z2" s="55"/>
      <c r="AA2" s="55"/>
    </row>
    <row r="3" spans="1:27" ht="15" customHeight="1">
      <c r="A3" s="148" t="s">
        <v>14</v>
      </c>
      <c r="B3" s="148"/>
      <c r="C3" s="149" t="s">
        <v>15</v>
      </c>
      <c r="D3" s="150" t="s">
        <v>16</v>
      </c>
      <c r="E3" s="150"/>
      <c r="F3" s="150"/>
      <c r="G3" s="150"/>
      <c r="H3" s="150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4"/>
      <c r="V3" s="54"/>
      <c r="W3" s="54"/>
      <c r="X3" s="54"/>
      <c r="Y3" s="55"/>
      <c r="Z3" s="55"/>
      <c r="AA3" s="55"/>
    </row>
    <row r="4" spans="1:27" ht="19.5" customHeight="1">
      <c r="A4" s="148"/>
      <c r="B4" s="148"/>
      <c r="C4" s="149"/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4"/>
      <c r="V4" s="54"/>
      <c r="W4" s="54"/>
      <c r="X4" s="54"/>
      <c r="Y4" s="55"/>
      <c r="Z4" s="55"/>
      <c r="AA4" s="55"/>
    </row>
    <row r="5" spans="1:27" ht="15" customHeight="1">
      <c r="A5" s="9"/>
      <c r="B5" s="24"/>
      <c r="C5" s="151" t="s">
        <v>22</v>
      </c>
      <c r="D5" s="151"/>
      <c r="E5" s="151"/>
      <c r="F5" s="151"/>
      <c r="G5" s="151"/>
      <c r="H5" s="151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4"/>
      <c r="V5" s="54"/>
      <c r="W5" s="54"/>
      <c r="X5" s="54"/>
      <c r="Y5" s="55"/>
      <c r="Z5" s="55"/>
      <c r="AA5" s="55"/>
    </row>
    <row r="6" spans="1:27" ht="15" customHeight="1">
      <c r="A6" s="9"/>
      <c r="B6" s="56"/>
      <c r="C6" s="57"/>
      <c r="D6" s="56"/>
      <c r="E6" s="56"/>
      <c r="F6" s="56"/>
      <c r="G6" s="56"/>
      <c r="H6" s="56"/>
      <c r="I6" s="56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5"/>
      <c r="Z6" s="55"/>
      <c r="AA6" s="55"/>
    </row>
    <row r="7" spans="1:27" ht="15" customHeight="1">
      <c r="A7" s="18">
        <v>2017</v>
      </c>
      <c r="B7" s="18" t="s">
        <v>23</v>
      </c>
      <c r="C7" s="38">
        <v>688795</v>
      </c>
      <c r="D7" s="24">
        <v>145515</v>
      </c>
      <c r="E7" s="24">
        <v>38797</v>
      </c>
      <c r="F7" s="24">
        <v>370093</v>
      </c>
      <c r="G7" s="24">
        <v>133551</v>
      </c>
      <c r="H7" s="24">
        <v>839</v>
      </c>
      <c r="I7" s="56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5"/>
      <c r="Z7" s="55"/>
      <c r="AA7" s="55"/>
    </row>
    <row r="8" spans="1:27" ht="15" customHeight="1">
      <c r="A8" s="19"/>
      <c r="B8" s="18" t="s">
        <v>24</v>
      </c>
      <c r="C8" s="38">
        <v>552615</v>
      </c>
      <c r="D8" s="24">
        <v>141182</v>
      </c>
      <c r="E8" s="24">
        <v>40276</v>
      </c>
      <c r="F8" s="24">
        <v>269122</v>
      </c>
      <c r="G8" s="24">
        <v>101336</v>
      </c>
      <c r="H8" s="24">
        <v>699</v>
      </c>
      <c r="I8" s="56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5"/>
      <c r="Z8" s="55"/>
      <c r="AA8" s="55"/>
    </row>
    <row r="9" spans="1:27" ht="15" customHeight="1">
      <c r="A9" s="19"/>
      <c r="B9" s="18" t="s">
        <v>25</v>
      </c>
      <c r="C9" s="38">
        <v>556853</v>
      </c>
      <c r="D9" s="24">
        <v>141830</v>
      </c>
      <c r="E9" s="24">
        <v>42847</v>
      </c>
      <c r="F9" s="24">
        <v>268468</v>
      </c>
      <c r="G9" s="24">
        <v>103011</v>
      </c>
      <c r="H9" s="24">
        <v>697</v>
      </c>
      <c r="I9" s="56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5"/>
      <c r="Z9" s="55"/>
      <c r="AA9" s="55"/>
    </row>
    <row r="10" spans="1:27" ht="15" customHeight="1">
      <c r="A10" s="19"/>
      <c r="B10" s="18" t="s">
        <v>26</v>
      </c>
      <c r="C10" s="38">
        <v>680857</v>
      </c>
      <c r="D10" s="24">
        <v>163089</v>
      </c>
      <c r="E10" s="24">
        <v>40364</v>
      </c>
      <c r="F10" s="24">
        <v>345497</v>
      </c>
      <c r="G10" s="24">
        <v>130722</v>
      </c>
      <c r="H10" s="24">
        <v>1185</v>
      </c>
      <c r="I10" s="56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5"/>
      <c r="Z10" s="55"/>
      <c r="AA10" s="55"/>
    </row>
    <row r="11" spans="1:27" ht="15" customHeight="1">
      <c r="A11" s="19"/>
      <c r="B11" s="18" t="s">
        <v>27</v>
      </c>
      <c r="C11" s="38">
        <v>702296</v>
      </c>
      <c r="D11" s="24">
        <v>176652</v>
      </c>
      <c r="E11" s="24">
        <v>48591</v>
      </c>
      <c r="F11" s="24">
        <v>344717</v>
      </c>
      <c r="G11" s="24">
        <v>131152</v>
      </c>
      <c r="H11" s="24">
        <v>1184</v>
      </c>
      <c r="I11" s="56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5"/>
      <c r="Z11" s="55"/>
      <c r="AA11" s="55"/>
    </row>
    <row r="12" spans="1:27" ht="15" customHeight="1">
      <c r="A12" s="19"/>
      <c r="B12" s="18" t="s">
        <v>28</v>
      </c>
      <c r="C12" s="38">
        <v>756441</v>
      </c>
      <c r="D12" s="24">
        <v>172188</v>
      </c>
      <c r="E12" s="24">
        <v>47592</v>
      </c>
      <c r="F12" s="24">
        <v>386212</v>
      </c>
      <c r="G12" s="24">
        <v>149448</v>
      </c>
      <c r="H12" s="24">
        <v>1001</v>
      </c>
      <c r="I12" s="56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5"/>
      <c r="Z12" s="55"/>
      <c r="AA12" s="55"/>
    </row>
    <row r="13" spans="1:27" ht="15" customHeight="1">
      <c r="A13" s="19"/>
      <c r="B13" s="18" t="s">
        <v>29</v>
      </c>
      <c r="C13" s="38">
        <v>767631</v>
      </c>
      <c r="D13" s="24">
        <v>182159</v>
      </c>
      <c r="E13" s="24">
        <v>50052</v>
      </c>
      <c r="F13" s="24">
        <v>384971</v>
      </c>
      <c r="G13" s="24">
        <v>149449</v>
      </c>
      <c r="H13" s="24">
        <v>1000</v>
      </c>
      <c r="I13" s="56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5"/>
      <c r="Z13" s="55"/>
      <c r="AA13" s="55"/>
    </row>
    <row r="14" spans="1:27" ht="15" customHeight="1">
      <c r="A14" s="19"/>
      <c r="B14" s="18" t="s">
        <v>30</v>
      </c>
      <c r="C14" s="38">
        <v>751594</v>
      </c>
      <c r="D14" s="24">
        <v>183922</v>
      </c>
      <c r="E14" s="24">
        <v>48877</v>
      </c>
      <c r="F14" s="24">
        <v>378917</v>
      </c>
      <c r="G14" s="24">
        <v>138986</v>
      </c>
      <c r="H14" s="24">
        <v>892</v>
      </c>
      <c r="I14" s="56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5"/>
      <c r="Z14" s="55"/>
      <c r="AA14" s="55"/>
    </row>
    <row r="15" spans="1:27" ht="15" customHeight="1">
      <c r="A15" s="19"/>
      <c r="B15" s="18" t="s">
        <v>31</v>
      </c>
      <c r="C15" s="38">
        <v>732037</v>
      </c>
      <c r="D15" s="24">
        <v>171973</v>
      </c>
      <c r="E15" s="24">
        <v>46146</v>
      </c>
      <c r="F15" s="24">
        <v>375936</v>
      </c>
      <c r="G15" s="24">
        <v>137092</v>
      </c>
      <c r="H15" s="24">
        <v>890</v>
      </c>
      <c r="I15" s="56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5"/>
      <c r="Z15" s="55"/>
      <c r="AA15" s="55"/>
    </row>
    <row r="16" spans="1:27" ht="15" customHeight="1">
      <c r="A16" s="19"/>
      <c r="B16" s="18" t="s">
        <v>32</v>
      </c>
      <c r="C16" s="38">
        <v>746995</v>
      </c>
      <c r="D16" s="24">
        <v>178542</v>
      </c>
      <c r="E16" s="24">
        <v>48305</v>
      </c>
      <c r="F16" s="24">
        <v>373711</v>
      </c>
      <c r="G16" s="24">
        <v>145333</v>
      </c>
      <c r="H16" s="24">
        <v>1104</v>
      </c>
      <c r="I16" s="56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5"/>
      <c r="Z16" s="55"/>
      <c r="AA16" s="55"/>
    </row>
    <row r="17" spans="1:27" ht="15" customHeight="1">
      <c r="A17" s="19"/>
      <c r="B17" s="18" t="s">
        <v>33</v>
      </c>
      <c r="C17" s="38">
        <v>736932</v>
      </c>
      <c r="D17" s="24">
        <v>173197</v>
      </c>
      <c r="E17" s="24">
        <v>46762</v>
      </c>
      <c r="F17" s="24">
        <v>372842</v>
      </c>
      <c r="G17" s="24">
        <v>143029</v>
      </c>
      <c r="H17" s="24">
        <v>1102</v>
      </c>
      <c r="I17" s="56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5"/>
      <c r="Z17" s="55"/>
      <c r="AA17" s="55"/>
    </row>
    <row r="18" spans="1:27" ht="15" customHeight="1">
      <c r="A18" s="19"/>
      <c r="B18" s="18" t="s">
        <v>34</v>
      </c>
      <c r="C18" s="38">
        <v>703776</v>
      </c>
      <c r="D18" s="24">
        <v>157760</v>
      </c>
      <c r="E18" s="24">
        <v>41801</v>
      </c>
      <c r="F18" s="24">
        <v>363603</v>
      </c>
      <c r="G18" s="24">
        <v>139864</v>
      </c>
      <c r="H18" s="24">
        <v>748</v>
      </c>
      <c r="I18" s="56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5"/>
      <c r="Z18" s="55"/>
      <c r="AA18" s="55"/>
    </row>
    <row r="19" spans="1:27" ht="15" customHeight="1">
      <c r="A19" s="18">
        <v>2018</v>
      </c>
      <c r="B19" s="18" t="s">
        <v>23</v>
      </c>
      <c r="C19" s="38">
        <v>697754</v>
      </c>
      <c r="D19" s="24">
        <f>133913+19560</f>
        <v>153473</v>
      </c>
      <c r="E19" s="24">
        <v>40643</v>
      </c>
      <c r="F19" s="24">
        <v>361976</v>
      </c>
      <c r="G19" s="24">
        <v>140916</v>
      </c>
      <c r="H19" s="24">
        <v>746</v>
      </c>
      <c r="I19" s="56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5"/>
      <c r="Z19" s="55"/>
      <c r="AA19" s="55"/>
    </row>
    <row r="20" spans="1:27" ht="15" customHeight="1">
      <c r="A20" s="19"/>
      <c r="B20" s="18" t="s">
        <v>24</v>
      </c>
      <c r="C20" s="38">
        <v>636062</v>
      </c>
      <c r="D20" s="24">
        <f>118066+42502</f>
        <v>160568</v>
      </c>
      <c r="E20" s="24">
        <v>39222</v>
      </c>
      <c r="F20" s="24">
        <v>313098</v>
      </c>
      <c r="G20" s="24">
        <v>122599</v>
      </c>
      <c r="H20" s="24">
        <v>575</v>
      </c>
      <c r="I20" s="56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5"/>
      <c r="Z20" s="55"/>
      <c r="AA20" s="55"/>
    </row>
    <row r="21" spans="1:27" ht="15" customHeight="1">
      <c r="A21" s="19"/>
      <c r="B21" s="18" t="s">
        <v>25</v>
      </c>
      <c r="C21" s="38">
        <v>671771</v>
      </c>
      <c r="D21" s="24">
        <f>143032+48607</f>
        <v>191639</v>
      </c>
      <c r="E21" s="24">
        <v>44957</v>
      </c>
      <c r="F21" s="24">
        <v>312050</v>
      </c>
      <c r="G21" s="24">
        <v>122552</v>
      </c>
      <c r="H21" s="24">
        <v>573</v>
      </c>
      <c r="I21" s="56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5"/>
      <c r="Z21" s="55"/>
      <c r="AA21" s="55"/>
    </row>
    <row r="22" spans="1:27" ht="15" customHeight="1">
      <c r="A22" s="19"/>
      <c r="B22" s="18" t="s">
        <v>26</v>
      </c>
      <c r="C22" s="38">
        <v>748326</v>
      </c>
      <c r="D22" s="24">
        <f>152678+48607</f>
        <v>201285</v>
      </c>
      <c r="E22" s="24">
        <v>47266</v>
      </c>
      <c r="F22" s="24">
        <v>355356</v>
      </c>
      <c r="G22" s="24">
        <v>143532</v>
      </c>
      <c r="H22" s="24">
        <v>887</v>
      </c>
      <c r="I22" s="56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5"/>
      <c r="Z22" s="55"/>
      <c r="AA22" s="55"/>
    </row>
    <row r="23" spans="1:27" ht="15" customHeight="1">
      <c r="A23" s="19"/>
      <c r="B23" s="18" t="s">
        <v>27</v>
      </c>
      <c r="C23" s="38">
        <v>769148</v>
      </c>
      <c r="D23" s="24">
        <f>170363+50450</f>
        <v>220813</v>
      </c>
      <c r="E23" s="24">
        <v>49502</v>
      </c>
      <c r="F23" s="24">
        <v>354180</v>
      </c>
      <c r="G23" s="24">
        <v>143768</v>
      </c>
      <c r="H23" s="24">
        <v>885</v>
      </c>
      <c r="I23" s="56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5"/>
      <c r="Z23" s="55"/>
      <c r="AA23" s="55"/>
    </row>
    <row r="24" spans="1:27" ht="15" customHeight="1">
      <c r="A24" s="19"/>
      <c r="B24" s="18" t="s">
        <v>28</v>
      </c>
      <c r="C24" s="38">
        <v>793309</v>
      </c>
      <c r="D24" s="24">
        <f>147451+52692</f>
        <v>200143</v>
      </c>
      <c r="E24" s="24">
        <v>45751</v>
      </c>
      <c r="F24" s="24">
        <v>390183</v>
      </c>
      <c r="G24" s="24">
        <v>155799</v>
      </c>
      <c r="H24" s="24">
        <v>1433</v>
      </c>
      <c r="I24" s="56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5"/>
      <c r="Z24" s="55"/>
      <c r="AA24" s="55"/>
    </row>
    <row r="25" spans="1:27" ht="15" customHeight="1">
      <c r="A25" s="19"/>
      <c r="B25" s="18" t="s">
        <v>29</v>
      </c>
      <c r="C25" s="38">
        <v>798958</v>
      </c>
      <c r="D25" s="24">
        <f>155810+53876</f>
        <v>209686</v>
      </c>
      <c r="E25" s="24">
        <v>57982</v>
      </c>
      <c r="F25" s="24">
        <v>390735</v>
      </c>
      <c r="G25" s="24">
        <v>139123</v>
      </c>
      <c r="H25" s="24">
        <v>1432</v>
      </c>
      <c r="I25" s="56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5"/>
      <c r="Z25" s="55"/>
      <c r="AA25" s="55"/>
    </row>
    <row r="26" spans="1:27" ht="15" customHeight="1">
      <c r="A26" s="19"/>
      <c r="B26" s="18" t="s">
        <v>30</v>
      </c>
      <c r="C26" s="38">
        <v>846824</v>
      </c>
      <c r="D26" s="24">
        <f>153542+50649</f>
        <v>204191</v>
      </c>
      <c r="E26" s="24">
        <v>94765</v>
      </c>
      <c r="F26" s="24">
        <v>394823</v>
      </c>
      <c r="G26" s="24">
        <v>151249</v>
      </c>
      <c r="H26" s="24">
        <v>1796</v>
      </c>
      <c r="I26" s="56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5"/>
      <c r="Z26" s="55"/>
      <c r="AA26" s="55"/>
    </row>
    <row r="27" spans="1:27" ht="15" customHeight="1">
      <c r="A27" s="19"/>
      <c r="B27" s="18" t="s">
        <v>31</v>
      </c>
      <c r="C27" s="38">
        <v>788510</v>
      </c>
      <c r="D27" s="24">
        <f>135137+47354</f>
        <v>182491</v>
      </c>
      <c r="E27" s="24">
        <v>59896</v>
      </c>
      <c r="F27" s="24">
        <v>393914</v>
      </c>
      <c r="G27" s="24">
        <v>150415</v>
      </c>
      <c r="H27" s="24">
        <v>1794</v>
      </c>
      <c r="I27" s="56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5"/>
      <c r="Z27" s="55"/>
      <c r="AA27" s="55"/>
    </row>
    <row r="28" spans="1:27" ht="15" customHeight="1">
      <c r="A28" s="19"/>
      <c r="B28" s="18" t="s">
        <v>32</v>
      </c>
      <c r="C28" s="38">
        <v>786618</v>
      </c>
      <c r="D28" s="24">
        <f>129322+48017</f>
        <v>177339</v>
      </c>
      <c r="E28" s="24">
        <v>60893</v>
      </c>
      <c r="F28" s="24">
        <v>395176</v>
      </c>
      <c r="G28" s="24">
        <v>152081</v>
      </c>
      <c r="H28" s="24">
        <v>1129</v>
      </c>
      <c r="I28" s="56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5"/>
      <c r="Z28" s="55"/>
      <c r="AA28" s="55"/>
    </row>
    <row r="29" spans="1:27" ht="15" customHeight="1">
      <c r="A29" s="19"/>
      <c r="B29" s="18" t="s">
        <v>33</v>
      </c>
      <c r="C29" s="38">
        <v>789987</v>
      </c>
      <c r="D29" s="24">
        <f>139003+45184</f>
        <v>184187</v>
      </c>
      <c r="E29" s="24">
        <v>58650</v>
      </c>
      <c r="F29" s="24">
        <v>392742</v>
      </c>
      <c r="G29" s="24">
        <v>153281</v>
      </c>
      <c r="H29" s="24">
        <v>1127</v>
      </c>
      <c r="I29" s="56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5"/>
      <c r="Z29" s="55"/>
      <c r="AA29" s="55"/>
    </row>
    <row r="30" spans="1:27" ht="15" customHeight="1">
      <c r="A30" s="19"/>
      <c r="B30" s="18" t="s">
        <v>34</v>
      </c>
      <c r="C30" s="38">
        <v>738158</v>
      </c>
      <c r="D30" s="24">
        <f>126520+44590</f>
        <v>171110</v>
      </c>
      <c r="E30" s="24">
        <v>53690</v>
      </c>
      <c r="F30" s="24">
        <v>370793</v>
      </c>
      <c r="G30" s="24">
        <v>141667</v>
      </c>
      <c r="H30" s="24">
        <v>898</v>
      </c>
      <c r="I30" s="56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5"/>
      <c r="Z30" s="55"/>
      <c r="AA30" s="55"/>
    </row>
    <row r="31" spans="1:27" ht="15" customHeight="1">
      <c r="A31" s="18">
        <v>2019</v>
      </c>
      <c r="B31" s="18" t="s">
        <v>23</v>
      </c>
      <c r="C31" s="38">
        <v>737526</v>
      </c>
      <c r="D31" s="24">
        <v>171964</v>
      </c>
      <c r="E31" s="24">
        <v>55210</v>
      </c>
      <c r="F31" s="24">
        <v>369008</v>
      </c>
      <c r="G31" s="24">
        <v>140446</v>
      </c>
      <c r="H31" s="24">
        <v>898</v>
      </c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5"/>
      <c r="Z31" s="55"/>
      <c r="AA31" s="55"/>
    </row>
    <row r="32" spans="1:27" ht="15" customHeight="1">
      <c r="A32" s="19"/>
      <c r="B32" s="18" t="s">
        <v>24</v>
      </c>
      <c r="C32" s="38">
        <v>669863</v>
      </c>
      <c r="D32" s="24">
        <v>169440</v>
      </c>
      <c r="E32" s="24">
        <v>54071</v>
      </c>
      <c r="F32" s="24">
        <v>322747</v>
      </c>
      <c r="G32" s="24">
        <v>122770</v>
      </c>
      <c r="H32" s="24">
        <v>835</v>
      </c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5"/>
      <c r="Z32" s="55"/>
      <c r="AA32" s="55"/>
    </row>
    <row r="33" spans="1:27" ht="15" customHeight="1">
      <c r="A33" s="19"/>
      <c r="B33" s="18" t="s">
        <v>25</v>
      </c>
      <c r="C33" s="38">
        <v>681656</v>
      </c>
      <c r="D33" s="24">
        <v>178415</v>
      </c>
      <c r="E33" s="24">
        <v>59761</v>
      </c>
      <c r="F33" s="24">
        <v>321465</v>
      </c>
      <c r="G33" s="24">
        <v>121184</v>
      </c>
      <c r="H33" s="24">
        <v>831</v>
      </c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5"/>
      <c r="Z33" s="55"/>
      <c r="AA33" s="55"/>
    </row>
    <row r="34" spans="1:27" ht="15" customHeight="1">
      <c r="A34" s="19"/>
      <c r="B34" s="18" t="s">
        <v>26</v>
      </c>
      <c r="C34" s="38">
        <v>745853</v>
      </c>
      <c r="D34" s="24">
        <v>177364</v>
      </c>
      <c r="E34" s="24">
        <v>61140</v>
      </c>
      <c r="F34" s="24">
        <v>373592</v>
      </c>
      <c r="G34" s="24">
        <v>132838</v>
      </c>
      <c r="H34" s="24">
        <v>919</v>
      </c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5"/>
      <c r="Z34" s="55"/>
      <c r="AA34" s="55"/>
    </row>
    <row r="35" spans="1:27" ht="15" customHeight="1">
      <c r="A35" s="19"/>
      <c r="B35" s="18" t="s">
        <v>27</v>
      </c>
      <c r="C35" s="38">
        <v>758417</v>
      </c>
      <c r="D35" s="24">
        <v>186222</v>
      </c>
      <c r="E35" s="24">
        <v>65550</v>
      </c>
      <c r="F35" s="24">
        <v>372555</v>
      </c>
      <c r="G35" s="24">
        <v>133172</v>
      </c>
      <c r="H35" s="24">
        <v>918</v>
      </c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5"/>
      <c r="Z35" s="55"/>
      <c r="AA35" s="55"/>
    </row>
    <row r="36" spans="1:27" ht="15" customHeight="1">
      <c r="A36" s="19"/>
      <c r="B36" s="18" t="s">
        <v>35</v>
      </c>
      <c r="C36" s="38">
        <v>872356</v>
      </c>
      <c r="D36" s="24">
        <v>186395</v>
      </c>
      <c r="E36" s="24">
        <v>68007</v>
      </c>
      <c r="F36" s="24">
        <v>457320</v>
      </c>
      <c r="G36" s="24">
        <v>158932</v>
      </c>
      <c r="H36" s="24">
        <v>1702</v>
      </c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5"/>
      <c r="Z36" s="55"/>
      <c r="AA36" s="55"/>
    </row>
    <row r="37" spans="1:27" ht="15" customHeight="1">
      <c r="A37" s="19"/>
      <c r="B37" s="18" t="s">
        <v>29</v>
      </c>
      <c r="C37" s="38">
        <v>893257</v>
      </c>
      <c r="D37" s="24">
        <v>201314</v>
      </c>
      <c r="E37" s="24">
        <v>73285</v>
      </c>
      <c r="F37" s="24">
        <v>456957</v>
      </c>
      <c r="G37" s="24">
        <v>160000</v>
      </c>
      <c r="H37" s="24">
        <v>1701</v>
      </c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5"/>
      <c r="Z37" s="55"/>
      <c r="AA37" s="55"/>
    </row>
    <row r="38" spans="1:27" ht="15" customHeight="1">
      <c r="A38" s="19"/>
      <c r="B38" s="18" t="s">
        <v>30</v>
      </c>
      <c r="C38" s="38">
        <v>871607</v>
      </c>
      <c r="D38" s="24">
        <v>200270</v>
      </c>
      <c r="E38" s="24">
        <v>72954</v>
      </c>
      <c r="F38" s="24">
        <v>443898</v>
      </c>
      <c r="G38" s="24">
        <v>152698</v>
      </c>
      <c r="H38" s="24">
        <v>1787</v>
      </c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5"/>
      <c r="Z38" s="55"/>
      <c r="AA38" s="55"/>
    </row>
    <row r="39" spans="1:27" ht="15" customHeight="1">
      <c r="A39" s="19"/>
      <c r="B39" s="18" t="s">
        <v>36</v>
      </c>
      <c r="C39" s="38">
        <v>854731</v>
      </c>
      <c r="D39" s="24">
        <v>188291</v>
      </c>
      <c r="E39" s="24">
        <v>68409</v>
      </c>
      <c r="F39" s="24">
        <v>443720</v>
      </c>
      <c r="G39" s="24">
        <v>152526</v>
      </c>
      <c r="H39" s="24">
        <v>1785</v>
      </c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5"/>
      <c r="Z39" s="55"/>
      <c r="AA39" s="55"/>
    </row>
    <row r="40" spans="1:27" ht="15" customHeight="1">
      <c r="A40" s="19"/>
      <c r="B40" s="18" t="s">
        <v>32</v>
      </c>
      <c r="C40" s="38">
        <v>798061</v>
      </c>
      <c r="D40" s="24">
        <v>199499</v>
      </c>
      <c r="E40" s="24">
        <v>64143</v>
      </c>
      <c r="F40" s="24">
        <v>392271</v>
      </c>
      <c r="G40" s="24">
        <v>140846</v>
      </c>
      <c r="H40" s="24">
        <v>1302</v>
      </c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5"/>
      <c r="Z40" s="55"/>
      <c r="AA40" s="55"/>
    </row>
    <row r="41" spans="1:27" ht="15" customHeight="1">
      <c r="A41" s="19"/>
      <c r="B41" s="18" t="s">
        <v>33</v>
      </c>
      <c r="C41" s="38">
        <v>777448</v>
      </c>
      <c r="D41" s="24">
        <v>188561</v>
      </c>
      <c r="E41" s="24">
        <v>58003</v>
      </c>
      <c r="F41" s="24">
        <v>387873</v>
      </c>
      <c r="G41" s="24">
        <v>141884</v>
      </c>
      <c r="H41" s="24">
        <v>1127</v>
      </c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5"/>
      <c r="Z41" s="55"/>
      <c r="AA41" s="55"/>
    </row>
    <row r="42" spans="1:27" ht="15" customHeight="1">
      <c r="A42" s="19"/>
      <c r="B42" s="18" t="s">
        <v>34</v>
      </c>
      <c r="C42" s="38">
        <v>771571</v>
      </c>
      <c r="D42" s="24">
        <v>181656</v>
      </c>
      <c r="E42" s="24">
        <v>56871</v>
      </c>
      <c r="F42" s="24">
        <v>395716</v>
      </c>
      <c r="G42" s="24">
        <v>136430</v>
      </c>
      <c r="H42" s="24">
        <v>898</v>
      </c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5"/>
      <c r="Z42" s="55"/>
      <c r="AA42" s="55"/>
    </row>
    <row r="43" spans="1:27" ht="15" customHeight="1">
      <c r="A43" s="18">
        <v>2020</v>
      </c>
      <c r="B43" s="18" t="s">
        <v>23</v>
      </c>
      <c r="C43" s="38">
        <v>766448</v>
      </c>
      <c r="D43" s="24">
        <v>182717</v>
      </c>
      <c r="E43" s="24">
        <v>52397</v>
      </c>
      <c r="F43" s="24">
        <v>394732</v>
      </c>
      <c r="G43" s="24">
        <v>135614</v>
      </c>
      <c r="H43" s="24">
        <v>988</v>
      </c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5"/>
      <c r="Z43" s="55"/>
      <c r="AA43" s="55"/>
    </row>
    <row r="44" spans="1:27" ht="15" customHeight="1">
      <c r="A44" s="19"/>
      <c r="B44" s="18" t="s">
        <v>24</v>
      </c>
      <c r="C44" s="38">
        <v>660073</v>
      </c>
      <c r="D44" s="24">
        <v>160145</v>
      </c>
      <c r="E44" s="24">
        <v>53200</v>
      </c>
      <c r="F44" s="24">
        <v>326279</v>
      </c>
      <c r="G44" s="24">
        <v>119560</v>
      </c>
      <c r="H44" s="24">
        <v>889</v>
      </c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5"/>
      <c r="Z44" s="55"/>
      <c r="AA44" s="55"/>
    </row>
    <row r="45" spans="1:27" ht="15" customHeight="1">
      <c r="A45" s="19"/>
      <c r="B45" s="18" t="s">
        <v>25</v>
      </c>
      <c r="C45" s="38">
        <v>676979</v>
      </c>
      <c r="D45" s="24">
        <v>179100</v>
      </c>
      <c r="E45" s="24">
        <v>52407</v>
      </c>
      <c r="F45" s="24">
        <v>325242</v>
      </c>
      <c r="G45" s="24">
        <v>119342</v>
      </c>
      <c r="H45" s="24">
        <v>888</v>
      </c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5"/>
      <c r="Z45" s="55"/>
      <c r="AA45" s="55"/>
    </row>
    <row r="46" spans="1:27" ht="15" customHeight="1">
      <c r="A46" s="19"/>
      <c r="B46" s="18" t="s">
        <v>26</v>
      </c>
      <c r="C46" s="38">
        <v>655480</v>
      </c>
      <c r="D46" s="24">
        <v>160018</v>
      </c>
      <c r="E46" s="24">
        <v>47248</v>
      </c>
      <c r="F46" s="24">
        <v>326674</v>
      </c>
      <c r="G46" s="24">
        <v>120651</v>
      </c>
      <c r="H46" s="24">
        <v>889</v>
      </c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5"/>
      <c r="Z46" s="55"/>
      <c r="AA46" s="55"/>
    </row>
    <row r="47" spans="1:27" ht="15" customHeight="1">
      <c r="A47" s="19"/>
      <c r="B47" s="18" t="s">
        <v>27</v>
      </c>
      <c r="C47" s="38">
        <v>660709</v>
      </c>
      <c r="D47" s="24">
        <v>171587</v>
      </c>
      <c r="E47" s="24">
        <v>47853</v>
      </c>
      <c r="F47" s="24">
        <v>325637</v>
      </c>
      <c r="G47" s="24">
        <v>112811</v>
      </c>
      <c r="H47" s="24">
        <v>2821</v>
      </c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5"/>
      <c r="Z47" s="55"/>
      <c r="AA47" s="55"/>
    </row>
    <row r="48" spans="1:27" ht="15" customHeight="1">
      <c r="A48" s="19"/>
      <c r="B48" s="18" t="s">
        <v>28</v>
      </c>
      <c r="C48" s="38">
        <v>826612</v>
      </c>
      <c r="D48" s="24">
        <v>172286</v>
      </c>
      <c r="E48" s="24">
        <v>52068</v>
      </c>
      <c r="F48" s="24">
        <v>473198</v>
      </c>
      <c r="G48" s="24">
        <v>128014</v>
      </c>
      <c r="H48" s="24">
        <v>1046</v>
      </c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5"/>
      <c r="Z48" s="55"/>
      <c r="AA48" s="55"/>
    </row>
    <row r="49" spans="1:27" ht="15" customHeight="1">
      <c r="A49" s="19"/>
      <c r="B49" s="18" t="s">
        <v>29</v>
      </c>
      <c r="C49" s="38">
        <v>864564</v>
      </c>
      <c r="D49" s="24">
        <v>198722</v>
      </c>
      <c r="E49" s="24">
        <v>64984</v>
      </c>
      <c r="F49" s="24">
        <v>472690</v>
      </c>
      <c r="G49" s="24">
        <v>127124</v>
      </c>
      <c r="H49" s="24">
        <v>1044</v>
      </c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5"/>
      <c r="Z49" s="55"/>
      <c r="AA49" s="55"/>
    </row>
    <row r="50" spans="1:27" ht="15" customHeight="1">
      <c r="A50" s="19"/>
      <c r="B50" s="18" t="s">
        <v>30</v>
      </c>
      <c r="C50" s="38">
        <v>872986</v>
      </c>
      <c r="D50" s="24">
        <v>180250</v>
      </c>
      <c r="E50" s="24">
        <v>63512</v>
      </c>
      <c r="F50" s="24">
        <v>476173</v>
      </c>
      <c r="G50" s="24">
        <v>149682</v>
      </c>
      <c r="H50" s="24">
        <v>3369</v>
      </c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5"/>
      <c r="Z50" s="55"/>
      <c r="AA50" s="55"/>
    </row>
    <row r="51" spans="1:27" ht="15" customHeight="1">
      <c r="A51" s="19"/>
      <c r="B51" s="18" t="s">
        <v>31</v>
      </c>
      <c r="C51" s="38">
        <v>868615</v>
      </c>
      <c r="D51" s="24">
        <v>182255</v>
      </c>
      <c r="E51" s="24">
        <v>59138</v>
      </c>
      <c r="F51" s="24">
        <v>475360</v>
      </c>
      <c r="G51" s="24">
        <v>148494</v>
      </c>
      <c r="H51" s="24">
        <v>3368</v>
      </c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5"/>
      <c r="Z51" s="55"/>
      <c r="AA51" s="55"/>
    </row>
    <row r="52" spans="1:27" ht="15" customHeight="1">
      <c r="A52" s="19"/>
      <c r="B52" s="18" t="s">
        <v>32</v>
      </c>
      <c r="C52" s="38">
        <v>832256</v>
      </c>
      <c r="D52" s="24">
        <v>177906</v>
      </c>
      <c r="E52" s="24">
        <v>58273</v>
      </c>
      <c r="F52" s="24">
        <v>451393</v>
      </c>
      <c r="G52" s="24">
        <v>143504</v>
      </c>
      <c r="H52" s="24">
        <v>1180</v>
      </c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5"/>
      <c r="Z52" s="55"/>
      <c r="AA52" s="55"/>
    </row>
    <row r="53" spans="1:27" ht="15" customHeight="1">
      <c r="A53" s="19"/>
      <c r="B53" s="18" t="s">
        <v>33</v>
      </c>
      <c r="C53" s="38">
        <v>817964</v>
      </c>
      <c r="D53" s="24">
        <v>174319</v>
      </c>
      <c r="E53" s="24">
        <v>51282</v>
      </c>
      <c r="F53" s="22">
        <v>450343</v>
      </c>
      <c r="G53" s="22">
        <v>140840</v>
      </c>
      <c r="H53" s="58">
        <v>1180</v>
      </c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5"/>
      <c r="Z53" s="55"/>
      <c r="AA53" s="55"/>
    </row>
    <row r="54" spans="1:27" ht="15" customHeight="1">
      <c r="A54" s="19"/>
      <c r="B54" s="18" t="s">
        <v>34</v>
      </c>
      <c r="C54" s="38">
        <v>763941</v>
      </c>
      <c r="D54" s="24">
        <v>182835</v>
      </c>
      <c r="E54" s="22">
        <v>55022</v>
      </c>
      <c r="F54" s="22">
        <v>396293</v>
      </c>
      <c r="G54" s="22">
        <v>129012</v>
      </c>
      <c r="H54" s="58">
        <v>779</v>
      </c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5"/>
      <c r="Z54" s="55"/>
      <c r="AA54" s="55"/>
    </row>
    <row r="55" spans="1:27" ht="15" customHeight="1">
      <c r="A55" s="18">
        <v>2021</v>
      </c>
      <c r="B55" s="18" t="s">
        <v>23</v>
      </c>
      <c r="C55" s="38">
        <v>753246</v>
      </c>
      <c r="D55" s="39">
        <v>175789</v>
      </c>
      <c r="E55" s="39">
        <v>54009</v>
      </c>
      <c r="F55" s="39">
        <v>394732</v>
      </c>
      <c r="G55" s="39">
        <v>127939</v>
      </c>
      <c r="H55" s="59">
        <v>777</v>
      </c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5"/>
      <c r="Z55" s="55"/>
      <c r="AA55" s="55"/>
    </row>
    <row r="56" spans="1:27" ht="15" customHeight="1">
      <c r="A56" s="19"/>
      <c r="B56" s="18" t="s">
        <v>24</v>
      </c>
      <c r="C56" s="38">
        <v>729160</v>
      </c>
      <c r="D56" s="39">
        <v>174256</v>
      </c>
      <c r="E56" s="39">
        <v>49250</v>
      </c>
      <c r="F56" s="39">
        <v>380377</v>
      </c>
      <c r="G56" s="39">
        <v>124439</v>
      </c>
      <c r="H56" s="59">
        <v>838</v>
      </c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5"/>
      <c r="Z56" s="55"/>
      <c r="AA56" s="55"/>
    </row>
    <row r="57" spans="1:27" ht="15" customHeight="1">
      <c r="A57" s="19"/>
      <c r="B57" s="18" t="s">
        <v>25</v>
      </c>
      <c r="C57" s="38">
        <v>760053</v>
      </c>
      <c r="D57" s="39">
        <v>191650</v>
      </c>
      <c r="E57" s="39">
        <v>61284</v>
      </c>
      <c r="F57" s="39">
        <v>377428</v>
      </c>
      <c r="G57" s="39">
        <v>128856</v>
      </c>
      <c r="H57" s="59">
        <v>835</v>
      </c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5"/>
      <c r="Z57" s="55"/>
      <c r="AA57" s="55"/>
    </row>
    <row r="58" spans="1:27" ht="15" customHeight="1">
      <c r="A58" s="19"/>
      <c r="B58" s="18" t="s">
        <v>26</v>
      </c>
      <c r="C58" s="38">
        <v>837322</v>
      </c>
      <c r="D58" s="39">
        <v>186894</v>
      </c>
      <c r="E58" s="39">
        <v>62465</v>
      </c>
      <c r="F58" s="39">
        <v>442191</v>
      </c>
      <c r="G58" s="39">
        <v>144407</v>
      </c>
      <c r="H58" s="39">
        <v>1365</v>
      </c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5"/>
      <c r="Z58" s="55"/>
      <c r="AA58" s="55"/>
    </row>
    <row r="59" spans="1:27" ht="15" customHeight="1">
      <c r="A59" s="19"/>
      <c r="B59" s="18" t="s">
        <v>27</v>
      </c>
      <c r="C59" s="38">
        <v>839282</v>
      </c>
      <c r="D59" s="39">
        <v>185775</v>
      </c>
      <c r="E59" s="39">
        <v>66090</v>
      </c>
      <c r="F59" s="39">
        <v>441054</v>
      </c>
      <c r="G59" s="39">
        <v>145001</v>
      </c>
      <c r="H59" s="39">
        <v>1362</v>
      </c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5"/>
      <c r="Z59" s="55"/>
      <c r="AA59" s="55"/>
    </row>
    <row r="60" spans="1:27" ht="15" customHeight="1">
      <c r="A60" s="19"/>
      <c r="B60" s="18" t="s">
        <v>28</v>
      </c>
      <c r="C60" s="38">
        <v>875324</v>
      </c>
      <c r="D60" s="39">
        <v>147574</v>
      </c>
      <c r="E60" s="39">
        <v>80534</v>
      </c>
      <c r="F60" s="39">
        <v>493341</v>
      </c>
      <c r="G60" s="39">
        <v>152103</v>
      </c>
      <c r="H60" s="39">
        <v>1772</v>
      </c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5"/>
      <c r="Z60" s="55"/>
      <c r="AA60" s="55"/>
    </row>
    <row r="61" spans="1:27" ht="15" customHeight="1">
      <c r="A61" s="19"/>
      <c r="B61" s="18" t="s">
        <v>29</v>
      </c>
      <c r="C61" s="38">
        <v>888372</v>
      </c>
      <c r="D61" s="39">
        <v>154919</v>
      </c>
      <c r="E61" s="39">
        <v>86144</v>
      </c>
      <c r="F61" s="39">
        <v>492271</v>
      </c>
      <c r="G61" s="39">
        <v>153268</v>
      </c>
      <c r="H61" s="39">
        <v>1770</v>
      </c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5"/>
      <c r="Z61" s="55"/>
      <c r="AA61" s="55"/>
    </row>
    <row r="62" spans="1:27" ht="15" customHeight="1">
      <c r="A62" s="19"/>
      <c r="B62" s="18" t="s">
        <v>30</v>
      </c>
      <c r="C62" s="38">
        <v>848046</v>
      </c>
      <c r="D62" s="39">
        <v>149088</v>
      </c>
      <c r="E62" s="39">
        <v>87275</v>
      </c>
      <c r="F62" s="39">
        <v>460716</v>
      </c>
      <c r="G62" s="39">
        <v>149202</v>
      </c>
      <c r="H62" s="39">
        <v>1765</v>
      </c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5"/>
      <c r="Z62" s="55"/>
      <c r="AA62" s="55"/>
    </row>
    <row r="63" spans="1:27" ht="15" customHeight="1">
      <c r="A63" s="19"/>
      <c r="B63" s="18" t="s">
        <v>31</v>
      </c>
      <c r="C63" s="38">
        <v>768897</v>
      </c>
      <c r="D63" s="39">
        <v>90574</v>
      </c>
      <c r="E63" s="39">
        <v>65682</v>
      </c>
      <c r="F63" s="39">
        <v>460066</v>
      </c>
      <c r="G63" s="39">
        <v>150813</v>
      </c>
      <c r="H63" s="39">
        <v>1762</v>
      </c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5"/>
      <c r="Z63" s="55"/>
      <c r="AA63" s="55"/>
    </row>
    <row r="64" spans="1:27" ht="15" customHeight="1">
      <c r="A64" s="19"/>
      <c r="B64" s="18" t="s">
        <v>32</v>
      </c>
      <c r="C64" s="38">
        <v>850894</v>
      </c>
      <c r="D64" s="39">
        <v>127206</v>
      </c>
      <c r="E64" s="39">
        <v>98011</v>
      </c>
      <c r="F64" s="39">
        <v>471865</v>
      </c>
      <c r="G64" s="39">
        <v>152231</v>
      </c>
      <c r="H64" s="39">
        <v>1581</v>
      </c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5"/>
      <c r="Z64" s="55"/>
      <c r="AA64" s="55"/>
    </row>
    <row r="65" spans="1:27" ht="15" customHeight="1">
      <c r="A65" s="19"/>
      <c r="B65" s="18" t="s">
        <v>33</v>
      </c>
      <c r="C65" s="38">
        <v>832210</v>
      </c>
      <c r="D65" s="39">
        <v>127230</v>
      </c>
      <c r="E65" s="39">
        <v>78313</v>
      </c>
      <c r="F65" s="39">
        <v>470509</v>
      </c>
      <c r="G65" s="39">
        <v>154580</v>
      </c>
      <c r="H65" s="39">
        <v>1578</v>
      </c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5"/>
      <c r="Z65" s="55"/>
      <c r="AA65" s="55"/>
    </row>
    <row r="66" spans="1:27" ht="15" customHeight="1">
      <c r="A66" s="19"/>
      <c r="B66" s="18" t="s">
        <v>34</v>
      </c>
      <c r="C66" s="38">
        <v>719851</v>
      </c>
      <c r="D66" s="39">
        <v>111494</v>
      </c>
      <c r="E66" s="39">
        <v>69158</v>
      </c>
      <c r="F66" s="39">
        <v>406588</v>
      </c>
      <c r="G66" s="39">
        <v>132076</v>
      </c>
      <c r="H66" s="59">
        <v>535</v>
      </c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5"/>
      <c r="Z66" s="55"/>
      <c r="AA66" s="55"/>
    </row>
    <row r="67" spans="1:27" ht="15" customHeight="1">
      <c r="A67" s="18">
        <v>2022</v>
      </c>
      <c r="B67" s="18" t="s">
        <v>23</v>
      </c>
      <c r="C67" s="38">
        <v>728629</v>
      </c>
      <c r="D67" s="39">
        <v>124868</v>
      </c>
      <c r="E67" s="39">
        <v>68963</v>
      </c>
      <c r="F67" s="39">
        <v>405473</v>
      </c>
      <c r="G67" s="39">
        <v>128548</v>
      </c>
      <c r="H67" s="59">
        <v>777</v>
      </c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5"/>
      <c r="Z67" s="55"/>
      <c r="AA67" s="55"/>
    </row>
    <row r="68" spans="1:27" ht="15" customHeight="1">
      <c r="A68" s="19"/>
      <c r="B68" s="18" t="s">
        <v>24</v>
      </c>
      <c r="C68" s="38">
        <v>763241</v>
      </c>
      <c r="D68" s="39">
        <v>100763</v>
      </c>
      <c r="E68" s="39">
        <v>67424</v>
      </c>
      <c r="F68" s="39">
        <v>443018</v>
      </c>
      <c r="G68" s="39">
        <v>151198</v>
      </c>
      <c r="H68" s="59">
        <v>838</v>
      </c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5"/>
      <c r="Z68" s="55"/>
      <c r="AA68" s="55"/>
    </row>
    <row r="69" spans="1:27" ht="15" customHeight="1">
      <c r="A69" s="19"/>
      <c r="B69" s="18" t="s">
        <v>25</v>
      </c>
      <c r="C69" s="38">
        <v>805444</v>
      </c>
      <c r="D69" s="39">
        <v>133346</v>
      </c>
      <c r="E69" s="39">
        <v>77077</v>
      </c>
      <c r="F69" s="39">
        <v>441889</v>
      </c>
      <c r="G69" s="39">
        <v>152297</v>
      </c>
      <c r="H69" s="59">
        <v>835</v>
      </c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5"/>
      <c r="Z69" s="55"/>
      <c r="AA69" s="55"/>
    </row>
    <row r="70" spans="1:27" ht="15" customHeight="1">
      <c r="A70" s="19"/>
      <c r="B70" s="18" t="s">
        <v>26</v>
      </c>
      <c r="C70" s="38">
        <v>840067</v>
      </c>
      <c r="D70" s="39">
        <v>121812</v>
      </c>
      <c r="E70" s="39">
        <v>77151</v>
      </c>
      <c r="F70" s="39">
        <v>483590</v>
      </c>
      <c r="G70" s="39">
        <v>156149</v>
      </c>
      <c r="H70" s="59">
        <v>1365</v>
      </c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5"/>
      <c r="Z70" s="55"/>
      <c r="AA70" s="55"/>
    </row>
    <row r="71" spans="1:27" ht="15" customHeight="1">
      <c r="A71" s="19"/>
      <c r="B71" s="18" t="s">
        <v>27</v>
      </c>
      <c r="C71" s="38">
        <v>904253</v>
      </c>
      <c r="D71" s="39">
        <v>183122</v>
      </c>
      <c r="E71" s="39">
        <v>83925</v>
      </c>
      <c r="F71" s="39">
        <v>480161</v>
      </c>
      <c r="G71" s="39">
        <v>155683</v>
      </c>
      <c r="H71" s="59">
        <v>1362</v>
      </c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5"/>
      <c r="Z71" s="55"/>
      <c r="AA71" s="55"/>
    </row>
    <row r="72" spans="1:27" ht="15" customHeight="1">
      <c r="A72" s="19"/>
      <c r="B72" s="18" t="s">
        <v>35</v>
      </c>
      <c r="C72" s="38">
        <v>1003976</v>
      </c>
      <c r="D72" s="39">
        <v>187832</v>
      </c>
      <c r="E72" s="39">
        <v>96967</v>
      </c>
      <c r="F72" s="39">
        <v>563253</v>
      </c>
      <c r="G72" s="39">
        <v>154152</v>
      </c>
      <c r="H72" s="39">
        <v>1772</v>
      </c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5"/>
      <c r="Z72" s="55"/>
      <c r="AA72" s="55"/>
    </row>
    <row r="73" spans="1:27" ht="15" customHeight="1">
      <c r="A73" s="19"/>
      <c r="B73" s="18" t="s">
        <v>29</v>
      </c>
      <c r="C73" s="38">
        <v>971156</v>
      </c>
      <c r="D73" s="39">
        <v>143729</v>
      </c>
      <c r="E73" s="39">
        <v>108131</v>
      </c>
      <c r="F73" s="39">
        <v>562080</v>
      </c>
      <c r="G73" s="39">
        <v>155546</v>
      </c>
      <c r="H73" s="39">
        <v>1670</v>
      </c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5"/>
      <c r="Z73" s="55"/>
      <c r="AA73" s="55"/>
    </row>
    <row r="74" spans="1:27" ht="15" customHeight="1">
      <c r="A74" s="19"/>
      <c r="B74" s="18" t="s">
        <v>30</v>
      </c>
      <c r="C74" s="38">
        <v>969268</v>
      </c>
      <c r="D74" s="39">
        <v>86422</v>
      </c>
      <c r="E74" s="39">
        <v>106623</v>
      </c>
      <c r="F74" s="39">
        <v>595944</v>
      </c>
      <c r="G74" s="39">
        <v>178514</v>
      </c>
      <c r="H74" s="59">
        <v>1765</v>
      </c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5"/>
      <c r="Z74" s="55"/>
      <c r="AA74" s="55"/>
    </row>
    <row r="75" spans="1:27" ht="15" customHeight="1">
      <c r="A75" s="19"/>
      <c r="B75" s="18" t="s">
        <v>36</v>
      </c>
      <c r="C75" s="38">
        <v>1054368</v>
      </c>
      <c r="D75" s="39">
        <v>187466</v>
      </c>
      <c r="E75" s="39">
        <v>94554</v>
      </c>
      <c r="F75" s="39">
        <v>592262</v>
      </c>
      <c r="G75" s="39">
        <v>176718</v>
      </c>
      <c r="H75" s="39">
        <v>3368</v>
      </c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5"/>
      <c r="Z75" s="55"/>
      <c r="AA75" s="55"/>
    </row>
    <row r="76" spans="1:27" ht="15" customHeight="1">
      <c r="A76" s="19"/>
      <c r="B76" s="18" t="s">
        <v>32</v>
      </c>
      <c r="C76" s="38">
        <v>992630</v>
      </c>
      <c r="D76" s="39">
        <v>184254</v>
      </c>
      <c r="E76" s="39">
        <v>88422</v>
      </c>
      <c r="F76" s="39">
        <v>547770</v>
      </c>
      <c r="G76" s="39">
        <v>171003</v>
      </c>
      <c r="H76" s="39">
        <v>1181</v>
      </c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5"/>
      <c r="Z76" s="55"/>
      <c r="AA76" s="55"/>
    </row>
    <row r="77" spans="1:27" ht="15" customHeight="1">
      <c r="A77" s="19"/>
      <c r="B77" s="18" t="s">
        <v>38</v>
      </c>
      <c r="C77" s="38">
        <v>975146</v>
      </c>
      <c r="D77" s="39">
        <v>172991</v>
      </c>
      <c r="E77" s="39">
        <v>79501</v>
      </c>
      <c r="F77" s="39">
        <v>545294</v>
      </c>
      <c r="G77" s="39">
        <v>176180</v>
      </c>
      <c r="H77" s="39">
        <v>1180</v>
      </c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5"/>
      <c r="Z77" s="55"/>
      <c r="AA77" s="55"/>
    </row>
    <row r="78" spans="1:27" ht="15" customHeight="1">
      <c r="A78" s="19"/>
      <c r="B78" s="18" t="s">
        <v>39</v>
      </c>
      <c r="C78" s="38">
        <v>918740</v>
      </c>
      <c r="D78" s="39">
        <v>168189</v>
      </c>
      <c r="E78" s="39">
        <v>76632</v>
      </c>
      <c r="F78" s="39">
        <v>510071</v>
      </c>
      <c r="G78" s="39">
        <v>163069</v>
      </c>
      <c r="H78" s="39">
        <v>779</v>
      </c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5"/>
      <c r="Z78" s="55"/>
      <c r="AA78" s="55"/>
    </row>
    <row r="79" spans="1:27" ht="15" customHeight="1">
      <c r="A79" s="18">
        <v>2023</v>
      </c>
      <c r="B79" s="18" t="s">
        <v>40</v>
      </c>
      <c r="C79" s="38">
        <v>921874</v>
      </c>
      <c r="D79" s="24">
        <v>165522</v>
      </c>
      <c r="E79" s="24">
        <v>76848</v>
      </c>
      <c r="F79" s="24">
        <v>504932</v>
      </c>
      <c r="G79" s="24">
        <v>171923</v>
      </c>
      <c r="H79" s="24">
        <v>2649</v>
      </c>
      <c r="I79" s="38"/>
      <c r="J79" s="56"/>
      <c r="K79" s="56"/>
      <c r="L79" s="56"/>
      <c r="M79" s="56"/>
      <c r="N79" s="56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5"/>
      <c r="Z79" s="55"/>
      <c r="AA79" s="55"/>
    </row>
    <row r="80" spans="1:27" ht="15" customHeight="1">
      <c r="A80" s="19"/>
      <c r="B80" s="18" t="s">
        <v>41</v>
      </c>
      <c r="C80" s="38">
        <v>882049</v>
      </c>
      <c r="D80" s="24">
        <v>151701</v>
      </c>
      <c r="E80" s="24">
        <v>73240</v>
      </c>
      <c r="F80" s="24">
        <v>490836</v>
      </c>
      <c r="G80" s="24">
        <v>164094</v>
      </c>
      <c r="H80" s="24">
        <v>2178</v>
      </c>
      <c r="I80" s="38"/>
      <c r="J80" s="56"/>
      <c r="K80" s="56"/>
      <c r="L80" s="56"/>
      <c r="M80" s="56"/>
      <c r="N80" s="56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5"/>
      <c r="Z80" s="55"/>
      <c r="AA80" s="55"/>
    </row>
    <row r="81" spans="1:27" ht="15" customHeight="1">
      <c r="A81" s="19"/>
      <c r="B81" s="18" t="s">
        <v>42</v>
      </c>
      <c r="C81" s="38">
        <v>925392</v>
      </c>
      <c r="D81" s="24">
        <v>177042</v>
      </c>
      <c r="E81" s="24">
        <v>91147</v>
      </c>
      <c r="F81" s="24">
        <v>489657</v>
      </c>
      <c r="G81" s="24">
        <v>165372</v>
      </c>
      <c r="H81" s="24">
        <v>2174</v>
      </c>
      <c r="I81" s="38"/>
      <c r="J81" s="56"/>
      <c r="K81" s="56"/>
      <c r="L81" s="56"/>
      <c r="M81" s="56"/>
      <c r="N81" s="56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5"/>
      <c r="Z81" s="55"/>
      <c r="AA81" s="55"/>
    </row>
    <row r="82" spans="1:27" ht="15" customHeight="1">
      <c r="A82" s="19"/>
      <c r="B82" s="18" t="s">
        <v>43</v>
      </c>
      <c r="C82" s="38">
        <v>1046721</v>
      </c>
      <c r="D82" s="24">
        <v>178207</v>
      </c>
      <c r="E82" s="24">
        <v>93234</v>
      </c>
      <c r="F82" s="24">
        <v>575429</v>
      </c>
      <c r="G82" s="24">
        <v>197001</v>
      </c>
      <c r="H82" s="24">
        <v>2850</v>
      </c>
      <c r="I82" s="38"/>
      <c r="J82" s="56"/>
      <c r="K82" s="56"/>
      <c r="L82" s="56"/>
      <c r="M82" s="56"/>
      <c r="N82" s="56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5"/>
      <c r="Z82" s="55"/>
      <c r="AA82" s="55"/>
    </row>
    <row r="83" spans="1:27" ht="15" customHeight="1">
      <c r="A83" s="8"/>
      <c r="B83" s="18" t="s">
        <v>56</v>
      </c>
      <c r="C83" s="38">
        <v>1082043</v>
      </c>
      <c r="D83" s="24">
        <v>193403</v>
      </c>
      <c r="E83" s="24">
        <v>108860</v>
      </c>
      <c r="F83" s="24">
        <v>574165</v>
      </c>
      <c r="G83" s="24">
        <v>200835</v>
      </c>
      <c r="H83" s="24">
        <v>4780</v>
      </c>
      <c r="I83" s="38"/>
      <c r="J83" s="56"/>
      <c r="K83" s="56"/>
      <c r="L83" s="56"/>
      <c r="M83" s="56"/>
      <c r="N83" s="56"/>
      <c r="O83" s="56"/>
      <c r="P83" s="54"/>
      <c r="Q83" s="54"/>
      <c r="R83" s="54"/>
      <c r="S83" s="54"/>
      <c r="T83" s="54"/>
      <c r="U83" s="54"/>
      <c r="V83" s="54"/>
      <c r="W83" s="54"/>
      <c r="X83" s="54"/>
      <c r="Y83" s="55"/>
      <c r="Z83" s="55"/>
      <c r="AA83" s="55"/>
    </row>
    <row r="84" spans="1:27" ht="15" customHeight="1">
      <c r="A84" s="8"/>
      <c r="B84" s="18" t="s">
        <v>28</v>
      </c>
      <c r="C84" s="38">
        <v>1090949</v>
      </c>
      <c r="D84" s="24">
        <v>201437</v>
      </c>
      <c r="E84" s="24">
        <v>111390</v>
      </c>
      <c r="F84" s="24">
        <v>590267</v>
      </c>
      <c r="G84" s="24">
        <v>184512</v>
      </c>
      <c r="H84" s="24">
        <v>3343</v>
      </c>
      <c r="I84" s="38"/>
      <c r="J84" s="56"/>
      <c r="K84" s="56"/>
      <c r="L84" s="56"/>
      <c r="M84" s="56"/>
      <c r="N84" s="56"/>
      <c r="O84" s="56"/>
      <c r="P84" s="54"/>
      <c r="Q84" s="54"/>
      <c r="R84" s="54"/>
      <c r="S84" s="54"/>
      <c r="T84" s="54"/>
      <c r="U84" s="54"/>
      <c r="V84" s="54"/>
      <c r="W84" s="54"/>
      <c r="X84" s="54"/>
      <c r="Y84" s="55"/>
      <c r="Z84" s="55"/>
      <c r="AA84" s="55"/>
    </row>
    <row r="85" spans="1:27" ht="15" customHeight="1">
      <c r="A85" s="8"/>
      <c r="B85" s="18" t="s">
        <v>29</v>
      </c>
      <c r="C85" s="38">
        <v>1089553</v>
      </c>
      <c r="D85" s="24">
        <v>209092</v>
      </c>
      <c r="E85" s="24">
        <v>111652</v>
      </c>
      <c r="F85" s="24">
        <v>587156</v>
      </c>
      <c r="G85" s="24">
        <v>178315</v>
      </c>
      <c r="H85" s="24">
        <v>3338</v>
      </c>
      <c r="I85" s="38"/>
      <c r="J85" s="56"/>
      <c r="K85" s="56"/>
      <c r="L85" s="56"/>
      <c r="M85" s="56"/>
      <c r="N85" s="56"/>
      <c r="O85" s="56"/>
      <c r="P85" s="54"/>
      <c r="Q85" s="54"/>
      <c r="R85" s="54"/>
      <c r="S85" s="54"/>
      <c r="T85" s="54"/>
      <c r="U85" s="54"/>
      <c r="V85" s="54"/>
      <c r="W85" s="54"/>
      <c r="X85" s="54"/>
      <c r="Y85" s="55"/>
      <c r="Z85" s="55"/>
      <c r="AA85" s="55"/>
    </row>
    <row r="86" spans="1:27" ht="15" customHeight="1">
      <c r="A86" s="8"/>
      <c r="B86" s="18" t="s">
        <v>30</v>
      </c>
      <c r="C86" s="38">
        <v>1192973</v>
      </c>
      <c r="D86" s="24">
        <v>217992</v>
      </c>
      <c r="E86" s="24">
        <v>109374</v>
      </c>
      <c r="F86" s="24">
        <v>659658</v>
      </c>
      <c r="G86" s="24">
        <v>200310</v>
      </c>
      <c r="H86" s="24">
        <v>5639</v>
      </c>
      <c r="I86" s="38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5"/>
      <c r="Z86" s="55"/>
      <c r="AA86" s="55"/>
    </row>
    <row r="87" spans="1:27" ht="15" customHeight="1">
      <c r="A87" s="8"/>
      <c r="B87" s="18" t="s">
        <v>31</v>
      </c>
      <c r="C87" s="38">
        <v>1161125</v>
      </c>
      <c r="D87" s="24">
        <v>202202</v>
      </c>
      <c r="E87" s="24">
        <v>106137</v>
      </c>
      <c r="F87" s="24">
        <v>651562</v>
      </c>
      <c r="G87" s="24">
        <v>195589</v>
      </c>
      <c r="H87" s="24">
        <v>5635</v>
      </c>
      <c r="I87" s="38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5"/>
      <c r="Z87" s="55"/>
      <c r="AA87" s="55"/>
    </row>
    <row r="88" spans="1:27" ht="14.25" customHeight="1">
      <c r="A88" s="8"/>
      <c r="B88" s="18" t="s">
        <v>32</v>
      </c>
      <c r="C88" s="38">
        <v>1101204</v>
      </c>
      <c r="D88" s="24">
        <v>214637</v>
      </c>
      <c r="E88" s="24">
        <v>104555</v>
      </c>
      <c r="F88" s="24">
        <v>594247</v>
      </c>
      <c r="G88" s="24">
        <v>184153</v>
      </c>
      <c r="H88" s="24">
        <v>3612</v>
      </c>
      <c r="I88" s="38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5"/>
      <c r="Z88" s="55"/>
      <c r="AA88" s="55"/>
    </row>
    <row r="89" spans="1:27" ht="15.75" customHeight="1">
      <c r="A89" s="8"/>
      <c r="B89" s="18" t="s">
        <v>33</v>
      </c>
      <c r="C89" s="38">
        <v>1102285</v>
      </c>
      <c r="D89" s="24">
        <v>221872</v>
      </c>
      <c r="E89" s="24">
        <v>98398</v>
      </c>
      <c r="F89" s="24">
        <v>591434</v>
      </c>
      <c r="G89" s="24">
        <v>186971</v>
      </c>
      <c r="H89" s="24">
        <v>3610</v>
      </c>
      <c r="I89" s="38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5"/>
      <c r="Z89" s="55"/>
      <c r="AA89" s="55"/>
    </row>
    <row r="90" spans="1:27" ht="15" customHeight="1">
      <c r="A90" s="8"/>
      <c r="B90" s="18" t="s">
        <v>34</v>
      </c>
      <c r="C90" s="38">
        <v>1028465</v>
      </c>
      <c r="D90" s="24">
        <v>216077</v>
      </c>
      <c r="E90" s="24">
        <v>85490</v>
      </c>
      <c r="F90" s="24">
        <v>549209</v>
      </c>
      <c r="G90" s="24">
        <v>174846</v>
      </c>
      <c r="H90" s="24">
        <v>2843</v>
      </c>
      <c r="I90" s="38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5"/>
      <c r="Z90" s="55"/>
      <c r="AA90" s="55"/>
    </row>
    <row r="91" spans="1:27">
      <c r="A91" s="18">
        <v>2024</v>
      </c>
      <c r="B91" s="18" t="s">
        <v>23</v>
      </c>
      <c r="C91" s="38">
        <v>1026328</v>
      </c>
      <c r="D91" s="24">
        <v>212059</v>
      </c>
      <c r="E91" s="24">
        <v>85812</v>
      </c>
      <c r="F91" s="24">
        <v>546390</v>
      </c>
      <c r="G91" s="24">
        <v>179016</v>
      </c>
      <c r="H91" s="24">
        <v>3051</v>
      </c>
      <c r="I91" s="38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5"/>
      <c r="Z91" s="55"/>
      <c r="AA91" s="55"/>
    </row>
    <row r="92" spans="1:27">
      <c r="A92" s="8"/>
      <c r="B92" s="18" t="s">
        <v>24</v>
      </c>
      <c r="C92" s="38">
        <v>965907</v>
      </c>
      <c r="D92" s="24">
        <v>195742</v>
      </c>
      <c r="E92" s="24">
        <v>86644</v>
      </c>
      <c r="F92" s="24">
        <v>500743</v>
      </c>
      <c r="G92" s="24">
        <v>179982</v>
      </c>
      <c r="H92" s="24">
        <v>2796</v>
      </c>
      <c r="I92" s="38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5"/>
      <c r="Z92" s="55"/>
      <c r="AA92" s="55"/>
    </row>
    <row r="93" spans="1:27">
      <c r="A93" s="36"/>
      <c r="B93" s="18" t="s">
        <v>25</v>
      </c>
      <c r="C93" s="38">
        <v>987346</v>
      </c>
      <c r="D93" s="24">
        <v>211719</v>
      </c>
      <c r="E93" s="24">
        <v>96987</v>
      </c>
      <c r="F93" s="24">
        <v>499423</v>
      </c>
      <c r="G93" s="24">
        <v>176423</v>
      </c>
      <c r="H93" s="24">
        <v>2794</v>
      </c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5"/>
      <c r="Z93" s="55"/>
      <c r="AA93" s="55"/>
    </row>
    <row r="94" spans="1:27">
      <c r="A94" s="36"/>
      <c r="B94" s="18" t="s">
        <v>26</v>
      </c>
      <c r="C94" s="38">
        <v>1005744</v>
      </c>
      <c r="D94" s="24">
        <v>231439</v>
      </c>
      <c r="E94" s="24">
        <v>98463</v>
      </c>
      <c r="F94" s="24">
        <v>497915</v>
      </c>
      <c r="G94" s="24">
        <v>175167</v>
      </c>
      <c r="H94" s="24">
        <v>2760</v>
      </c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5"/>
      <c r="Z94" s="55"/>
      <c r="AA94" s="55"/>
    </row>
    <row r="95" spans="1:27" ht="15.75" customHeight="1">
      <c r="A95" s="36"/>
      <c r="B95" s="38" t="s">
        <v>27</v>
      </c>
      <c r="C95" s="38">
        <v>1003994</v>
      </c>
      <c r="D95" s="24">
        <v>248631</v>
      </c>
      <c r="E95" s="24">
        <v>107241</v>
      </c>
      <c r="F95" s="24">
        <v>475286</v>
      </c>
      <c r="G95" s="24">
        <v>170078</v>
      </c>
      <c r="H95" s="24">
        <v>2758</v>
      </c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5"/>
      <c r="Z95" s="55"/>
      <c r="AA95" s="55"/>
    </row>
    <row r="96" spans="1:27" ht="13.5" customHeight="1">
      <c r="A96" s="36"/>
      <c r="B96" s="38" t="s">
        <v>28</v>
      </c>
      <c r="C96" s="38">
        <v>1172224</v>
      </c>
      <c r="D96" s="24">
        <v>262669</v>
      </c>
      <c r="E96" s="24">
        <v>102079</v>
      </c>
      <c r="F96" s="24">
        <v>625659</v>
      </c>
      <c r="G96" s="24">
        <v>178974</v>
      </c>
      <c r="H96" s="24">
        <v>2843</v>
      </c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5"/>
      <c r="Z96" s="55"/>
      <c r="AA96" s="55"/>
    </row>
    <row r="97" spans="1:1019 1025:2043 2049:3067 3073:4091 4097:5115 5121:6139 6145:7163 7169:8187 8193:9211 9217:10235 10241:11259 11265:12283 12289:13307 13313:14331 14337:15355 15361:16379" ht="15" customHeight="1">
      <c r="A97" s="36"/>
      <c r="B97" s="38" t="s">
        <v>29</v>
      </c>
      <c r="C97" s="38">
        <v>1187351</v>
      </c>
      <c r="D97" s="24">
        <v>263010</v>
      </c>
      <c r="E97" s="24">
        <v>115472</v>
      </c>
      <c r="F97" s="24">
        <v>625308</v>
      </c>
      <c r="G97" s="24">
        <v>180721</v>
      </c>
      <c r="H97" s="24">
        <v>2840</v>
      </c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5"/>
      <c r="Z97" s="55"/>
      <c r="AA97" s="55"/>
    </row>
    <row r="98" spans="1:1019 1025:2043 2049:3067 3073:4091 4097:5115 5121:6139 6145:7163 7169:8187 8193:9211 9217:10235 10241:11259 11265:12283 12289:13307 13313:14331 14337:15355 15361:16379" ht="15" customHeight="1">
      <c r="A98" s="36"/>
      <c r="B98" s="38" t="s">
        <v>30</v>
      </c>
      <c r="C98" s="38">
        <v>1149962</v>
      </c>
      <c r="D98" s="24">
        <v>289093</v>
      </c>
      <c r="E98" s="24">
        <v>88646</v>
      </c>
      <c r="F98" s="24">
        <v>588391</v>
      </c>
      <c r="G98" s="24">
        <v>178875</v>
      </c>
      <c r="H98" s="24">
        <v>4957</v>
      </c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5"/>
      <c r="Z98" s="55"/>
      <c r="AA98" s="55"/>
    </row>
    <row r="99" spans="1:1019 1025:2043 2049:3067 3073:4091 4097:5115 5121:6139 6145:7163 7169:8187 8193:9211 9217:10235 10241:11259 11265:12283 12289:13307 13313:14331 14337:15355 15361:16379" ht="14.25" customHeight="1">
      <c r="A99" s="36"/>
      <c r="B99" s="38" t="s">
        <v>31</v>
      </c>
      <c r="C99" s="38">
        <v>1118557</v>
      </c>
      <c r="D99" s="24">
        <v>270416</v>
      </c>
      <c r="E99" s="24">
        <v>78983</v>
      </c>
      <c r="F99" s="24">
        <v>586182</v>
      </c>
      <c r="G99" s="24">
        <v>178022</v>
      </c>
      <c r="H99" s="24">
        <v>4954</v>
      </c>
      <c r="I99" s="54"/>
      <c r="J99" s="54"/>
      <c r="K99" s="54"/>
      <c r="L99" s="56"/>
      <c r="M99" s="56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5"/>
      <c r="Z99" s="55"/>
      <c r="AA99" s="55"/>
    </row>
    <row r="100" spans="1:1019 1025:2043 2049:3067 3073:4091 4097:5115 5121:6139 6145:7163 7169:8187 8193:9211 9217:10235 10241:11259 11265:12283 12289:13307 13313:14331 14337:15355 15361:16379" ht="14.25" customHeight="1">
      <c r="A100" s="36"/>
      <c r="B100" s="38" t="s">
        <v>32</v>
      </c>
      <c r="C100" s="38">
        <v>1163082</v>
      </c>
      <c r="D100" s="24">
        <v>265560</v>
      </c>
      <c r="E100" s="24">
        <v>72590</v>
      </c>
      <c r="F100" s="24">
        <v>625871</v>
      </c>
      <c r="G100" s="24">
        <v>196294</v>
      </c>
      <c r="H100" s="24">
        <v>2767</v>
      </c>
      <c r="I100" s="54"/>
      <c r="J100" s="54"/>
      <c r="K100" s="54"/>
      <c r="L100" s="56"/>
      <c r="M100" s="56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5"/>
      <c r="Z100" s="55"/>
      <c r="AA100" s="55"/>
    </row>
    <row r="101" spans="1:1019 1025:2043 2049:3067 3073:4091 4097:5115 5121:6139 6145:7163 7169:8187 8193:9211 9217:10235 10241:11259 11265:12283 12289:13307 13313:14331 14337:15355 15361:16379" ht="12" customHeight="1">
      <c r="A101" s="36"/>
      <c r="B101" s="38" t="s">
        <v>44</v>
      </c>
      <c r="C101" s="38">
        <v>1078066</v>
      </c>
      <c r="D101" s="24">
        <v>231040</v>
      </c>
      <c r="E101" s="24">
        <v>70010</v>
      </c>
      <c r="F101" s="24">
        <v>577996</v>
      </c>
      <c r="G101" s="24">
        <v>196257</v>
      </c>
      <c r="H101" s="24">
        <v>2763</v>
      </c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5"/>
      <c r="Z101" s="55"/>
      <c r="AA101" s="55"/>
    </row>
    <row r="102" spans="1:1019 1025:2043 2049:3067 3073:4091 4097:5115 5121:6139 6145:7163 7169:8187 8193:9211 9217:10235 10241:11259 11265:12283 12289:13307 13313:14331 14337:15355 15361:16379" s="24" customFormat="1" ht="14.25" customHeight="1">
      <c r="A102" s="18"/>
      <c r="B102" s="18" t="s">
        <v>45</v>
      </c>
      <c r="C102" s="38">
        <f>D102+E102+F102+G102+H102</f>
        <v>920741</v>
      </c>
      <c r="D102" s="24">
        <v>229232</v>
      </c>
      <c r="E102" s="24">
        <v>68336</v>
      </c>
      <c r="F102" s="24">
        <v>455942</v>
      </c>
      <c r="G102" s="24">
        <v>165502</v>
      </c>
      <c r="H102" s="24">
        <v>1729</v>
      </c>
      <c r="I102" s="18"/>
      <c r="J102" s="18"/>
      <c r="K102" s="38"/>
      <c r="Q102" s="18"/>
      <c r="R102" s="18"/>
      <c r="S102" s="38"/>
      <c r="Y102" s="18"/>
      <c r="Z102" s="18"/>
      <c r="AA102" s="38"/>
      <c r="AG102" s="18"/>
      <c r="AH102" s="18"/>
      <c r="AI102" s="38"/>
      <c r="AO102" s="18"/>
      <c r="AP102" s="18"/>
      <c r="AQ102" s="38"/>
      <c r="AW102" s="18"/>
      <c r="AX102" s="18"/>
      <c r="AY102" s="38"/>
      <c r="BE102" s="18"/>
      <c r="BF102" s="18"/>
      <c r="BG102" s="38"/>
      <c r="BM102" s="18"/>
      <c r="BN102" s="18"/>
      <c r="BO102" s="38"/>
      <c r="BU102" s="18"/>
      <c r="BV102" s="18"/>
      <c r="BW102" s="38"/>
      <c r="CC102" s="18"/>
      <c r="CD102" s="18"/>
      <c r="CE102" s="38"/>
      <c r="CK102" s="18"/>
      <c r="CL102" s="18"/>
      <c r="CM102" s="38"/>
      <c r="CS102" s="18"/>
      <c r="CT102" s="18"/>
      <c r="CU102" s="38"/>
      <c r="DA102" s="18"/>
      <c r="DB102" s="18"/>
      <c r="DC102" s="38"/>
      <c r="DI102" s="18"/>
      <c r="DJ102" s="18"/>
      <c r="DK102" s="38"/>
      <c r="DQ102" s="18"/>
      <c r="DR102" s="18"/>
      <c r="DS102" s="38"/>
      <c r="DY102" s="18"/>
      <c r="DZ102" s="18"/>
      <c r="EA102" s="38"/>
      <c r="EG102" s="18"/>
      <c r="EH102" s="18"/>
      <c r="EI102" s="38"/>
      <c r="EO102" s="18"/>
      <c r="EP102" s="18"/>
      <c r="EQ102" s="38"/>
      <c r="EW102" s="18"/>
      <c r="EX102" s="18"/>
      <c r="EY102" s="38"/>
      <c r="FE102" s="18"/>
      <c r="FF102" s="18"/>
      <c r="FG102" s="38"/>
      <c r="FM102" s="18"/>
      <c r="FN102" s="18"/>
      <c r="FO102" s="38"/>
      <c r="FU102" s="18"/>
      <c r="FV102" s="18"/>
      <c r="FW102" s="38"/>
      <c r="GC102" s="18"/>
      <c r="GD102" s="18"/>
      <c r="GE102" s="38"/>
      <c r="GK102" s="18"/>
      <c r="GL102" s="18"/>
      <c r="GM102" s="38"/>
      <c r="GS102" s="18"/>
      <c r="GT102" s="18"/>
      <c r="GU102" s="38"/>
      <c r="HA102" s="18"/>
      <c r="HB102" s="18"/>
      <c r="HC102" s="38"/>
      <c r="HI102" s="18"/>
      <c r="HJ102" s="18"/>
      <c r="HK102" s="38"/>
      <c r="HQ102" s="18"/>
      <c r="HR102" s="18"/>
      <c r="HS102" s="38"/>
      <c r="HY102" s="18"/>
      <c r="HZ102" s="18"/>
      <c r="IA102" s="38"/>
      <c r="IG102" s="18"/>
      <c r="IH102" s="18"/>
      <c r="II102" s="38"/>
      <c r="IO102" s="18"/>
      <c r="IP102" s="18"/>
      <c r="IQ102" s="38"/>
      <c r="IW102" s="18"/>
      <c r="IX102" s="18"/>
      <c r="IY102" s="38"/>
      <c r="JE102" s="18"/>
      <c r="JF102" s="18"/>
      <c r="JG102" s="38"/>
      <c r="JM102" s="18"/>
      <c r="JN102" s="18"/>
      <c r="JO102" s="38"/>
      <c r="JU102" s="18"/>
      <c r="JV102" s="18"/>
      <c r="JW102" s="38"/>
      <c r="KC102" s="18"/>
      <c r="KD102" s="18"/>
      <c r="KE102" s="38"/>
      <c r="KK102" s="18"/>
      <c r="KL102" s="18"/>
      <c r="KM102" s="38"/>
      <c r="KS102" s="18"/>
      <c r="KT102" s="18"/>
      <c r="KU102" s="38"/>
      <c r="LA102" s="18"/>
      <c r="LB102" s="18"/>
      <c r="LC102" s="38"/>
      <c r="LI102" s="18"/>
      <c r="LJ102" s="18"/>
      <c r="LK102" s="38"/>
      <c r="LQ102" s="18"/>
      <c r="LR102" s="18"/>
      <c r="LS102" s="38"/>
      <c r="LY102" s="18"/>
      <c r="LZ102" s="18"/>
      <c r="MA102" s="38"/>
      <c r="MG102" s="18"/>
      <c r="MH102" s="18"/>
      <c r="MI102" s="38"/>
      <c r="MO102" s="18"/>
      <c r="MP102" s="18"/>
      <c r="MQ102" s="38"/>
      <c r="MW102" s="18"/>
      <c r="MX102" s="18"/>
      <c r="MY102" s="38"/>
      <c r="NE102" s="18"/>
      <c r="NF102" s="18"/>
      <c r="NG102" s="38"/>
      <c r="NM102" s="18"/>
      <c r="NN102" s="18"/>
      <c r="NO102" s="38"/>
      <c r="NU102" s="18"/>
      <c r="NV102" s="18"/>
      <c r="NW102" s="38"/>
      <c r="OC102" s="18"/>
      <c r="OD102" s="18"/>
      <c r="OE102" s="38"/>
      <c r="OK102" s="18"/>
      <c r="OL102" s="18"/>
      <c r="OM102" s="38"/>
      <c r="OS102" s="18"/>
      <c r="OT102" s="18"/>
      <c r="OU102" s="38"/>
      <c r="PA102" s="18"/>
      <c r="PB102" s="18"/>
      <c r="PC102" s="38"/>
      <c r="PI102" s="18"/>
      <c r="PJ102" s="18"/>
      <c r="PK102" s="38"/>
      <c r="PQ102" s="18"/>
      <c r="PR102" s="18"/>
      <c r="PS102" s="38"/>
      <c r="PY102" s="18"/>
      <c r="PZ102" s="18"/>
      <c r="QA102" s="38"/>
      <c r="QG102" s="18"/>
      <c r="QH102" s="18"/>
      <c r="QI102" s="38"/>
      <c r="QO102" s="18"/>
      <c r="QP102" s="18"/>
      <c r="QQ102" s="38"/>
      <c r="QW102" s="18"/>
      <c r="QX102" s="18"/>
      <c r="QY102" s="38"/>
      <c r="RE102" s="18"/>
      <c r="RF102" s="18"/>
      <c r="RG102" s="38"/>
      <c r="RM102" s="18"/>
      <c r="RN102" s="18"/>
      <c r="RO102" s="38"/>
      <c r="RU102" s="18"/>
      <c r="RV102" s="18"/>
      <c r="RW102" s="38"/>
      <c r="SC102" s="18"/>
      <c r="SD102" s="18"/>
      <c r="SE102" s="38"/>
      <c r="SK102" s="18"/>
      <c r="SL102" s="18"/>
      <c r="SM102" s="38"/>
      <c r="SS102" s="18"/>
      <c r="ST102" s="18"/>
      <c r="SU102" s="38"/>
      <c r="TA102" s="18"/>
      <c r="TB102" s="18"/>
      <c r="TC102" s="38"/>
      <c r="TI102" s="18"/>
      <c r="TJ102" s="18"/>
      <c r="TK102" s="38"/>
      <c r="TQ102" s="18"/>
      <c r="TR102" s="18"/>
      <c r="TS102" s="38"/>
      <c r="TY102" s="18"/>
      <c r="TZ102" s="18"/>
      <c r="UA102" s="38"/>
      <c r="UG102" s="18"/>
      <c r="UH102" s="18"/>
      <c r="UI102" s="38"/>
      <c r="UO102" s="18"/>
      <c r="UP102" s="18"/>
      <c r="UQ102" s="38"/>
      <c r="UW102" s="18"/>
      <c r="UX102" s="18"/>
      <c r="UY102" s="38"/>
      <c r="VE102" s="18"/>
      <c r="VF102" s="18"/>
      <c r="VG102" s="38"/>
      <c r="VM102" s="18"/>
      <c r="VN102" s="18"/>
      <c r="VO102" s="38"/>
      <c r="VU102" s="18"/>
      <c r="VV102" s="18"/>
      <c r="VW102" s="38"/>
      <c r="WC102" s="18"/>
      <c r="WD102" s="18"/>
      <c r="WE102" s="38"/>
      <c r="WK102" s="18"/>
      <c r="WL102" s="18"/>
      <c r="WM102" s="38"/>
      <c r="WS102" s="18"/>
      <c r="WT102" s="18"/>
      <c r="WU102" s="38"/>
      <c r="XA102" s="18"/>
      <c r="XB102" s="18"/>
      <c r="XC102" s="38"/>
      <c r="XI102" s="18"/>
      <c r="XJ102" s="18"/>
      <c r="XK102" s="38"/>
      <c r="XQ102" s="18"/>
      <c r="XR102" s="18"/>
      <c r="XS102" s="38"/>
      <c r="XY102" s="18"/>
      <c r="XZ102" s="18"/>
      <c r="YA102" s="38"/>
      <c r="YG102" s="18"/>
      <c r="YH102" s="18"/>
      <c r="YI102" s="38"/>
      <c r="YO102" s="18"/>
      <c r="YP102" s="18"/>
      <c r="YQ102" s="38"/>
      <c r="YW102" s="18"/>
      <c r="YX102" s="18"/>
      <c r="YY102" s="38"/>
      <c r="ZE102" s="18"/>
      <c r="ZF102" s="18"/>
      <c r="ZG102" s="38"/>
      <c r="ZM102" s="18"/>
      <c r="ZN102" s="18"/>
      <c r="ZO102" s="38"/>
      <c r="ZU102" s="18"/>
      <c r="ZV102" s="18"/>
      <c r="ZW102" s="38"/>
      <c r="AAC102" s="18"/>
      <c r="AAD102" s="18"/>
      <c r="AAE102" s="38"/>
      <c r="AAK102" s="18"/>
      <c r="AAL102" s="18"/>
      <c r="AAM102" s="38"/>
      <c r="AAS102" s="18"/>
      <c r="AAT102" s="18"/>
      <c r="AAU102" s="38"/>
      <c r="ABA102" s="18"/>
      <c r="ABB102" s="18"/>
      <c r="ABC102" s="38"/>
      <c r="ABI102" s="18"/>
      <c r="ABJ102" s="18"/>
      <c r="ABK102" s="38"/>
      <c r="ABQ102" s="18"/>
      <c r="ABR102" s="18"/>
      <c r="ABS102" s="38"/>
      <c r="ABY102" s="18"/>
      <c r="ABZ102" s="18"/>
      <c r="ACA102" s="38"/>
      <c r="ACG102" s="18"/>
      <c r="ACH102" s="18"/>
      <c r="ACI102" s="38"/>
      <c r="ACO102" s="18"/>
      <c r="ACP102" s="18"/>
      <c r="ACQ102" s="38"/>
      <c r="ACW102" s="18"/>
      <c r="ACX102" s="18"/>
      <c r="ACY102" s="38"/>
      <c r="ADE102" s="18"/>
      <c r="ADF102" s="18"/>
      <c r="ADG102" s="38"/>
      <c r="ADM102" s="18"/>
      <c r="ADN102" s="18"/>
      <c r="ADO102" s="38"/>
      <c r="ADU102" s="18"/>
      <c r="ADV102" s="18"/>
      <c r="ADW102" s="38"/>
      <c r="AEC102" s="18"/>
      <c r="AED102" s="18"/>
      <c r="AEE102" s="38"/>
      <c r="AEK102" s="18"/>
      <c r="AEL102" s="18"/>
      <c r="AEM102" s="38"/>
      <c r="AES102" s="18"/>
      <c r="AET102" s="18"/>
      <c r="AEU102" s="38"/>
      <c r="AFA102" s="18"/>
      <c r="AFB102" s="18"/>
      <c r="AFC102" s="38"/>
      <c r="AFI102" s="18"/>
      <c r="AFJ102" s="18"/>
      <c r="AFK102" s="38"/>
      <c r="AFQ102" s="18"/>
      <c r="AFR102" s="18"/>
      <c r="AFS102" s="38"/>
      <c r="AFY102" s="18"/>
      <c r="AFZ102" s="18"/>
      <c r="AGA102" s="38"/>
      <c r="AGG102" s="18"/>
      <c r="AGH102" s="18"/>
      <c r="AGI102" s="38"/>
      <c r="AGO102" s="18"/>
      <c r="AGP102" s="18"/>
      <c r="AGQ102" s="38"/>
      <c r="AGW102" s="18"/>
      <c r="AGX102" s="18"/>
      <c r="AGY102" s="38"/>
      <c r="AHE102" s="18"/>
      <c r="AHF102" s="18"/>
      <c r="AHG102" s="38"/>
      <c r="AHM102" s="18"/>
      <c r="AHN102" s="18"/>
      <c r="AHO102" s="38"/>
      <c r="AHU102" s="18"/>
      <c r="AHV102" s="18"/>
      <c r="AHW102" s="38"/>
      <c r="AIC102" s="18"/>
      <c r="AID102" s="18"/>
      <c r="AIE102" s="38"/>
      <c r="AIK102" s="18"/>
      <c r="AIL102" s="18"/>
      <c r="AIM102" s="38"/>
      <c r="AIS102" s="18"/>
      <c r="AIT102" s="18"/>
      <c r="AIU102" s="38"/>
      <c r="AJA102" s="18"/>
      <c r="AJB102" s="18"/>
      <c r="AJC102" s="38"/>
      <c r="AJI102" s="18"/>
      <c r="AJJ102" s="18"/>
      <c r="AJK102" s="38"/>
      <c r="AJQ102" s="18"/>
      <c r="AJR102" s="18"/>
      <c r="AJS102" s="38"/>
      <c r="AJY102" s="18"/>
      <c r="AJZ102" s="18"/>
      <c r="AKA102" s="38"/>
      <c r="AKG102" s="18"/>
      <c r="AKH102" s="18"/>
      <c r="AKI102" s="38"/>
      <c r="AKO102" s="18"/>
      <c r="AKP102" s="18"/>
      <c r="AKQ102" s="38"/>
      <c r="AKW102" s="18"/>
      <c r="AKX102" s="18"/>
      <c r="AKY102" s="38"/>
      <c r="ALE102" s="18"/>
      <c r="ALF102" s="18"/>
      <c r="ALG102" s="38"/>
      <c r="ALM102" s="18"/>
      <c r="ALN102" s="18"/>
      <c r="ALO102" s="38"/>
      <c r="ALU102" s="18"/>
      <c r="ALV102" s="18"/>
      <c r="ALW102" s="38"/>
      <c r="AMC102" s="18"/>
      <c r="AMD102" s="18"/>
      <c r="AME102" s="38"/>
      <c r="AMK102" s="18"/>
      <c r="AML102" s="18"/>
      <c r="AMM102" s="38"/>
      <c r="AMS102" s="18"/>
      <c r="AMT102" s="18"/>
      <c r="AMU102" s="38"/>
      <c r="ANA102" s="18"/>
      <c r="ANB102" s="18"/>
      <c r="ANC102" s="38"/>
      <c r="ANI102" s="18"/>
      <c r="ANJ102" s="18"/>
      <c r="ANK102" s="38"/>
      <c r="ANQ102" s="18"/>
      <c r="ANR102" s="18"/>
      <c r="ANS102" s="38"/>
      <c r="ANY102" s="18"/>
      <c r="ANZ102" s="18"/>
      <c r="AOA102" s="38"/>
      <c r="AOG102" s="18"/>
      <c r="AOH102" s="18"/>
      <c r="AOI102" s="38"/>
      <c r="AOO102" s="18"/>
      <c r="AOP102" s="18"/>
      <c r="AOQ102" s="38"/>
      <c r="AOW102" s="18"/>
      <c r="AOX102" s="18"/>
      <c r="AOY102" s="38"/>
      <c r="APE102" s="18"/>
      <c r="APF102" s="18"/>
      <c r="APG102" s="38"/>
      <c r="APM102" s="18"/>
      <c r="APN102" s="18"/>
      <c r="APO102" s="38"/>
      <c r="APU102" s="18"/>
      <c r="APV102" s="18"/>
      <c r="APW102" s="38"/>
      <c r="AQC102" s="18"/>
      <c r="AQD102" s="18"/>
      <c r="AQE102" s="38"/>
      <c r="AQK102" s="18"/>
      <c r="AQL102" s="18"/>
      <c r="AQM102" s="38"/>
      <c r="AQS102" s="18"/>
      <c r="AQT102" s="18"/>
      <c r="AQU102" s="38"/>
      <c r="ARA102" s="18"/>
      <c r="ARB102" s="18"/>
      <c r="ARC102" s="38"/>
      <c r="ARI102" s="18"/>
      <c r="ARJ102" s="18"/>
      <c r="ARK102" s="38"/>
      <c r="ARQ102" s="18"/>
      <c r="ARR102" s="18"/>
      <c r="ARS102" s="38"/>
      <c r="ARY102" s="18"/>
      <c r="ARZ102" s="18"/>
      <c r="ASA102" s="38"/>
      <c r="ASG102" s="18"/>
      <c r="ASH102" s="18"/>
      <c r="ASI102" s="38"/>
      <c r="ASO102" s="18"/>
      <c r="ASP102" s="18"/>
      <c r="ASQ102" s="38"/>
      <c r="ASW102" s="18"/>
      <c r="ASX102" s="18"/>
      <c r="ASY102" s="38"/>
      <c r="ATE102" s="18"/>
      <c r="ATF102" s="18"/>
      <c r="ATG102" s="38"/>
      <c r="ATM102" s="18"/>
      <c r="ATN102" s="18"/>
      <c r="ATO102" s="38"/>
      <c r="ATU102" s="18"/>
      <c r="ATV102" s="18"/>
      <c r="ATW102" s="38"/>
      <c r="AUC102" s="18"/>
      <c r="AUD102" s="18"/>
      <c r="AUE102" s="38"/>
      <c r="AUK102" s="18"/>
      <c r="AUL102" s="18"/>
      <c r="AUM102" s="38"/>
      <c r="AUS102" s="18"/>
      <c r="AUT102" s="18"/>
      <c r="AUU102" s="38"/>
      <c r="AVA102" s="18"/>
      <c r="AVB102" s="18"/>
      <c r="AVC102" s="38"/>
      <c r="AVI102" s="18"/>
      <c r="AVJ102" s="18"/>
      <c r="AVK102" s="38"/>
      <c r="AVQ102" s="18"/>
      <c r="AVR102" s="18"/>
      <c r="AVS102" s="38"/>
      <c r="AVY102" s="18"/>
      <c r="AVZ102" s="18"/>
      <c r="AWA102" s="38"/>
      <c r="AWG102" s="18"/>
      <c r="AWH102" s="18"/>
      <c r="AWI102" s="38"/>
      <c r="AWO102" s="18"/>
      <c r="AWP102" s="18"/>
      <c r="AWQ102" s="38"/>
      <c r="AWW102" s="18"/>
      <c r="AWX102" s="18"/>
      <c r="AWY102" s="38"/>
      <c r="AXE102" s="18"/>
      <c r="AXF102" s="18"/>
      <c r="AXG102" s="38"/>
      <c r="AXM102" s="18"/>
      <c r="AXN102" s="18"/>
      <c r="AXO102" s="38"/>
      <c r="AXU102" s="18"/>
      <c r="AXV102" s="18"/>
      <c r="AXW102" s="38"/>
      <c r="AYC102" s="18"/>
      <c r="AYD102" s="18"/>
      <c r="AYE102" s="38"/>
      <c r="AYK102" s="18"/>
      <c r="AYL102" s="18"/>
      <c r="AYM102" s="38"/>
      <c r="AYS102" s="18"/>
      <c r="AYT102" s="18"/>
      <c r="AYU102" s="38"/>
      <c r="AZA102" s="18"/>
      <c r="AZB102" s="18"/>
      <c r="AZC102" s="38"/>
      <c r="AZI102" s="18"/>
      <c r="AZJ102" s="18"/>
      <c r="AZK102" s="38"/>
      <c r="AZQ102" s="18"/>
      <c r="AZR102" s="18"/>
      <c r="AZS102" s="38"/>
      <c r="AZY102" s="18"/>
      <c r="AZZ102" s="18"/>
      <c r="BAA102" s="38"/>
      <c r="BAG102" s="18"/>
      <c r="BAH102" s="18"/>
      <c r="BAI102" s="38"/>
      <c r="BAO102" s="18"/>
      <c r="BAP102" s="18"/>
      <c r="BAQ102" s="38"/>
      <c r="BAW102" s="18"/>
      <c r="BAX102" s="18"/>
      <c r="BAY102" s="38"/>
      <c r="BBE102" s="18"/>
      <c r="BBF102" s="18"/>
      <c r="BBG102" s="38"/>
      <c r="BBM102" s="18"/>
      <c r="BBN102" s="18"/>
      <c r="BBO102" s="38"/>
      <c r="BBU102" s="18"/>
      <c r="BBV102" s="18"/>
      <c r="BBW102" s="38"/>
      <c r="BCC102" s="18"/>
      <c r="BCD102" s="18"/>
      <c r="BCE102" s="38"/>
      <c r="BCK102" s="18"/>
      <c r="BCL102" s="18"/>
      <c r="BCM102" s="38"/>
      <c r="BCS102" s="18"/>
      <c r="BCT102" s="18"/>
      <c r="BCU102" s="38"/>
      <c r="BDA102" s="18"/>
      <c r="BDB102" s="18"/>
      <c r="BDC102" s="38"/>
      <c r="BDI102" s="18"/>
      <c r="BDJ102" s="18"/>
      <c r="BDK102" s="38"/>
      <c r="BDQ102" s="18"/>
      <c r="BDR102" s="18"/>
      <c r="BDS102" s="38"/>
      <c r="BDY102" s="18"/>
      <c r="BDZ102" s="18"/>
      <c r="BEA102" s="38"/>
      <c r="BEG102" s="18"/>
      <c r="BEH102" s="18"/>
      <c r="BEI102" s="38"/>
      <c r="BEO102" s="18"/>
      <c r="BEP102" s="18"/>
      <c r="BEQ102" s="38"/>
      <c r="BEW102" s="18"/>
      <c r="BEX102" s="18"/>
      <c r="BEY102" s="38"/>
      <c r="BFE102" s="18"/>
      <c r="BFF102" s="18"/>
      <c r="BFG102" s="38"/>
      <c r="BFM102" s="18"/>
      <c r="BFN102" s="18"/>
      <c r="BFO102" s="38"/>
      <c r="BFU102" s="18"/>
      <c r="BFV102" s="18"/>
      <c r="BFW102" s="38"/>
      <c r="BGC102" s="18"/>
      <c r="BGD102" s="18"/>
      <c r="BGE102" s="38"/>
      <c r="BGK102" s="18"/>
      <c r="BGL102" s="18"/>
      <c r="BGM102" s="38"/>
      <c r="BGS102" s="18"/>
      <c r="BGT102" s="18"/>
      <c r="BGU102" s="38"/>
      <c r="BHA102" s="18"/>
      <c r="BHB102" s="18"/>
      <c r="BHC102" s="38"/>
      <c r="BHI102" s="18"/>
      <c r="BHJ102" s="18"/>
      <c r="BHK102" s="38"/>
      <c r="BHQ102" s="18"/>
      <c r="BHR102" s="18"/>
      <c r="BHS102" s="38"/>
      <c r="BHY102" s="18"/>
      <c r="BHZ102" s="18"/>
      <c r="BIA102" s="38"/>
      <c r="BIG102" s="18"/>
      <c r="BIH102" s="18"/>
      <c r="BII102" s="38"/>
      <c r="BIO102" s="18"/>
      <c r="BIP102" s="18"/>
      <c r="BIQ102" s="38"/>
      <c r="BIW102" s="18"/>
      <c r="BIX102" s="18"/>
      <c r="BIY102" s="38"/>
      <c r="BJE102" s="18"/>
      <c r="BJF102" s="18"/>
      <c r="BJG102" s="38"/>
      <c r="BJM102" s="18"/>
      <c r="BJN102" s="18"/>
      <c r="BJO102" s="38"/>
      <c r="BJU102" s="18"/>
      <c r="BJV102" s="18"/>
      <c r="BJW102" s="38"/>
      <c r="BKC102" s="18"/>
      <c r="BKD102" s="18"/>
      <c r="BKE102" s="38"/>
      <c r="BKK102" s="18"/>
      <c r="BKL102" s="18"/>
      <c r="BKM102" s="38"/>
      <c r="BKS102" s="18"/>
      <c r="BKT102" s="18"/>
      <c r="BKU102" s="38"/>
      <c r="BLA102" s="18"/>
      <c r="BLB102" s="18"/>
      <c r="BLC102" s="38"/>
      <c r="BLI102" s="18"/>
      <c r="BLJ102" s="18"/>
      <c r="BLK102" s="38"/>
      <c r="BLQ102" s="18"/>
      <c r="BLR102" s="18"/>
      <c r="BLS102" s="38"/>
      <c r="BLY102" s="18"/>
      <c r="BLZ102" s="18"/>
      <c r="BMA102" s="38"/>
      <c r="BMG102" s="18"/>
      <c r="BMH102" s="18"/>
      <c r="BMI102" s="38"/>
      <c r="BMO102" s="18"/>
      <c r="BMP102" s="18"/>
      <c r="BMQ102" s="38"/>
      <c r="BMW102" s="18"/>
      <c r="BMX102" s="18"/>
      <c r="BMY102" s="38"/>
      <c r="BNE102" s="18"/>
      <c r="BNF102" s="18"/>
      <c r="BNG102" s="38"/>
      <c r="BNM102" s="18"/>
      <c r="BNN102" s="18"/>
      <c r="BNO102" s="38"/>
      <c r="BNU102" s="18"/>
      <c r="BNV102" s="18"/>
      <c r="BNW102" s="38"/>
      <c r="BOC102" s="18"/>
      <c r="BOD102" s="18"/>
      <c r="BOE102" s="38"/>
      <c r="BOK102" s="18"/>
      <c r="BOL102" s="18"/>
      <c r="BOM102" s="38"/>
      <c r="BOS102" s="18"/>
      <c r="BOT102" s="18"/>
      <c r="BOU102" s="38"/>
      <c r="BPA102" s="18"/>
      <c r="BPB102" s="18"/>
      <c r="BPC102" s="38"/>
      <c r="BPI102" s="18"/>
      <c r="BPJ102" s="18"/>
      <c r="BPK102" s="38"/>
      <c r="BPQ102" s="18"/>
      <c r="BPR102" s="18"/>
      <c r="BPS102" s="38"/>
      <c r="BPY102" s="18"/>
      <c r="BPZ102" s="18"/>
      <c r="BQA102" s="38"/>
      <c r="BQG102" s="18"/>
      <c r="BQH102" s="18"/>
      <c r="BQI102" s="38"/>
      <c r="BQO102" s="18"/>
      <c r="BQP102" s="18"/>
      <c r="BQQ102" s="38"/>
      <c r="BQW102" s="18"/>
      <c r="BQX102" s="18"/>
      <c r="BQY102" s="38"/>
      <c r="BRE102" s="18"/>
      <c r="BRF102" s="18"/>
      <c r="BRG102" s="38"/>
      <c r="BRM102" s="18"/>
      <c r="BRN102" s="18"/>
      <c r="BRO102" s="38"/>
      <c r="BRU102" s="18"/>
      <c r="BRV102" s="18"/>
      <c r="BRW102" s="38"/>
      <c r="BSC102" s="18"/>
      <c r="BSD102" s="18"/>
      <c r="BSE102" s="38"/>
      <c r="BSK102" s="18"/>
      <c r="BSL102" s="18"/>
      <c r="BSM102" s="38"/>
      <c r="BSS102" s="18"/>
      <c r="BST102" s="18"/>
      <c r="BSU102" s="38"/>
      <c r="BTA102" s="18"/>
      <c r="BTB102" s="18"/>
      <c r="BTC102" s="38"/>
      <c r="BTI102" s="18"/>
      <c r="BTJ102" s="18"/>
      <c r="BTK102" s="38"/>
      <c r="BTQ102" s="18"/>
      <c r="BTR102" s="18"/>
      <c r="BTS102" s="38"/>
      <c r="BTY102" s="18"/>
      <c r="BTZ102" s="18"/>
      <c r="BUA102" s="38"/>
      <c r="BUG102" s="18"/>
      <c r="BUH102" s="18"/>
      <c r="BUI102" s="38"/>
      <c r="BUO102" s="18"/>
      <c r="BUP102" s="18"/>
      <c r="BUQ102" s="38"/>
      <c r="BUW102" s="18"/>
      <c r="BUX102" s="18"/>
      <c r="BUY102" s="38"/>
      <c r="BVE102" s="18"/>
      <c r="BVF102" s="18"/>
      <c r="BVG102" s="38"/>
      <c r="BVM102" s="18"/>
      <c r="BVN102" s="18"/>
      <c r="BVO102" s="38"/>
      <c r="BVU102" s="18"/>
      <c r="BVV102" s="18"/>
      <c r="BVW102" s="38"/>
      <c r="BWC102" s="18"/>
      <c r="BWD102" s="18"/>
      <c r="BWE102" s="38"/>
      <c r="BWK102" s="18"/>
      <c r="BWL102" s="18"/>
      <c r="BWM102" s="38"/>
      <c r="BWS102" s="18"/>
      <c r="BWT102" s="18"/>
      <c r="BWU102" s="38"/>
      <c r="BXA102" s="18"/>
      <c r="BXB102" s="18"/>
      <c r="BXC102" s="38"/>
      <c r="BXI102" s="18"/>
      <c r="BXJ102" s="18"/>
      <c r="BXK102" s="38"/>
      <c r="BXQ102" s="18"/>
      <c r="BXR102" s="18"/>
      <c r="BXS102" s="38"/>
      <c r="BXY102" s="18"/>
      <c r="BXZ102" s="18"/>
      <c r="BYA102" s="38"/>
      <c r="BYG102" s="18"/>
      <c r="BYH102" s="18"/>
      <c r="BYI102" s="38"/>
      <c r="BYO102" s="18"/>
      <c r="BYP102" s="18"/>
      <c r="BYQ102" s="38"/>
      <c r="BYW102" s="18"/>
      <c r="BYX102" s="18"/>
      <c r="BYY102" s="38"/>
      <c r="BZE102" s="18"/>
      <c r="BZF102" s="18"/>
      <c r="BZG102" s="38"/>
      <c r="BZM102" s="18"/>
      <c r="BZN102" s="18"/>
      <c r="BZO102" s="38"/>
      <c r="BZU102" s="18"/>
      <c r="BZV102" s="18"/>
      <c r="BZW102" s="38"/>
      <c r="CAC102" s="18"/>
      <c r="CAD102" s="18"/>
      <c r="CAE102" s="38"/>
      <c r="CAK102" s="18"/>
      <c r="CAL102" s="18"/>
      <c r="CAM102" s="38"/>
      <c r="CAS102" s="18"/>
      <c r="CAT102" s="18"/>
      <c r="CAU102" s="38"/>
      <c r="CBA102" s="18"/>
      <c r="CBB102" s="18"/>
      <c r="CBC102" s="38"/>
      <c r="CBI102" s="18"/>
      <c r="CBJ102" s="18"/>
      <c r="CBK102" s="38"/>
      <c r="CBQ102" s="18"/>
      <c r="CBR102" s="18"/>
      <c r="CBS102" s="38"/>
      <c r="CBY102" s="18"/>
      <c r="CBZ102" s="18"/>
      <c r="CCA102" s="38"/>
      <c r="CCG102" s="18"/>
      <c r="CCH102" s="18"/>
      <c r="CCI102" s="38"/>
      <c r="CCO102" s="18"/>
      <c r="CCP102" s="18"/>
      <c r="CCQ102" s="38"/>
      <c r="CCW102" s="18"/>
      <c r="CCX102" s="18"/>
      <c r="CCY102" s="38"/>
      <c r="CDE102" s="18"/>
      <c r="CDF102" s="18"/>
      <c r="CDG102" s="38"/>
      <c r="CDM102" s="18"/>
      <c r="CDN102" s="18"/>
      <c r="CDO102" s="38"/>
      <c r="CDU102" s="18"/>
      <c r="CDV102" s="18"/>
      <c r="CDW102" s="38"/>
      <c r="CEC102" s="18"/>
      <c r="CED102" s="18"/>
      <c r="CEE102" s="38"/>
      <c r="CEK102" s="18"/>
      <c r="CEL102" s="18"/>
      <c r="CEM102" s="38"/>
      <c r="CES102" s="18"/>
      <c r="CET102" s="18"/>
      <c r="CEU102" s="38"/>
      <c r="CFA102" s="18"/>
      <c r="CFB102" s="18"/>
      <c r="CFC102" s="38"/>
      <c r="CFI102" s="18"/>
      <c r="CFJ102" s="18"/>
      <c r="CFK102" s="38"/>
      <c r="CFQ102" s="18"/>
      <c r="CFR102" s="18"/>
      <c r="CFS102" s="38"/>
      <c r="CFY102" s="18"/>
      <c r="CFZ102" s="18"/>
      <c r="CGA102" s="38"/>
      <c r="CGG102" s="18"/>
      <c r="CGH102" s="18"/>
      <c r="CGI102" s="38"/>
      <c r="CGO102" s="18"/>
      <c r="CGP102" s="18"/>
      <c r="CGQ102" s="38"/>
      <c r="CGW102" s="18"/>
      <c r="CGX102" s="18"/>
      <c r="CGY102" s="38"/>
      <c r="CHE102" s="18"/>
      <c r="CHF102" s="18"/>
      <c r="CHG102" s="38"/>
      <c r="CHM102" s="18"/>
      <c r="CHN102" s="18"/>
      <c r="CHO102" s="38"/>
      <c r="CHU102" s="18"/>
      <c r="CHV102" s="18"/>
      <c r="CHW102" s="38"/>
      <c r="CIC102" s="18"/>
      <c r="CID102" s="18"/>
      <c r="CIE102" s="38"/>
      <c r="CIK102" s="18"/>
      <c r="CIL102" s="18"/>
      <c r="CIM102" s="38"/>
      <c r="CIS102" s="18"/>
      <c r="CIT102" s="18"/>
      <c r="CIU102" s="38"/>
      <c r="CJA102" s="18"/>
      <c r="CJB102" s="18"/>
      <c r="CJC102" s="38"/>
      <c r="CJI102" s="18"/>
      <c r="CJJ102" s="18"/>
      <c r="CJK102" s="38"/>
      <c r="CJQ102" s="18"/>
      <c r="CJR102" s="18"/>
      <c r="CJS102" s="38"/>
      <c r="CJY102" s="18"/>
      <c r="CJZ102" s="18"/>
      <c r="CKA102" s="38"/>
      <c r="CKG102" s="18"/>
      <c r="CKH102" s="18"/>
      <c r="CKI102" s="38"/>
      <c r="CKO102" s="18"/>
      <c r="CKP102" s="18"/>
      <c r="CKQ102" s="38"/>
      <c r="CKW102" s="18"/>
      <c r="CKX102" s="18"/>
      <c r="CKY102" s="38"/>
      <c r="CLE102" s="18"/>
      <c r="CLF102" s="18"/>
      <c r="CLG102" s="38"/>
      <c r="CLM102" s="18"/>
      <c r="CLN102" s="18"/>
      <c r="CLO102" s="38"/>
      <c r="CLU102" s="18"/>
      <c r="CLV102" s="18"/>
      <c r="CLW102" s="38"/>
      <c r="CMC102" s="18"/>
      <c r="CMD102" s="18"/>
      <c r="CME102" s="38"/>
      <c r="CMK102" s="18"/>
      <c r="CML102" s="18"/>
      <c r="CMM102" s="38"/>
      <c r="CMS102" s="18"/>
      <c r="CMT102" s="18"/>
      <c r="CMU102" s="38"/>
      <c r="CNA102" s="18"/>
      <c r="CNB102" s="18"/>
      <c r="CNC102" s="38"/>
      <c r="CNI102" s="18"/>
      <c r="CNJ102" s="18"/>
      <c r="CNK102" s="38"/>
      <c r="CNQ102" s="18"/>
      <c r="CNR102" s="18"/>
      <c r="CNS102" s="38"/>
      <c r="CNY102" s="18"/>
      <c r="CNZ102" s="18"/>
      <c r="COA102" s="38"/>
      <c r="COG102" s="18"/>
      <c r="COH102" s="18"/>
      <c r="COI102" s="38"/>
      <c r="COO102" s="18"/>
      <c r="COP102" s="18"/>
      <c r="COQ102" s="38"/>
      <c r="COW102" s="18"/>
      <c r="COX102" s="18"/>
      <c r="COY102" s="38"/>
      <c r="CPE102" s="18"/>
      <c r="CPF102" s="18"/>
      <c r="CPG102" s="38"/>
      <c r="CPM102" s="18"/>
      <c r="CPN102" s="18"/>
      <c r="CPO102" s="38"/>
      <c r="CPU102" s="18"/>
      <c r="CPV102" s="18"/>
      <c r="CPW102" s="38"/>
      <c r="CQC102" s="18"/>
      <c r="CQD102" s="18"/>
      <c r="CQE102" s="38"/>
      <c r="CQK102" s="18"/>
      <c r="CQL102" s="18"/>
      <c r="CQM102" s="38"/>
      <c r="CQS102" s="18"/>
      <c r="CQT102" s="18"/>
      <c r="CQU102" s="38"/>
      <c r="CRA102" s="18"/>
      <c r="CRB102" s="18"/>
      <c r="CRC102" s="38"/>
      <c r="CRI102" s="18"/>
      <c r="CRJ102" s="18"/>
      <c r="CRK102" s="38"/>
      <c r="CRQ102" s="18"/>
      <c r="CRR102" s="18"/>
      <c r="CRS102" s="38"/>
      <c r="CRY102" s="18"/>
      <c r="CRZ102" s="18"/>
      <c r="CSA102" s="38"/>
      <c r="CSG102" s="18"/>
      <c r="CSH102" s="18"/>
      <c r="CSI102" s="38"/>
      <c r="CSO102" s="18"/>
      <c r="CSP102" s="18"/>
      <c r="CSQ102" s="38"/>
      <c r="CSW102" s="18"/>
      <c r="CSX102" s="18"/>
      <c r="CSY102" s="38"/>
      <c r="CTE102" s="18"/>
      <c r="CTF102" s="18"/>
      <c r="CTG102" s="38"/>
      <c r="CTM102" s="18"/>
      <c r="CTN102" s="18"/>
      <c r="CTO102" s="38"/>
      <c r="CTU102" s="18"/>
      <c r="CTV102" s="18"/>
      <c r="CTW102" s="38"/>
      <c r="CUC102" s="18"/>
      <c r="CUD102" s="18"/>
      <c r="CUE102" s="38"/>
      <c r="CUK102" s="18"/>
      <c r="CUL102" s="18"/>
      <c r="CUM102" s="38"/>
      <c r="CUS102" s="18"/>
      <c r="CUT102" s="18"/>
      <c r="CUU102" s="38"/>
      <c r="CVA102" s="18"/>
      <c r="CVB102" s="18"/>
      <c r="CVC102" s="38"/>
      <c r="CVI102" s="18"/>
      <c r="CVJ102" s="18"/>
      <c r="CVK102" s="38"/>
      <c r="CVQ102" s="18"/>
      <c r="CVR102" s="18"/>
      <c r="CVS102" s="38"/>
      <c r="CVY102" s="18"/>
      <c r="CVZ102" s="18"/>
      <c r="CWA102" s="38"/>
      <c r="CWG102" s="18"/>
      <c r="CWH102" s="18"/>
      <c r="CWI102" s="38"/>
      <c r="CWO102" s="18"/>
      <c r="CWP102" s="18"/>
      <c r="CWQ102" s="38"/>
      <c r="CWW102" s="18"/>
      <c r="CWX102" s="18"/>
      <c r="CWY102" s="38"/>
      <c r="CXE102" s="18"/>
      <c r="CXF102" s="18"/>
      <c r="CXG102" s="38"/>
      <c r="CXM102" s="18"/>
      <c r="CXN102" s="18"/>
      <c r="CXO102" s="38"/>
      <c r="CXU102" s="18"/>
      <c r="CXV102" s="18"/>
      <c r="CXW102" s="38"/>
      <c r="CYC102" s="18"/>
      <c r="CYD102" s="18"/>
      <c r="CYE102" s="38"/>
      <c r="CYK102" s="18"/>
      <c r="CYL102" s="18"/>
      <c r="CYM102" s="38"/>
      <c r="CYS102" s="18"/>
      <c r="CYT102" s="18"/>
      <c r="CYU102" s="38"/>
      <c r="CZA102" s="18"/>
      <c r="CZB102" s="18"/>
      <c r="CZC102" s="38"/>
      <c r="CZI102" s="18"/>
      <c r="CZJ102" s="18"/>
      <c r="CZK102" s="38"/>
      <c r="CZQ102" s="18"/>
      <c r="CZR102" s="18"/>
      <c r="CZS102" s="38"/>
      <c r="CZY102" s="18"/>
      <c r="CZZ102" s="18"/>
      <c r="DAA102" s="38"/>
      <c r="DAG102" s="18"/>
      <c r="DAH102" s="18"/>
      <c r="DAI102" s="38"/>
      <c r="DAO102" s="18"/>
      <c r="DAP102" s="18"/>
      <c r="DAQ102" s="38"/>
      <c r="DAW102" s="18"/>
      <c r="DAX102" s="18"/>
      <c r="DAY102" s="38"/>
      <c r="DBE102" s="18"/>
      <c r="DBF102" s="18"/>
      <c r="DBG102" s="38"/>
      <c r="DBM102" s="18"/>
      <c r="DBN102" s="18"/>
      <c r="DBO102" s="38"/>
      <c r="DBU102" s="18"/>
      <c r="DBV102" s="18"/>
      <c r="DBW102" s="38"/>
      <c r="DCC102" s="18"/>
      <c r="DCD102" s="18"/>
      <c r="DCE102" s="38"/>
      <c r="DCK102" s="18"/>
      <c r="DCL102" s="18"/>
      <c r="DCM102" s="38"/>
      <c r="DCS102" s="18"/>
      <c r="DCT102" s="18"/>
      <c r="DCU102" s="38"/>
      <c r="DDA102" s="18"/>
      <c r="DDB102" s="18"/>
      <c r="DDC102" s="38"/>
      <c r="DDI102" s="18"/>
      <c r="DDJ102" s="18"/>
      <c r="DDK102" s="38"/>
      <c r="DDQ102" s="18"/>
      <c r="DDR102" s="18"/>
      <c r="DDS102" s="38"/>
      <c r="DDY102" s="18"/>
      <c r="DDZ102" s="18"/>
      <c r="DEA102" s="38"/>
      <c r="DEG102" s="18"/>
      <c r="DEH102" s="18"/>
      <c r="DEI102" s="38"/>
      <c r="DEO102" s="18"/>
      <c r="DEP102" s="18"/>
      <c r="DEQ102" s="38"/>
      <c r="DEW102" s="18"/>
      <c r="DEX102" s="18"/>
      <c r="DEY102" s="38"/>
      <c r="DFE102" s="18"/>
      <c r="DFF102" s="18"/>
      <c r="DFG102" s="38"/>
      <c r="DFM102" s="18"/>
      <c r="DFN102" s="18"/>
      <c r="DFO102" s="38"/>
      <c r="DFU102" s="18"/>
      <c r="DFV102" s="18"/>
      <c r="DFW102" s="38"/>
      <c r="DGC102" s="18"/>
      <c r="DGD102" s="18"/>
      <c r="DGE102" s="38"/>
      <c r="DGK102" s="18"/>
      <c r="DGL102" s="18"/>
      <c r="DGM102" s="38"/>
      <c r="DGS102" s="18"/>
      <c r="DGT102" s="18"/>
      <c r="DGU102" s="38"/>
      <c r="DHA102" s="18"/>
      <c r="DHB102" s="18"/>
      <c r="DHC102" s="38"/>
      <c r="DHI102" s="18"/>
      <c r="DHJ102" s="18"/>
      <c r="DHK102" s="38"/>
      <c r="DHQ102" s="18"/>
      <c r="DHR102" s="18"/>
      <c r="DHS102" s="38"/>
      <c r="DHY102" s="18"/>
      <c r="DHZ102" s="18"/>
      <c r="DIA102" s="38"/>
      <c r="DIG102" s="18"/>
      <c r="DIH102" s="18"/>
      <c r="DII102" s="38"/>
      <c r="DIO102" s="18"/>
      <c r="DIP102" s="18"/>
      <c r="DIQ102" s="38"/>
      <c r="DIW102" s="18"/>
      <c r="DIX102" s="18"/>
      <c r="DIY102" s="38"/>
      <c r="DJE102" s="18"/>
      <c r="DJF102" s="18"/>
      <c r="DJG102" s="38"/>
      <c r="DJM102" s="18"/>
      <c r="DJN102" s="18"/>
      <c r="DJO102" s="38"/>
      <c r="DJU102" s="18"/>
      <c r="DJV102" s="18"/>
      <c r="DJW102" s="38"/>
      <c r="DKC102" s="18"/>
      <c r="DKD102" s="18"/>
      <c r="DKE102" s="38"/>
      <c r="DKK102" s="18"/>
      <c r="DKL102" s="18"/>
      <c r="DKM102" s="38"/>
      <c r="DKS102" s="18"/>
      <c r="DKT102" s="18"/>
      <c r="DKU102" s="38"/>
      <c r="DLA102" s="18"/>
      <c r="DLB102" s="18"/>
      <c r="DLC102" s="38"/>
      <c r="DLI102" s="18"/>
      <c r="DLJ102" s="18"/>
      <c r="DLK102" s="38"/>
      <c r="DLQ102" s="18"/>
      <c r="DLR102" s="18"/>
      <c r="DLS102" s="38"/>
      <c r="DLY102" s="18"/>
      <c r="DLZ102" s="18"/>
      <c r="DMA102" s="38"/>
      <c r="DMG102" s="18"/>
      <c r="DMH102" s="18"/>
      <c r="DMI102" s="38"/>
      <c r="DMO102" s="18"/>
      <c r="DMP102" s="18"/>
      <c r="DMQ102" s="38"/>
      <c r="DMW102" s="18"/>
      <c r="DMX102" s="18"/>
      <c r="DMY102" s="38"/>
      <c r="DNE102" s="18"/>
      <c r="DNF102" s="18"/>
      <c r="DNG102" s="38"/>
      <c r="DNM102" s="18"/>
      <c r="DNN102" s="18"/>
      <c r="DNO102" s="38"/>
      <c r="DNU102" s="18"/>
      <c r="DNV102" s="18"/>
      <c r="DNW102" s="38"/>
      <c r="DOC102" s="18"/>
      <c r="DOD102" s="18"/>
      <c r="DOE102" s="38"/>
      <c r="DOK102" s="18"/>
      <c r="DOL102" s="18"/>
      <c r="DOM102" s="38"/>
      <c r="DOS102" s="18"/>
      <c r="DOT102" s="18"/>
      <c r="DOU102" s="38"/>
      <c r="DPA102" s="18"/>
      <c r="DPB102" s="18"/>
      <c r="DPC102" s="38"/>
      <c r="DPI102" s="18"/>
      <c r="DPJ102" s="18"/>
      <c r="DPK102" s="38"/>
      <c r="DPQ102" s="18"/>
      <c r="DPR102" s="18"/>
      <c r="DPS102" s="38"/>
      <c r="DPY102" s="18"/>
      <c r="DPZ102" s="18"/>
      <c r="DQA102" s="38"/>
      <c r="DQG102" s="18"/>
      <c r="DQH102" s="18"/>
      <c r="DQI102" s="38"/>
      <c r="DQO102" s="18"/>
      <c r="DQP102" s="18"/>
      <c r="DQQ102" s="38"/>
      <c r="DQW102" s="18"/>
      <c r="DQX102" s="18"/>
      <c r="DQY102" s="38"/>
      <c r="DRE102" s="18"/>
      <c r="DRF102" s="18"/>
      <c r="DRG102" s="38"/>
      <c r="DRM102" s="18"/>
      <c r="DRN102" s="18"/>
      <c r="DRO102" s="38"/>
      <c r="DRU102" s="18"/>
      <c r="DRV102" s="18"/>
      <c r="DRW102" s="38"/>
      <c r="DSC102" s="18"/>
      <c r="DSD102" s="18"/>
      <c r="DSE102" s="38"/>
      <c r="DSK102" s="18"/>
      <c r="DSL102" s="18"/>
      <c r="DSM102" s="38"/>
      <c r="DSS102" s="18"/>
      <c r="DST102" s="18"/>
      <c r="DSU102" s="38"/>
      <c r="DTA102" s="18"/>
      <c r="DTB102" s="18"/>
      <c r="DTC102" s="38"/>
      <c r="DTI102" s="18"/>
      <c r="DTJ102" s="18"/>
      <c r="DTK102" s="38"/>
      <c r="DTQ102" s="18"/>
      <c r="DTR102" s="18"/>
      <c r="DTS102" s="38"/>
      <c r="DTY102" s="18"/>
      <c r="DTZ102" s="18"/>
      <c r="DUA102" s="38"/>
      <c r="DUG102" s="18"/>
      <c r="DUH102" s="18"/>
      <c r="DUI102" s="38"/>
      <c r="DUO102" s="18"/>
      <c r="DUP102" s="18"/>
      <c r="DUQ102" s="38"/>
      <c r="DUW102" s="18"/>
      <c r="DUX102" s="18"/>
      <c r="DUY102" s="38"/>
      <c r="DVE102" s="18"/>
      <c r="DVF102" s="18"/>
      <c r="DVG102" s="38"/>
      <c r="DVM102" s="18"/>
      <c r="DVN102" s="18"/>
      <c r="DVO102" s="38"/>
      <c r="DVU102" s="18"/>
      <c r="DVV102" s="18"/>
      <c r="DVW102" s="38"/>
      <c r="DWC102" s="18"/>
      <c r="DWD102" s="18"/>
      <c r="DWE102" s="38"/>
      <c r="DWK102" s="18"/>
      <c r="DWL102" s="18"/>
      <c r="DWM102" s="38"/>
      <c r="DWS102" s="18"/>
      <c r="DWT102" s="18"/>
      <c r="DWU102" s="38"/>
      <c r="DXA102" s="18"/>
      <c r="DXB102" s="18"/>
      <c r="DXC102" s="38"/>
      <c r="DXI102" s="18"/>
      <c r="DXJ102" s="18"/>
      <c r="DXK102" s="38"/>
      <c r="DXQ102" s="18"/>
      <c r="DXR102" s="18"/>
      <c r="DXS102" s="38"/>
      <c r="DXY102" s="18"/>
      <c r="DXZ102" s="18"/>
      <c r="DYA102" s="38"/>
      <c r="DYG102" s="18"/>
      <c r="DYH102" s="18"/>
      <c r="DYI102" s="38"/>
      <c r="DYO102" s="18"/>
      <c r="DYP102" s="18"/>
      <c r="DYQ102" s="38"/>
      <c r="DYW102" s="18"/>
      <c r="DYX102" s="18"/>
      <c r="DYY102" s="38"/>
      <c r="DZE102" s="18"/>
      <c r="DZF102" s="18"/>
      <c r="DZG102" s="38"/>
      <c r="DZM102" s="18"/>
      <c r="DZN102" s="18"/>
      <c r="DZO102" s="38"/>
      <c r="DZU102" s="18"/>
      <c r="DZV102" s="18"/>
      <c r="DZW102" s="38"/>
      <c r="EAC102" s="18"/>
      <c r="EAD102" s="18"/>
      <c r="EAE102" s="38"/>
      <c r="EAK102" s="18"/>
      <c r="EAL102" s="18"/>
      <c r="EAM102" s="38"/>
      <c r="EAS102" s="18"/>
      <c r="EAT102" s="18"/>
      <c r="EAU102" s="38"/>
      <c r="EBA102" s="18"/>
      <c r="EBB102" s="18"/>
      <c r="EBC102" s="38"/>
      <c r="EBI102" s="18"/>
      <c r="EBJ102" s="18"/>
      <c r="EBK102" s="38"/>
      <c r="EBQ102" s="18"/>
      <c r="EBR102" s="18"/>
      <c r="EBS102" s="38"/>
      <c r="EBY102" s="18"/>
      <c r="EBZ102" s="18"/>
      <c r="ECA102" s="38"/>
      <c r="ECG102" s="18"/>
      <c r="ECH102" s="18"/>
      <c r="ECI102" s="38"/>
      <c r="ECO102" s="18"/>
      <c r="ECP102" s="18"/>
      <c r="ECQ102" s="38"/>
      <c r="ECW102" s="18"/>
      <c r="ECX102" s="18"/>
      <c r="ECY102" s="38"/>
      <c r="EDE102" s="18"/>
      <c r="EDF102" s="18"/>
      <c r="EDG102" s="38"/>
      <c r="EDM102" s="18"/>
      <c r="EDN102" s="18"/>
      <c r="EDO102" s="38"/>
      <c r="EDU102" s="18"/>
      <c r="EDV102" s="18"/>
      <c r="EDW102" s="38"/>
      <c r="EEC102" s="18"/>
      <c r="EED102" s="18"/>
      <c r="EEE102" s="38"/>
      <c r="EEK102" s="18"/>
      <c r="EEL102" s="18"/>
      <c r="EEM102" s="38"/>
      <c r="EES102" s="18"/>
      <c r="EET102" s="18"/>
      <c r="EEU102" s="38"/>
      <c r="EFA102" s="18"/>
      <c r="EFB102" s="18"/>
      <c r="EFC102" s="38"/>
      <c r="EFI102" s="18"/>
      <c r="EFJ102" s="18"/>
      <c r="EFK102" s="38"/>
      <c r="EFQ102" s="18"/>
      <c r="EFR102" s="18"/>
      <c r="EFS102" s="38"/>
      <c r="EFY102" s="18"/>
      <c r="EFZ102" s="18"/>
      <c r="EGA102" s="38"/>
      <c r="EGG102" s="18"/>
      <c r="EGH102" s="18"/>
      <c r="EGI102" s="38"/>
      <c r="EGO102" s="18"/>
      <c r="EGP102" s="18"/>
      <c r="EGQ102" s="38"/>
      <c r="EGW102" s="18"/>
      <c r="EGX102" s="18"/>
      <c r="EGY102" s="38"/>
      <c r="EHE102" s="18"/>
      <c r="EHF102" s="18"/>
      <c r="EHG102" s="38"/>
      <c r="EHM102" s="18"/>
      <c r="EHN102" s="18"/>
      <c r="EHO102" s="38"/>
      <c r="EHU102" s="18"/>
      <c r="EHV102" s="18"/>
      <c r="EHW102" s="38"/>
      <c r="EIC102" s="18"/>
      <c r="EID102" s="18"/>
      <c r="EIE102" s="38"/>
      <c r="EIK102" s="18"/>
      <c r="EIL102" s="18"/>
      <c r="EIM102" s="38"/>
      <c r="EIS102" s="18"/>
      <c r="EIT102" s="18"/>
      <c r="EIU102" s="38"/>
      <c r="EJA102" s="18"/>
      <c r="EJB102" s="18"/>
      <c r="EJC102" s="38"/>
      <c r="EJI102" s="18"/>
      <c r="EJJ102" s="18"/>
      <c r="EJK102" s="38"/>
      <c r="EJQ102" s="18"/>
      <c r="EJR102" s="18"/>
      <c r="EJS102" s="38"/>
      <c r="EJY102" s="18"/>
      <c r="EJZ102" s="18"/>
      <c r="EKA102" s="38"/>
      <c r="EKG102" s="18"/>
      <c r="EKH102" s="18"/>
      <c r="EKI102" s="38"/>
      <c r="EKO102" s="18"/>
      <c r="EKP102" s="18"/>
      <c r="EKQ102" s="38"/>
      <c r="EKW102" s="18"/>
      <c r="EKX102" s="18"/>
      <c r="EKY102" s="38"/>
      <c r="ELE102" s="18"/>
      <c r="ELF102" s="18"/>
      <c r="ELG102" s="38"/>
      <c r="ELM102" s="18"/>
      <c r="ELN102" s="18"/>
      <c r="ELO102" s="38"/>
      <c r="ELU102" s="18"/>
      <c r="ELV102" s="18"/>
      <c r="ELW102" s="38"/>
      <c r="EMC102" s="18"/>
      <c r="EMD102" s="18"/>
      <c r="EME102" s="38"/>
      <c r="EMK102" s="18"/>
      <c r="EML102" s="18"/>
      <c r="EMM102" s="38"/>
      <c r="EMS102" s="18"/>
      <c r="EMT102" s="18"/>
      <c r="EMU102" s="38"/>
      <c r="ENA102" s="18"/>
      <c r="ENB102" s="18"/>
      <c r="ENC102" s="38"/>
      <c r="ENI102" s="18"/>
      <c r="ENJ102" s="18"/>
      <c r="ENK102" s="38"/>
      <c r="ENQ102" s="18"/>
      <c r="ENR102" s="18"/>
      <c r="ENS102" s="38"/>
      <c r="ENY102" s="18"/>
      <c r="ENZ102" s="18"/>
      <c r="EOA102" s="38"/>
      <c r="EOG102" s="18"/>
      <c r="EOH102" s="18"/>
      <c r="EOI102" s="38"/>
      <c r="EOO102" s="18"/>
      <c r="EOP102" s="18"/>
      <c r="EOQ102" s="38"/>
      <c r="EOW102" s="18"/>
      <c r="EOX102" s="18"/>
      <c r="EOY102" s="38"/>
      <c r="EPE102" s="18"/>
      <c r="EPF102" s="18"/>
      <c r="EPG102" s="38"/>
      <c r="EPM102" s="18"/>
      <c r="EPN102" s="18"/>
      <c r="EPO102" s="38"/>
      <c r="EPU102" s="18"/>
      <c r="EPV102" s="18"/>
      <c r="EPW102" s="38"/>
      <c r="EQC102" s="18"/>
      <c r="EQD102" s="18"/>
      <c r="EQE102" s="38"/>
      <c r="EQK102" s="18"/>
      <c r="EQL102" s="18"/>
      <c r="EQM102" s="38"/>
      <c r="EQS102" s="18"/>
      <c r="EQT102" s="18"/>
      <c r="EQU102" s="38"/>
      <c r="ERA102" s="18"/>
      <c r="ERB102" s="18"/>
      <c r="ERC102" s="38"/>
      <c r="ERI102" s="18"/>
      <c r="ERJ102" s="18"/>
      <c r="ERK102" s="38"/>
      <c r="ERQ102" s="18"/>
      <c r="ERR102" s="18"/>
      <c r="ERS102" s="38"/>
      <c r="ERY102" s="18"/>
      <c r="ERZ102" s="18"/>
      <c r="ESA102" s="38"/>
      <c r="ESG102" s="18"/>
      <c r="ESH102" s="18"/>
      <c r="ESI102" s="38"/>
      <c r="ESO102" s="18"/>
      <c r="ESP102" s="18"/>
      <c r="ESQ102" s="38"/>
      <c r="ESW102" s="18"/>
      <c r="ESX102" s="18"/>
      <c r="ESY102" s="38"/>
      <c r="ETE102" s="18"/>
      <c r="ETF102" s="18"/>
      <c r="ETG102" s="38"/>
      <c r="ETM102" s="18"/>
      <c r="ETN102" s="18"/>
      <c r="ETO102" s="38"/>
      <c r="ETU102" s="18"/>
      <c r="ETV102" s="18"/>
      <c r="ETW102" s="38"/>
      <c r="EUC102" s="18"/>
      <c r="EUD102" s="18"/>
      <c r="EUE102" s="38"/>
      <c r="EUK102" s="18"/>
      <c r="EUL102" s="18"/>
      <c r="EUM102" s="38"/>
      <c r="EUS102" s="18"/>
      <c r="EUT102" s="18"/>
      <c r="EUU102" s="38"/>
      <c r="EVA102" s="18"/>
      <c r="EVB102" s="18"/>
      <c r="EVC102" s="38"/>
      <c r="EVI102" s="18"/>
      <c r="EVJ102" s="18"/>
      <c r="EVK102" s="38"/>
      <c r="EVQ102" s="18"/>
      <c r="EVR102" s="18"/>
      <c r="EVS102" s="38"/>
      <c r="EVY102" s="18"/>
      <c r="EVZ102" s="18"/>
      <c r="EWA102" s="38"/>
      <c r="EWG102" s="18"/>
      <c r="EWH102" s="18"/>
      <c r="EWI102" s="38"/>
      <c r="EWO102" s="18"/>
      <c r="EWP102" s="18"/>
      <c r="EWQ102" s="38"/>
      <c r="EWW102" s="18"/>
      <c r="EWX102" s="18"/>
      <c r="EWY102" s="38"/>
      <c r="EXE102" s="18"/>
      <c r="EXF102" s="18"/>
      <c r="EXG102" s="38"/>
      <c r="EXM102" s="18"/>
      <c r="EXN102" s="18"/>
      <c r="EXO102" s="38"/>
      <c r="EXU102" s="18"/>
      <c r="EXV102" s="18"/>
      <c r="EXW102" s="38"/>
      <c r="EYC102" s="18"/>
      <c r="EYD102" s="18"/>
      <c r="EYE102" s="38"/>
      <c r="EYK102" s="18"/>
      <c r="EYL102" s="18"/>
      <c r="EYM102" s="38"/>
      <c r="EYS102" s="18"/>
      <c r="EYT102" s="18"/>
      <c r="EYU102" s="38"/>
      <c r="EZA102" s="18"/>
      <c r="EZB102" s="18"/>
      <c r="EZC102" s="38"/>
      <c r="EZI102" s="18"/>
      <c r="EZJ102" s="18"/>
      <c r="EZK102" s="38"/>
      <c r="EZQ102" s="18"/>
      <c r="EZR102" s="18"/>
      <c r="EZS102" s="38"/>
      <c r="EZY102" s="18"/>
      <c r="EZZ102" s="18"/>
      <c r="FAA102" s="38"/>
      <c r="FAG102" s="18"/>
      <c r="FAH102" s="18"/>
      <c r="FAI102" s="38"/>
      <c r="FAO102" s="18"/>
      <c r="FAP102" s="18"/>
      <c r="FAQ102" s="38"/>
      <c r="FAW102" s="18"/>
      <c r="FAX102" s="18"/>
      <c r="FAY102" s="38"/>
      <c r="FBE102" s="18"/>
      <c r="FBF102" s="18"/>
      <c r="FBG102" s="38"/>
      <c r="FBM102" s="18"/>
      <c r="FBN102" s="18"/>
      <c r="FBO102" s="38"/>
      <c r="FBU102" s="18"/>
      <c r="FBV102" s="18"/>
      <c r="FBW102" s="38"/>
      <c r="FCC102" s="18"/>
      <c r="FCD102" s="18"/>
      <c r="FCE102" s="38"/>
      <c r="FCK102" s="18"/>
      <c r="FCL102" s="18"/>
      <c r="FCM102" s="38"/>
      <c r="FCS102" s="18"/>
      <c r="FCT102" s="18"/>
      <c r="FCU102" s="38"/>
      <c r="FDA102" s="18"/>
      <c r="FDB102" s="18"/>
      <c r="FDC102" s="38"/>
      <c r="FDI102" s="18"/>
      <c r="FDJ102" s="18"/>
      <c r="FDK102" s="38"/>
      <c r="FDQ102" s="18"/>
      <c r="FDR102" s="18"/>
      <c r="FDS102" s="38"/>
      <c r="FDY102" s="18"/>
      <c r="FDZ102" s="18"/>
      <c r="FEA102" s="38"/>
      <c r="FEG102" s="18"/>
      <c r="FEH102" s="18"/>
      <c r="FEI102" s="38"/>
      <c r="FEO102" s="18"/>
      <c r="FEP102" s="18"/>
      <c r="FEQ102" s="38"/>
      <c r="FEW102" s="18"/>
      <c r="FEX102" s="18"/>
      <c r="FEY102" s="38"/>
      <c r="FFE102" s="18"/>
      <c r="FFF102" s="18"/>
      <c r="FFG102" s="38"/>
      <c r="FFM102" s="18"/>
      <c r="FFN102" s="18"/>
      <c r="FFO102" s="38"/>
      <c r="FFU102" s="18"/>
      <c r="FFV102" s="18"/>
      <c r="FFW102" s="38"/>
      <c r="FGC102" s="18"/>
      <c r="FGD102" s="18"/>
      <c r="FGE102" s="38"/>
      <c r="FGK102" s="18"/>
      <c r="FGL102" s="18"/>
      <c r="FGM102" s="38"/>
      <c r="FGS102" s="18"/>
      <c r="FGT102" s="18"/>
      <c r="FGU102" s="38"/>
      <c r="FHA102" s="18"/>
      <c r="FHB102" s="18"/>
      <c r="FHC102" s="38"/>
      <c r="FHI102" s="18"/>
      <c r="FHJ102" s="18"/>
      <c r="FHK102" s="38"/>
      <c r="FHQ102" s="18"/>
      <c r="FHR102" s="18"/>
      <c r="FHS102" s="38"/>
      <c r="FHY102" s="18"/>
      <c r="FHZ102" s="18"/>
      <c r="FIA102" s="38"/>
      <c r="FIG102" s="18"/>
      <c r="FIH102" s="18"/>
      <c r="FII102" s="38"/>
      <c r="FIO102" s="18"/>
      <c r="FIP102" s="18"/>
      <c r="FIQ102" s="38"/>
      <c r="FIW102" s="18"/>
      <c r="FIX102" s="18"/>
      <c r="FIY102" s="38"/>
      <c r="FJE102" s="18"/>
      <c r="FJF102" s="18"/>
      <c r="FJG102" s="38"/>
      <c r="FJM102" s="18"/>
      <c r="FJN102" s="18"/>
      <c r="FJO102" s="38"/>
      <c r="FJU102" s="18"/>
      <c r="FJV102" s="18"/>
      <c r="FJW102" s="38"/>
      <c r="FKC102" s="18"/>
      <c r="FKD102" s="18"/>
      <c r="FKE102" s="38"/>
      <c r="FKK102" s="18"/>
      <c r="FKL102" s="18"/>
      <c r="FKM102" s="38"/>
      <c r="FKS102" s="18"/>
      <c r="FKT102" s="18"/>
      <c r="FKU102" s="38"/>
      <c r="FLA102" s="18"/>
      <c r="FLB102" s="18"/>
      <c r="FLC102" s="38"/>
      <c r="FLI102" s="18"/>
      <c r="FLJ102" s="18"/>
      <c r="FLK102" s="38"/>
      <c r="FLQ102" s="18"/>
      <c r="FLR102" s="18"/>
      <c r="FLS102" s="38"/>
      <c r="FLY102" s="18"/>
      <c r="FLZ102" s="18"/>
      <c r="FMA102" s="38"/>
      <c r="FMG102" s="18"/>
      <c r="FMH102" s="18"/>
      <c r="FMI102" s="38"/>
      <c r="FMO102" s="18"/>
      <c r="FMP102" s="18"/>
      <c r="FMQ102" s="38"/>
      <c r="FMW102" s="18"/>
      <c r="FMX102" s="18"/>
      <c r="FMY102" s="38"/>
      <c r="FNE102" s="18"/>
      <c r="FNF102" s="18"/>
      <c r="FNG102" s="38"/>
      <c r="FNM102" s="18"/>
      <c r="FNN102" s="18"/>
      <c r="FNO102" s="38"/>
      <c r="FNU102" s="18"/>
      <c r="FNV102" s="18"/>
      <c r="FNW102" s="38"/>
      <c r="FOC102" s="18"/>
      <c r="FOD102" s="18"/>
      <c r="FOE102" s="38"/>
      <c r="FOK102" s="18"/>
      <c r="FOL102" s="18"/>
      <c r="FOM102" s="38"/>
      <c r="FOS102" s="18"/>
      <c r="FOT102" s="18"/>
      <c r="FOU102" s="38"/>
      <c r="FPA102" s="18"/>
      <c r="FPB102" s="18"/>
      <c r="FPC102" s="38"/>
      <c r="FPI102" s="18"/>
      <c r="FPJ102" s="18"/>
      <c r="FPK102" s="38"/>
      <c r="FPQ102" s="18"/>
      <c r="FPR102" s="18"/>
      <c r="FPS102" s="38"/>
      <c r="FPY102" s="18"/>
      <c r="FPZ102" s="18"/>
      <c r="FQA102" s="38"/>
      <c r="FQG102" s="18"/>
      <c r="FQH102" s="18"/>
      <c r="FQI102" s="38"/>
      <c r="FQO102" s="18"/>
      <c r="FQP102" s="18"/>
      <c r="FQQ102" s="38"/>
      <c r="FQW102" s="18"/>
      <c r="FQX102" s="18"/>
      <c r="FQY102" s="38"/>
      <c r="FRE102" s="18"/>
      <c r="FRF102" s="18"/>
      <c r="FRG102" s="38"/>
      <c r="FRM102" s="18"/>
      <c r="FRN102" s="18"/>
      <c r="FRO102" s="38"/>
      <c r="FRU102" s="18"/>
      <c r="FRV102" s="18"/>
      <c r="FRW102" s="38"/>
      <c r="FSC102" s="18"/>
      <c r="FSD102" s="18"/>
      <c r="FSE102" s="38"/>
      <c r="FSK102" s="18"/>
      <c r="FSL102" s="18"/>
      <c r="FSM102" s="38"/>
      <c r="FSS102" s="18"/>
      <c r="FST102" s="18"/>
      <c r="FSU102" s="38"/>
      <c r="FTA102" s="18"/>
      <c r="FTB102" s="18"/>
      <c r="FTC102" s="38"/>
      <c r="FTI102" s="18"/>
      <c r="FTJ102" s="18"/>
      <c r="FTK102" s="38"/>
      <c r="FTQ102" s="18"/>
      <c r="FTR102" s="18"/>
      <c r="FTS102" s="38"/>
      <c r="FTY102" s="18"/>
      <c r="FTZ102" s="18"/>
      <c r="FUA102" s="38"/>
      <c r="FUG102" s="18"/>
      <c r="FUH102" s="18"/>
      <c r="FUI102" s="38"/>
      <c r="FUO102" s="18"/>
      <c r="FUP102" s="18"/>
      <c r="FUQ102" s="38"/>
      <c r="FUW102" s="18"/>
      <c r="FUX102" s="18"/>
      <c r="FUY102" s="38"/>
      <c r="FVE102" s="18"/>
      <c r="FVF102" s="18"/>
      <c r="FVG102" s="38"/>
      <c r="FVM102" s="18"/>
      <c r="FVN102" s="18"/>
      <c r="FVO102" s="38"/>
      <c r="FVU102" s="18"/>
      <c r="FVV102" s="18"/>
      <c r="FVW102" s="38"/>
      <c r="FWC102" s="18"/>
      <c r="FWD102" s="18"/>
      <c r="FWE102" s="38"/>
      <c r="FWK102" s="18"/>
      <c r="FWL102" s="18"/>
      <c r="FWM102" s="38"/>
      <c r="FWS102" s="18"/>
      <c r="FWT102" s="18"/>
      <c r="FWU102" s="38"/>
      <c r="FXA102" s="18"/>
      <c r="FXB102" s="18"/>
      <c r="FXC102" s="38"/>
      <c r="FXI102" s="18"/>
      <c r="FXJ102" s="18"/>
      <c r="FXK102" s="38"/>
      <c r="FXQ102" s="18"/>
      <c r="FXR102" s="18"/>
      <c r="FXS102" s="38"/>
      <c r="FXY102" s="18"/>
      <c r="FXZ102" s="18"/>
      <c r="FYA102" s="38"/>
      <c r="FYG102" s="18"/>
      <c r="FYH102" s="18"/>
      <c r="FYI102" s="38"/>
      <c r="FYO102" s="18"/>
      <c r="FYP102" s="18"/>
      <c r="FYQ102" s="38"/>
      <c r="FYW102" s="18"/>
      <c r="FYX102" s="18"/>
      <c r="FYY102" s="38"/>
      <c r="FZE102" s="18"/>
      <c r="FZF102" s="18"/>
      <c r="FZG102" s="38"/>
      <c r="FZM102" s="18"/>
      <c r="FZN102" s="18"/>
      <c r="FZO102" s="38"/>
      <c r="FZU102" s="18"/>
      <c r="FZV102" s="18"/>
      <c r="FZW102" s="38"/>
      <c r="GAC102" s="18"/>
      <c r="GAD102" s="18"/>
      <c r="GAE102" s="38"/>
      <c r="GAK102" s="18"/>
      <c r="GAL102" s="18"/>
      <c r="GAM102" s="38"/>
      <c r="GAS102" s="18"/>
      <c r="GAT102" s="18"/>
      <c r="GAU102" s="38"/>
      <c r="GBA102" s="18"/>
      <c r="GBB102" s="18"/>
      <c r="GBC102" s="38"/>
      <c r="GBI102" s="18"/>
      <c r="GBJ102" s="18"/>
      <c r="GBK102" s="38"/>
      <c r="GBQ102" s="18"/>
      <c r="GBR102" s="18"/>
      <c r="GBS102" s="38"/>
      <c r="GBY102" s="18"/>
      <c r="GBZ102" s="18"/>
      <c r="GCA102" s="38"/>
      <c r="GCG102" s="18"/>
      <c r="GCH102" s="18"/>
      <c r="GCI102" s="38"/>
      <c r="GCO102" s="18"/>
      <c r="GCP102" s="18"/>
      <c r="GCQ102" s="38"/>
      <c r="GCW102" s="18"/>
      <c r="GCX102" s="18"/>
      <c r="GCY102" s="38"/>
      <c r="GDE102" s="18"/>
      <c r="GDF102" s="18"/>
      <c r="GDG102" s="38"/>
      <c r="GDM102" s="18"/>
      <c r="GDN102" s="18"/>
      <c r="GDO102" s="38"/>
      <c r="GDU102" s="18"/>
      <c r="GDV102" s="18"/>
      <c r="GDW102" s="38"/>
      <c r="GEC102" s="18"/>
      <c r="GED102" s="18"/>
      <c r="GEE102" s="38"/>
      <c r="GEK102" s="18"/>
      <c r="GEL102" s="18"/>
      <c r="GEM102" s="38"/>
      <c r="GES102" s="18"/>
      <c r="GET102" s="18"/>
      <c r="GEU102" s="38"/>
      <c r="GFA102" s="18"/>
      <c r="GFB102" s="18"/>
      <c r="GFC102" s="38"/>
      <c r="GFI102" s="18"/>
      <c r="GFJ102" s="18"/>
      <c r="GFK102" s="38"/>
      <c r="GFQ102" s="18"/>
      <c r="GFR102" s="18"/>
      <c r="GFS102" s="38"/>
      <c r="GFY102" s="18"/>
      <c r="GFZ102" s="18"/>
      <c r="GGA102" s="38"/>
      <c r="GGG102" s="18"/>
      <c r="GGH102" s="18"/>
      <c r="GGI102" s="38"/>
      <c r="GGO102" s="18"/>
      <c r="GGP102" s="18"/>
      <c r="GGQ102" s="38"/>
      <c r="GGW102" s="18"/>
      <c r="GGX102" s="18"/>
      <c r="GGY102" s="38"/>
      <c r="GHE102" s="18"/>
      <c r="GHF102" s="18"/>
      <c r="GHG102" s="38"/>
      <c r="GHM102" s="18"/>
      <c r="GHN102" s="18"/>
      <c r="GHO102" s="38"/>
      <c r="GHU102" s="18"/>
      <c r="GHV102" s="18"/>
      <c r="GHW102" s="38"/>
      <c r="GIC102" s="18"/>
      <c r="GID102" s="18"/>
      <c r="GIE102" s="38"/>
      <c r="GIK102" s="18"/>
      <c r="GIL102" s="18"/>
      <c r="GIM102" s="38"/>
      <c r="GIS102" s="18"/>
      <c r="GIT102" s="18"/>
      <c r="GIU102" s="38"/>
      <c r="GJA102" s="18"/>
      <c r="GJB102" s="18"/>
      <c r="GJC102" s="38"/>
      <c r="GJI102" s="18"/>
      <c r="GJJ102" s="18"/>
      <c r="GJK102" s="38"/>
      <c r="GJQ102" s="18"/>
      <c r="GJR102" s="18"/>
      <c r="GJS102" s="38"/>
      <c r="GJY102" s="18"/>
      <c r="GJZ102" s="18"/>
      <c r="GKA102" s="38"/>
      <c r="GKG102" s="18"/>
      <c r="GKH102" s="18"/>
      <c r="GKI102" s="38"/>
      <c r="GKO102" s="18"/>
      <c r="GKP102" s="18"/>
      <c r="GKQ102" s="38"/>
      <c r="GKW102" s="18"/>
      <c r="GKX102" s="18"/>
      <c r="GKY102" s="38"/>
      <c r="GLE102" s="18"/>
      <c r="GLF102" s="18"/>
      <c r="GLG102" s="38"/>
      <c r="GLM102" s="18"/>
      <c r="GLN102" s="18"/>
      <c r="GLO102" s="38"/>
      <c r="GLU102" s="18"/>
      <c r="GLV102" s="18"/>
      <c r="GLW102" s="38"/>
      <c r="GMC102" s="18"/>
      <c r="GMD102" s="18"/>
      <c r="GME102" s="38"/>
      <c r="GMK102" s="18"/>
      <c r="GML102" s="18"/>
      <c r="GMM102" s="38"/>
      <c r="GMS102" s="18"/>
      <c r="GMT102" s="18"/>
      <c r="GMU102" s="38"/>
      <c r="GNA102" s="18"/>
      <c r="GNB102" s="18"/>
      <c r="GNC102" s="38"/>
      <c r="GNI102" s="18"/>
      <c r="GNJ102" s="18"/>
      <c r="GNK102" s="38"/>
      <c r="GNQ102" s="18"/>
      <c r="GNR102" s="18"/>
      <c r="GNS102" s="38"/>
      <c r="GNY102" s="18"/>
      <c r="GNZ102" s="18"/>
      <c r="GOA102" s="38"/>
      <c r="GOG102" s="18"/>
      <c r="GOH102" s="18"/>
      <c r="GOI102" s="38"/>
      <c r="GOO102" s="18"/>
      <c r="GOP102" s="18"/>
      <c r="GOQ102" s="38"/>
      <c r="GOW102" s="18"/>
      <c r="GOX102" s="18"/>
      <c r="GOY102" s="38"/>
      <c r="GPE102" s="18"/>
      <c r="GPF102" s="18"/>
      <c r="GPG102" s="38"/>
      <c r="GPM102" s="18"/>
      <c r="GPN102" s="18"/>
      <c r="GPO102" s="38"/>
      <c r="GPU102" s="18"/>
      <c r="GPV102" s="18"/>
      <c r="GPW102" s="38"/>
      <c r="GQC102" s="18"/>
      <c r="GQD102" s="18"/>
      <c r="GQE102" s="38"/>
      <c r="GQK102" s="18"/>
      <c r="GQL102" s="18"/>
      <c r="GQM102" s="38"/>
      <c r="GQS102" s="18"/>
      <c r="GQT102" s="18"/>
      <c r="GQU102" s="38"/>
      <c r="GRA102" s="18"/>
      <c r="GRB102" s="18"/>
      <c r="GRC102" s="38"/>
      <c r="GRI102" s="18"/>
      <c r="GRJ102" s="18"/>
      <c r="GRK102" s="38"/>
      <c r="GRQ102" s="18"/>
      <c r="GRR102" s="18"/>
      <c r="GRS102" s="38"/>
      <c r="GRY102" s="18"/>
      <c r="GRZ102" s="18"/>
      <c r="GSA102" s="38"/>
      <c r="GSG102" s="18"/>
      <c r="GSH102" s="18"/>
      <c r="GSI102" s="38"/>
      <c r="GSO102" s="18"/>
      <c r="GSP102" s="18"/>
      <c r="GSQ102" s="38"/>
      <c r="GSW102" s="18"/>
      <c r="GSX102" s="18"/>
      <c r="GSY102" s="38"/>
      <c r="GTE102" s="18"/>
      <c r="GTF102" s="18"/>
      <c r="GTG102" s="38"/>
      <c r="GTM102" s="18"/>
      <c r="GTN102" s="18"/>
      <c r="GTO102" s="38"/>
      <c r="GTU102" s="18"/>
      <c r="GTV102" s="18"/>
      <c r="GTW102" s="38"/>
      <c r="GUC102" s="18"/>
      <c r="GUD102" s="18"/>
      <c r="GUE102" s="38"/>
      <c r="GUK102" s="18"/>
      <c r="GUL102" s="18"/>
      <c r="GUM102" s="38"/>
      <c r="GUS102" s="18"/>
      <c r="GUT102" s="18"/>
      <c r="GUU102" s="38"/>
      <c r="GVA102" s="18"/>
      <c r="GVB102" s="18"/>
      <c r="GVC102" s="38"/>
      <c r="GVI102" s="18"/>
      <c r="GVJ102" s="18"/>
      <c r="GVK102" s="38"/>
      <c r="GVQ102" s="18"/>
      <c r="GVR102" s="18"/>
      <c r="GVS102" s="38"/>
      <c r="GVY102" s="18"/>
      <c r="GVZ102" s="18"/>
      <c r="GWA102" s="38"/>
      <c r="GWG102" s="18"/>
      <c r="GWH102" s="18"/>
      <c r="GWI102" s="38"/>
      <c r="GWO102" s="18"/>
      <c r="GWP102" s="18"/>
      <c r="GWQ102" s="38"/>
      <c r="GWW102" s="18"/>
      <c r="GWX102" s="18"/>
      <c r="GWY102" s="38"/>
      <c r="GXE102" s="18"/>
      <c r="GXF102" s="18"/>
      <c r="GXG102" s="38"/>
      <c r="GXM102" s="18"/>
      <c r="GXN102" s="18"/>
      <c r="GXO102" s="38"/>
      <c r="GXU102" s="18"/>
      <c r="GXV102" s="18"/>
      <c r="GXW102" s="38"/>
      <c r="GYC102" s="18"/>
      <c r="GYD102" s="18"/>
      <c r="GYE102" s="38"/>
      <c r="GYK102" s="18"/>
      <c r="GYL102" s="18"/>
      <c r="GYM102" s="38"/>
      <c r="GYS102" s="18"/>
      <c r="GYT102" s="18"/>
      <c r="GYU102" s="38"/>
      <c r="GZA102" s="18"/>
      <c r="GZB102" s="18"/>
      <c r="GZC102" s="38"/>
      <c r="GZI102" s="18"/>
      <c r="GZJ102" s="18"/>
      <c r="GZK102" s="38"/>
      <c r="GZQ102" s="18"/>
      <c r="GZR102" s="18"/>
      <c r="GZS102" s="38"/>
      <c r="GZY102" s="18"/>
      <c r="GZZ102" s="18"/>
      <c r="HAA102" s="38"/>
      <c r="HAG102" s="18"/>
      <c r="HAH102" s="18"/>
      <c r="HAI102" s="38"/>
      <c r="HAO102" s="18"/>
      <c r="HAP102" s="18"/>
      <c r="HAQ102" s="38"/>
      <c r="HAW102" s="18"/>
      <c r="HAX102" s="18"/>
      <c r="HAY102" s="38"/>
      <c r="HBE102" s="18"/>
      <c r="HBF102" s="18"/>
      <c r="HBG102" s="38"/>
      <c r="HBM102" s="18"/>
      <c r="HBN102" s="18"/>
      <c r="HBO102" s="38"/>
      <c r="HBU102" s="18"/>
      <c r="HBV102" s="18"/>
      <c r="HBW102" s="38"/>
      <c r="HCC102" s="18"/>
      <c r="HCD102" s="18"/>
      <c r="HCE102" s="38"/>
      <c r="HCK102" s="18"/>
      <c r="HCL102" s="18"/>
      <c r="HCM102" s="38"/>
      <c r="HCS102" s="18"/>
      <c r="HCT102" s="18"/>
      <c r="HCU102" s="38"/>
      <c r="HDA102" s="18"/>
      <c r="HDB102" s="18"/>
      <c r="HDC102" s="38"/>
      <c r="HDI102" s="18"/>
      <c r="HDJ102" s="18"/>
      <c r="HDK102" s="38"/>
      <c r="HDQ102" s="18"/>
      <c r="HDR102" s="18"/>
      <c r="HDS102" s="38"/>
      <c r="HDY102" s="18"/>
      <c r="HDZ102" s="18"/>
      <c r="HEA102" s="38"/>
      <c r="HEG102" s="18"/>
      <c r="HEH102" s="18"/>
      <c r="HEI102" s="38"/>
      <c r="HEO102" s="18"/>
      <c r="HEP102" s="18"/>
      <c r="HEQ102" s="38"/>
      <c r="HEW102" s="18"/>
      <c r="HEX102" s="18"/>
      <c r="HEY102" s="38"/>
      <c r="HFE102" s="18"/>
      <c r="HFF102" s="18"/>
      <c r="HFG102" s="38"/>
      <c r="HFM102" s="18"/>
      <c r="HFN102" s="18"/>
      <c r="HFO102" s="38"/>
      <c r="HFU102" s="18"/>
      <c r="HFV102" s="18"/>
      <c r="HFW102" s="38"/>
      <c r="HGC102" s="18"/>
      <c r="HGD102" s="18"/>
      <c r="HGE102" s="38"/>
      <c r="HGK102" s="18"/>
      <c r="HGL102" s="18"/>
      <c r="HGM102" s="38"/>
      <c r="HGS102" s="18"/>
      <c r="HGT102" s="18"/>
      <c r="HGU102" s="38"/>
      <c r="HHA102" s="18"/>
      <c r="HHB102" s="18"/>
      <c r="HHC102" s="38"/>
      <c r="HHI102" s="18"/>
      <c r="HHJ102" s="18"/>
      <c r="HHK102" s="38"/>
      <c r="HHQ102" s="18"/>
      <c r="HHR102" s="18"/>
      <c r="HHS102" s="38"/>
      <c r="HHY102" s="18"/>
      <c r="HHZ102" s="18"/>
      <c r="HIA102" s="38"/>
      <c r="HIG102" s="18"/>
      <c r="HIH102" s="18"/>
      <c r="HII102" s="38"/>
      <c r="HIO102" s="18"/>
      <c r="HIP102" s="18"/>
      <c r="HIQ102" s="38"/>
      <c r="HIW102" s="18"/>
      <c r="HIX102" s="18"/>
      <c r="HIY102" s="38"/>
      <c r="HJE102" s="18"/>
      <c r="HJF102" s="18"/>
      <c r="HJG102" s="38"/>
      <c r="HJM102" s="18"/>
      <c r="HJN102" s="18"/>
      <c r="HJO102" s="38"/>
      <c r="HJU102" s="18"/>
      <c r="HJV102" s="18"/>
      <c r="HJW102" s="38"/>
      <c r="HKC102" s="18"/>
      <c r="HKD102" s="18"/>
      <c r="HKE102" s="38"/>
      <c r="HKK102" s="18"/>
      <c r="HKL102" s="18"/>
      <c r="HKM102" s="38"/>
      <c r="HKS102" s="18"/>
      <c r="HKT102" s="18"/>
      <c r="HKU102" s="38"/>
      <c r="HLA102" s="18"/>
      <c r="HLB102" s="18"/>
      <c r="HLC102" s="38"/>
      <c r="HLI102" s="18"/>
      <c r="HLJ102" s="18"/>
      <c r="HLK102" s="38"/>
      <c r="HLQ102" s="18"/>
      <c r="HLR102" s="18"/>
      <c r="HLS102" s="38"/>
      <c r="HLY102" s="18"/>
      <c r="HLZ102" s="18"/>
      <c r="HMA102" s="38"/>
      <c r="HMG102" s="18"/>
      <c r="HMH102" s="18"/>
      <c r="HMI102" s="38"/>
      <c r="HMO102" s="18"/>
      <c r="HMP102" s="18"/>
      <c r="HMQ102" s="38"/>
      <c r="HMW102" s="18"/>
      <c r="HMX102" s="18"/>
      <c r="HMY102" s="38"/>
      <c r="HNE102" s="18"/>
      <c r="HNF102" s="18"/>
      <c r="HNG102" s="38"/>
      <c r="HNM102" s="18"/>
      <c r="HNN102" s="18"/>
      <c r="HNO102" s="38"/>
      <c r="HNU102" s="18"/>
      <c r="HNV102" s="18"/>
      <c r="HNW102" s="38"/>
      <c r="HOC102" s="18"/>
      <c r="HOD102" s="18"/>
      <c r="HOE102" s="38"/>
      <c r="HOK102" s="18"/>
      <c r="HOL102" s="18"/>
      <c r="HOM102" s="38"/>
      <c r="HOS102" s="18"/>
      <c r="HOT102" s="18"/>
      <c r="HOU102" s="38"/>
      <c r="HPA102" s="18"/>
      <c r="HPB102" s="18"/>
      <c r="HPC102" s="38"/>
      <c r="HPI102" s="18"/>
      <c r="HPJ102" s="18"/>
      <c r="HPK102" s="38"/>
      <c r="HPQ102" s="18"/>
      <c r="HPR102" s="18"/>
      <c r="HPS102" s="38"/>
      <c r="HPY102" s="18"/>
      <c r="HPZ102" s="18"/>
      <c r="HQA102" s="38"/>
      <c r="HQG102" s="18"/>
      <c r="HQH102" s="18"/>
      <c r="HQI102" s="38"/>
      <c r="HQO102" s="18"/>
      <c r="HQP102" s="18"/>
      <c r="HQQ102" s="38"/>
      <c r="HQW102" s="18"/>
      <c r="HQX102" s="18"/>
      <c r="HQY102" s="38"/>
      <c r="HRE102" s="18"/>
      <c r="HRF102" s="18"/>
      <c r="HRG102" s="38"/>
      <c r="HRM102" s="18"/>
      <c r="HRN102" s="18"/>
      <c r="HRO102" s="38"/>
      <c r="HRU102" s="18"/>
      <c r="HRV102" s="18"/>
      <c r="HRW102" s="38"/>
      <c r="HSC102" s="18"/>
      <c r="HSD102" s="18"/>
      <c r="HSE102" s="38"/>
      <c r="HSK102" s="18"/>
      <c r="HSL102" s="18"/>
      <c r="HSM102" s="38"/>
      <c r="HSS102" s="18"/>
      <c r="HST102" s="18"/>
      <c r="HSU102" s="38"/>
      <c r="HTA102" s="18"/>
      <c r="HTB102" s="18"/>
      <c r="HTC102" s="38"/>
      <c r="HTI102" s="18"/>
      <c r="HTJ102" s="18"/>
      <c r="HTK102" s="38"/>
      <c r="HTQ102" s="18"/>
      <c r="HTR102" s="18"/>
      <c r="HTS102" s="38"/>
      <c r="HTY102" s="18"/>
      <c r="HTZ102" s="18"/>
      <c r="HUA102" s="38"/>
      <c r="HUG102" s="18"/>
      <c r="HUH102" s="18"/>
      <c r="HUI102" s="38"/>
      <c r="HUO102" s="18"/>
      <c r="HUP102" s="18"/>
      <c r="HUQ102" s="38"/>
      <c r="HUW102" s="18"/>
      <c r="HUX102" s="18"/>
      <c r="HUY102" s="38"/>
      <c r="HVE102" s="18"/>
      <c r="HVF102" s="18"/>
      <c r="HVG102" s="38"/>
      <c r="HVM102" s="18"/>
      <c r="HVN102" s="18"/>
      <c r="HVO102" s="38"/>
      <c r="HVU102" s="18"/>
      <c r="HVV102" s="18"/>
      <c r="HVW102" s="38"/>
      <c r="HWC102" s="18"/>
      <c r="HWD102" s="18"/>
      <c r="HWE102" s="38"/>
      <c r="HWK102" s="18"/>
      <c r="HWL102" s="18"/>
      <c r="HWM102" s="38"/>
      <c r="HWS102" s="18"/>
      <c r="HWT102" s="18"/>
      <c r="HWU102" s="38"/>
      <c r="HXA102" s="18"/>
      <c r="HXB102" s="18"/>
      <c r="HXC102" s="38"/>
      <c r="HXI102" s="18"/>
      <c r="HXJ102" s="18"/>
      <c r="HXK102" s="38"/>
      <c r="HXQ102" s="18"/>
      <c r="HXR102" s="18"/>
      <c r="HXS102" s="38"/>
      <c r="HXY102" s="18"/>
      <c r="HXZ102" s="18"/>
      <c r="HYA102" s="38"/>
      <c r="HYG102" s="18"/>
      <c r="HYH102" s="18"/>
      <c r="HYI102" s="38"/>
      <c r="HYO102" s="18"/>
      <c r="HYP102" s="18"/>
      <c r="HYQ102" s="38"/>
      <c r="HYW102" s="18"/>
      <c r="HYX102" s="18"/>
      <c r="HYY102" s="38"/>
      <c r="HZE102" s="18"/>
      <c r="HZF102" s="18"/>
      <c r="HZG102" s="38"/>
      <c r="HZM102" s="18"/>
      <c r="HZN102" s="18"/>
      <c r="HZO102" s="38"/>
      <c r="HZU102" s="18"/>
      <c r="HZV102" s="18"/>
      <c r="HZW102" s="38"/>
      <c r="IAC102" s="18"/>
      <c r="IAD102" s="18"/>
      <c r="IAE102" s="38"/>
      <c r="IAK102" s="18"/>
      <c r="IAL102" s="18"/>
      <c r="IAM102" s="38"/>
      <c r="IAS102" s="18"/>
      <c r="IAT102" s="18"/>
      <c r="IAU102" s="38"/>
      <c r="IBA102" s="18"/>
      <c r="IBB102" s="18"/>
      <c r="IBC102" s="38"/>
      <c r="IBI102" s="18"/>
      <c r="IBJ102" s="18"/>
      <c r="IBK102" s="38"/>
      <c r="IBQ102" s="18"/>
      <c r="IBR102" s="18"/>
      <c r="IBS102" s="38"/>
      <c r="IBY102" s="18"/>
      <c r="IBZ102" s="18"/>
      <c r="ICA102" s="38"/>
      <c r="ICG102" s="18"/>
      <c r="ICH102" s="18"/>
      <c r="ICI102" s="38"/>
      <c r="ICO102" s="18"/>
      <c r="ICP102" s="18"/>
      <c r="ICQ102" s="38"/>
      <c r="ICW102" s="18"/>
      <c r="ICX102" s="18"/>
      <c r="ICY102" s="38"/>
      <c r="IDE102" s="18"/>
      <c r="IDF102" s="18"/>
      <c r="IDG102" s="38"/>
      <c r="IDM102" s="18"/>
      <c r="IDN102" s="18"/>
      <c r="IDO102" s="38"/>
      <c r="IDU102" s="18"/>
      <c r="IDV102" s="18"/>
      <c r="IDW102" s="38"/>
      <c r="IEC102" s="18"/>
      <c r="IED102" s="18"/>
      <c r="IEE102" s="38"/>
      <c r="IEK102" s="18"/>
      <c r="IEL102" s="18"/>
      <c r="IEM102" s="38"/>
      <c r="IES102" s="18"/>
      <c r="IET102" s="18"/>
      <c r="IEU102" s="38"/>
      <c r="IFA102" s="18"/>
      <c r="IFB102" s="18"/>
      <c r="IFC102" s="38"/>
      <c r="IFI102" s="18"/>
      <c r="IFJ102" s="18"/>
      <c r="IFK102" s="38"/>
      <c r="IFQ102" s="18"/>
      <c r="IFR102" s="18"/>
      <c r="IFS102" s="38"/>
      <c r="IFY102" s="18"/>
      <c r="IFZ102" s="18"/>
      <c r="IGA102" s="38"/>
      <c r="IGG102" s="18"/>
      <c r="IGH102" s="18"/>
      <c r="IGI102" s="38"/>
      <c r="IGO102" s="18"/>
      <c r="IGP102" s="18"/>
      <c r="IGQ102" s="38"/>
      <c r="IGW102" s="18"/>
      <c r="IGX102" s="18"/>
      <c r="IGY102" s="38"/>
      <c r="IHE102" s="18"/>
      <c r="IHF102" s="18"/>
      <c r="IHG102" s="38"/>
      <c r="IHM102" s="18"/>
      <c r="IHN102" s="18"/>
      <c r="IHO102" s="38"/>
      <c r="IHU102" s="18"/>
      <c r="IHV102" s="18"/>
      <c r="IHW102" s="38"/>
      <c r="IIC102" s="18"/>
      <c r="IID102" s="18"/>
      <c r="IIE102" s="38"/>
      <c r="IIK102" s="18"/>
      <c r="IIL102" s="18"/>
      <c r="IIM102" s="38"/>
      <c r="IIS102" s="18"/>
      <c r="IIT102" s="18"/>
      <c r="IIU102" s="38"/>
      <c r="IJA102" s="18"/>
      <c r="IJB102" s="18"/>
      <c r="IJC102" s="38"/>
      <c r="IJI102" s="18"/>
      <c r="IJJ102" s="18"/>
      <c r="IJK102" s="38"/>
      <c r="IJQ102" s="18"/>
      <c r="IJR102" s="18"/>
      <c r="IJS102" s="38"/>
      <c r="IJY102" s="18"/>
      <c r="IJZ102" s="18"/>
      <c r="IKA102" s="38"/>
      <c r="IKG102" s="18"/>
      <c r="IKH102" s="18"/>
      <c r="IKI102" s="38"/>
      <c r="IKO102" s="18"/>
      <c r="IKP102" s="18"/>
      <c r="IKQ102" s="38"/>
      <c r="IKW102" s="18"/>
      <c r="IKX102" s="18"/>
      <c r="IKY102" s="38"/>
      <c r="ILE102" s="18"/>
      <c r="ILF102" s="18"/>
      <c r="ILG102" s="38"/>
      <c r="ILM102" s="18"/>
      <c r="ILN102" s="18"/>
      <c r="ILO102" s="38"/>
      <c r="ILU102" s="18"/>
      <c r="ILV102" s="18"/>
      <c r="ILW102" s="38"/>
      <c r="IMC102" s="18"/>
      <c r="IMD102" s="18"/>
      <c r="IME102" s="38"/>
      <c r="IMK102" s="18"/>
      <c r="IML102" s="18"/>
      <c r="IMM102" s="38"/>
      <c r="IMS102" s="18"/>
      <c r="IMT102" s="18"/>
      <c r="IMU102" s="38"/>
      <c r="INA102" s="18"/>
      <c r="INB102" s="18"/>
      <c r="INC102" s="38"/>
      <c r="INI102" s="18"/>
      <c r="INJ102" s="18"/>
      <c r="INK102" s="38"/>
      <c r="INQ102" s="18"/>
      <c r="INR102" s="18"/>
      <c r="INS102" s="38"/>
      <c r="INY102" s="18"/>
      <c r="INZ102" s="18"/>
      <c r="IOA102" s="38"/>
      <c r="IOG102" s="18"/>
      <c r="IOH102" s="18"/>
      <c r="IOI102" s="38"/>
      <c r="IOO102" s="18"/>
      <c r="IOP102" s="18"/>
      <c r="IOQ102" s="38"/>
      <c r="IOW102" s="18"/>
      <c r="IOX102" s="18"/>
      <c r="IOY102" s="38"/>
      <c r="IPE102" s="18"/>
      <c r="IPF102" s="18"/>
      <c r="IPG102" s="38"/>
      <c r="IPM102" s="18"/>
      <c r="IPN102" s="18"/>
      <c r="IPO102" s="38"/>
      <c r="IPU102" s="18"/>
      <c r="IPV102" s="18"/>
      <c r="IPW102" s="38"/>
      <c r="IQC102" s="18"/>
      <c r="IQD102" s="18"/>
      <c r="IQE102" s="38"/>
      <c r="IQK102" s="18"/>
      <c r="IQL102" s="18"/>
      <c r="IQM102" s="38"/>
      <c r="IQS102" s="18"/>
      <c r="IQT102" s="18"/>
      <c r="IQU102" s="38"/>
      <c r="IRA102" s="18"/>
      <c r="IRB102" s="18"/>
      <c r="IRC102" s="38"/>
      <c r="IRI102" s="18"/>
      <c r="IRJ102" s="18"/>
      <c r="IRK102" s="38"/>
      <c r="IRQ102" s="18"/>
      <c r="IRR102" s="18"/>
      <c r="IRS102" s="38"/>
      <c r="IRY102" s="18"/>
      <c r="IRZ102" s="18"/>
      <c r="ISA102" s="38"/>
      <c r="ISG102" s="18"/>
      <c r="ISH102" s="18"/>
      <c r="ISI102" s="38"/>
      <c r="ISO102" s="18"/>
      <c r="ISP102" s="18"/>
      <c r="ISQ102" s="38"/>
      <c r="ISW102" s="18"/>
      <c r="ISX102" s="18"/>
      <c r="ISY102" s="38"/>
      <c r="ITE102" s="18"/>
      <c r="ITF102" s="18"/>
      <c r="ITG102" s="38"/>
      <c r="ITM102" s="18"/>
      <c r="ITN102" s="18"/>
      <c r="ITO102" s="38"/>
      <c r="ITU102" s="18"/>
      <c r="ITV102" s="18"/>
      <c r="ITW102" s="38"/>
      <c r="IUC102" s="18"/>
      <c r="IUD102" s="18"/>
      <c r="IUE102" s="38"/>
      <c r="IUK102" s="18"/>
      <c r="IUL102" s="18"/>
      <c r="IUM102" s="38"/>
      <c r="IUS102" s="18"/>
      <c r="IUT102" s="18"/>
      <c r="IUU102" s="38"/>
      <c r="IVA102" s="18"/>
      <c r="IVB102" s="18"/>
      <c r="IVC102" s="38"/>
      <c r="IVI102" s="18"/>
      <c r="IVJ102" s="18"/>
      <c r="IVK102" s="38"/>
      <c r="IVQ102" s="18"/>
      <c r="IVR102" s="18"/>
      <c r="IVS102" s="38"/>
      <c r="IVY102" s="18"/>
      <c r="IVZ102" s="18"/>
      <c r="IWA102" s="38"/>
      <c r="IWG102" s="18"/>
      <c r="IWH102" s="18"/>
      <c r="IWI102" s="38"/>
      <c r="IWO102" s="18"/>
      <c r="IWP102" s="18"/>
      <c r="IWQ102" s="38"/>
      <c r="IWW102" s="18"/>
      <c r="IWX102" s="18"/>
      <c r="IWY102" s="38"/>
      <c r="IXE102" s="18"/>
      <c r="IXF102" s="18"/>
      <c r="IXG102" s="38"/>
      <c r="IXM102" s="18"/>
      <c r="IXN102" s="18"/>
      <c r="IXO102" s="38"/>
      <c r="IXU102" s="18"/>
      <c r="IXV102" s="18"/>
      <c r="IXW102" s="38"/>
      <c r="IYC102" s="18"/>
      <c r="IYD102" s="18"/>
      <c r="IYE102" s="38"/>
      <c r="IYK102" s="18"/>
      <c r="IYL102" s="18"/>
      <c r="IYM102" s="38"/>
      <c r="IYS102" s="18"/>
      <c r="IYT102" s="18"/>
      <c r="IYU102" s="38"/>
      <c r="IZA102" s="18"/>
      <c r="IZB102" s="18"/>
      <c r="IZC102" s="38"/>
      <c r="IZI102" s="18"/>
      <c r="IZJ102" s="18"/>
      <c r="IZK102" s="38"/>
      <c r="IZQ102" s="18"/>
      <c r="IZR102" s="18"/>
      <c r="IZS102" s="38"/>
      <c r="IZY102" s="18"/>
      <c r="IZZ102" s="18"/>
      <c r="JAA102" s="38"/>
      <c r="JAG102" s="18"/>
      <c r="JAH102" s="18"/>
      <c r="JAI102" s="38"/>
      <c r="JAO102" s="18"/>
      <c r="JAP102" s="18"/>
      <c r="JAQ102" s="38"/>
      <c r="JAW102" s="18"/>
      <c r="JAX102" s="18"/>
      <c r="JAY102" s="38"/>
      <c r="JBE102" s="18"/>
      <c r="JBF102" s="18"/>
      <c r="JBG102" s="38"/>
      <c r="JBM102" s="18"/>
      <c r="JBN102" s="18"/>
      <c r="JBO102" s="38"/>
      <c r="JBU102" s="18"/>
      <c r="JBV102" s="18"/>
      <c r="JBW102" s="38"/>
      <c r="JCC102" s="18"/>
      <c r="JCD102" s="18"/>
      <c r="JCE102" s="38"/>
      <c r="JCK102" s="18"/>
      <c r="JCL102" s="18"/>
      <c r="JCM102" s="38"/>
      <c r="JCS102" s="18"/>
      <c r="JCT102" s="18"/>
      <c r="JCU102" s="38"/>
      <c r="JDA102" s="18"/>
      <c r="JDB102" s="18"/>
      <c r="JDC102" s="38"/>
      <c r="JDI102" s="18"/>
      <c r="JDJ102" s="18"/>
      <c r="JDK102" s="38"/>
      <c r="JDQ102" s="18"/>
      <c r="JDR102" s="18"/>
      <c r="JDS102" s="38"/>
      <c r="JDY102" s="18"/>
      <c r="JDZ102" s="18"/>
      <c r="JEA102" s="38"/>
      <c r="JEG102" s="18"/>
      <c r="JEH102" s="18"/>
      <c r="JEI102" s="38"/>
      <c r="JEO102" s="18"/>
      <c r="JEP102" s="18"/>
      <c r="JEQ102" s="38"/>
      <c r="JEW102" s="18"/>
      <c r="JEX102" s="18"/>
      <c r="JEY102" s="38"/>
      <c r="JFE102" s="18"/>
      <c r="JFF102" s="18"/>
      <c r="JFG102" s="38"/>
      <c r="JFM102" s="18"/>
      <c r="JFN102" s="18"/>
      <c r="JFO102" s="38"/>
      <c r="JFU102" s="18"/>
      <c r="JFV102" s="18"/>
      <c r="JFW102" s="38"/>
      <c r="JGC102" s="18"/>
      <c r="JGD102" s="18"/>
      <c r="JGE102" s="38"/>
      <c r="JGK102" s="18"/>
      <c r="JGL102" s="18"/>
      <c r="JGM102" s="38"/>
      <c r="JGS102" s="18"/>
      <c r="JGT102" s="18"/>
      <c r="JGU102" s="38"/>
      <c r="JHA102" s="18"/>
      <c r="JHB102" s="18"/>
      <c r="JHC102" s="38"/>
      <c r="JHI102" s="18"/>
      <c r="JHJ102" s="18"/>
      <c r="JHK102" s="38"/>
      <c r="JHQ102" s="18"/>
      <c r="JHR102" s="18"/>
      <c r="JHS102" s="38"/>
      <c r="JHY102" s="18"/>
      <c r="JHZ102" s="18"/>
      <c r="JIA102" s="38"/>
      <c r="JIG102" s="18"/>
      <c r="JIH102" s="18"/>
      <c r="JII102" s="38"/>
      <c r="JIO102" s="18"/>
      <c r="JIP102" s="18"/>
      <c r="JIQ102" s="38"/>
      <c r="JIW102" s="18"/>
      <c r="JIX102" s="18"/>
      <c r="JIY102" s="38"/>
      <c r="JJE102" s="18"/>
      <c r="JJF102" s="18"/>
      <c r="JJG102" s="38"/>
      <c r="JJM102" s="18"/>
      <c r="JJN102" s="18"/>
      <c r="JJO102" s="38"/>
      <c r="JJU102" s="18"/>
      <c r="JJV102" s="18"/>
      <c r="JJW102" s="38"/>
      <c r="JKC102" s="18"/>
      <c r="JKD102" s="18"/>
      <c r="JKE102" s="38"/>
      <c r="JKK102" s="18"/>
      <c r="JKL102" s="18"/>
      <c r="JKM102" s="38"/>
      <c r="JKS102" s="18"/>
      <c r="JKT102" s="18"/>
      <c r="JKU102" s="38"/>
      <c r="JLA102" s="18"/>
      <c r="JLB102" s="18"/>
      <c r="JLC102" s="38"/>
      <c r="JLI102" s="18"/>
      <c r="JLJ102" s="18"/>
      <c r="JLK102" s="38"/>
      <c r="JLQ102" s="18"/>
      <c r="JLR102" s="18"/>
      <c r="JLS102" s="38"/>
      <c r="JLY102" s="18"/>
      <c r="JLZ102" s="18"/>
      <c r="JMA102" s="38"/>
      <c r="JMG102" s="18"/>
      <c r="JMH102" s="18"/>
      <c r="JMI102" s="38"/>
      <c r="JMO102" s="18"/>
      <c r="JMP102" s="18"/>
      <c r="JMQ102" s="38"/>
      <c r="JMW102" s="18"/>
      <c r="JMX102" s="18"/>
      <c r="JMY102" s="38"/>
      <c r="JNE102" s="18"/>
      <c r="JNF102" s="18"/>
      <c r="JNG102" s="38"/>
      <c r="JNM102" s="18"/>
      <c r="JNN102" s="18"/>
      <c r="JNO102" s="38"/>
      <c r="JNU102" s="18"/>
      <c r="JNV102" s="18"/>
      <c r="JNW102" s="38"/>
      <c r="JOC102" s="18"/>
      <c r="JOD102" s="18"/>
      <c r="JOE102" s="38"/>
      <c r="JOK102" s="18"/>
      <c r="JOL102" s="18"/>
      <c r="JOM102" s="38"/>
      <c r="JOS102" s="18"/>
      <c r="JOT102" s="18"/>
      <c r="JOU102" s="38"/>
      <c r="JPA102" s="18"/>
      <c r="JPB102" s="18"/>
      <c r="JPC102" s="38"/>
      <c r="JPI102" s="18"/>
      <c r="JPJ102" s="18"/>
      <c r="JPK102" s="38"/>
      <c r="JPQ102" s="18"/>
      <c r="JPR102" s="18"/>
      <c r="JPS102" s="38"/>
      <c r="JPY102" s="18"/>
      <c r="JPZ102" s="18"/>
      <c r="JQA102" s="38"/>
      <c r="JQG102" s="18"/>
      <c r="JQH102" s="18"/>
      <c r="JQI102" s="38"/>
      <c r="JQO102" s="18"/>
      <c r="JQP102" s="18"/>
      <c r="JQQ102" s="38"/>
      <c r="JQW102" s="18"/>
      <c r="JQX102" s="18"/>
      <c r="JQY102" s="38"/>
      <c r="JRE102" s="18"/>
      <c r="JRF102" s="18"/>
      <c r="JRG102" s="38"/>
      <c r="JRM102" s="18"/>
      <c r="JRN102" s="18"/>
      <c r="JRO102" s="38"/>
      <c r="JRU102" s="18"/>
      <c r="JRV102" s="18"/>
      <c r="JRW102" s="38"/>
      <c r="JSC102" s="18"/>
      <c r="JSD102" s="18"/>
      <c r="JSE102" s="38"/>
      <c r="JSK102" s="18"/>
      <c r="JSL102" s="18"/>
      <c r="JSM102" s="38"/>
      <c r="JSS102" s="18"/>
      <c r="JST102" s="18"/>
      <c r="JSU102" s="38"/>
      <c r="JTA102" s="18"/>
      <c r="JTB102" s="18"/>
      <c r="JTC102" s="38"/>
      <c r="JTI102" s="18"/>
      <c r="JTJ102" s="18"/>
      <c r="JTK102" s="38"/>
      <c r="JTQ102" s="18"/>
      <c r="JTR102" s="18"/>
      <c r="JTS102" s="38"/>
      <c r="JTY102" s="18"/>
      <c r="JTZ102" s="18"/>
      <c r="JUA102" s="38"/>
      <c r="JUG102" s="18"/>
      <c r="JUH102" s="18"/>
      <c r="JUI102" s="38"/>
      <c r="JUO102" s="18"/>
      <c r="JUP102" s="18"/>
      <c r="JUQ102" s="38"/>
      <c r="JUW102" s="18"/>
      <c r="JUX102" s="18"/>
      <c r="JUY102" s="38"/>
      <c r="JVE102" s="18"/>
      <c r="JVF102" s="18"/>
      <c r="JVG102" s="38"/>
      <c r="JVM102" s="18"/>
      <c r="JVN102" s="18"/>
      <c r="JVO102" s="38"/>
      <c r="JVU102" s="18"/>
      <c r="JVV102" s="18"/>
      <c r="JVW102" s="38"/>
      <c r="JWC102" s="18"/>
      <c r="JWD102" s="18"/>
      <c r="JWE102" s="38"/>
      <c r="JWK102" s="18"/>
      <c r="JWL102" s="18"/>
      <c r="JWM102" s="38"/>
      <c r="JWS102" s="18"/>
      <c r="JWT102" s="18"/>
      <c r="JWU102" s="38"/>
      <c r="JXA102" s="18"/>
      <c r="JXB102" s="18"/>
      <c r="JXC102" s="38"/>
      <c r="JXI102" s="18"/>
      <c r="JXJ102" s="18"/>
      <c r="JXK102" s="38"/>
      <c r="JXQ102" s="18"/>
      <c r="JXR102" s="18"/>
      <c r="JXS102" s="38"/>
      <c r="JXY102" s="18"/>
      <c r="JXZ102" s="18"/>
      <c r="JYA102" s="38"/>
      <c r="JYG102" s="18"/>
      <c r="JYH102" s="18"/>
      <c r="JYI102" s="38"/>
      <c r="JYO102" s="18"/>
      <c r="JYP102" s="18"/>
      <c r="JYQ102" s="38"/>
      <c r="JYW102" s="18"/>
      <c r="JYX102" s="18"/>
      <c r="JYY102" s="38"/>
      <c r="JZE102" s="18"/>
      <c r="JZF102" s="18"/>
      <c r="JZG102" s="38"/>
      <c r="JZM102" s="18"/>
      <c r="JZN102" s="18"/>
      <c r="JZO102" s="38"/>
      <c r="JZU102" s="18"/>
      <c r="JZV102" s="18"/>
      <c r="JZW102" s="38"/>
      <c r="KAC102" s="18"/>
      <c r="KAD102" s="18"/>
      <c r="KAE102" s="38"/>
      <c r="KAK102" s="18"/>
      <c r="KAL102" s="18"/>
      <c r="KAM102" s="38"/>
      <c r="KAS102" s="18"/>
      <c r="KAT102" s="18"/>
      <c r="KAU102" s="38"/>
      <c r="KBA102" s="18"/>
      <c r="KBB102" s="18"/>
      <c r="KBC102" s="38"/>
      <c r="KBI102" s="18"/>
      <c r="KBJ102" s="18"/>
      <c r="KBK102" s="38"/>
      <c r="KBQ102" s="18"/>
      <c r="KBR102" s="18"/>
      <c r="KBS102" s="38"/>
      <c r="KBY102" s="18"/>
      <c r="KBZ102" s="18"/>
      <c r="KCA102" s="38"/>
      <c r="KCG102" s="18"/>
      <c r="KCH102" s="18"/>
      <c r="KCI102" s="38"/>
      <c r="KCO102" s="18"/>
      <c r="KCP102" s="18"/>
      <c r="KCQ102" s="38"/>
      <c r="KCW102" s="18"/>
      <c r="KCX102" s="18"/>
      <c r="KCY102" s="38"/>
      <c r="KDE102" s="18"/>
      <c r="KDF102" s="18"/>
      <c r="KDG102" s="38"/>
      <c r="KDM102" s="18"/>
      <c r="KDN102" s="18"/>
      <c r="KDO102" s="38"/>
      <c r="KDU102" s="18"/>
      <c r="KDV102" s="18"/>
      <c r="KDW102" s="38"/>
      <c r="KEC102" s="18"/>
      <c r="KED102" s="18"/>
      <c r="KEE102" s="38"/>
      <c r="KEK102" s="18"/>
      <c r="KEL102" s="18"/>
      <c r="KEM102" s="38"/>
      <c r="KES102" s="18"/>
      <c r="KET102" s="18"/>
      <c r="KEU102" s="38"/>
      <c r="KFA102" s="18"/>
      <c r="KFB102" s="18"/>
      <c r="KFC102" s="38"/>
      <c r="KFI102" s="18"/>
      <c r="KFJ102" s="18"/>
      <c r="KFK102" s="38"/>
      <c r="KFQ102" s="18"/>
      <c r="KFR102" s="18"/>
      <c r="KFS102" s="38"/>
      <c r="KFY102" s="18"/>
      <c r="KFZ102" s="18"/>
      <c r="KGA102" s="38"/>
      <c r="KGG102" s="18"/>
      <c r="KGH102" s="18"/>
      <c r="KGI102" s="38"/>
      <c r="KGO102" s="18"/>
      <c r="KGP102" s="18"/>
      <c r="KGQ102" s="38"/>
      <c r="KGW102" s="18"/>
      <c r="KGX102" s="18"/>
      <c r="KGY102" s="38"/>
      <c r="KHE102" s="18"/>
      <c r="KHF102" s="18"/>
      <c r="KHG102" s="38"/>
      <c r="KHM102" s="18"/>
      <c r="KHN102" s="18"/>
      <c r="KHO102" s="38"/>
      <c r="KHU102" s="18"/>
      <c r="KHV102" s="18"/>
      <c r="KHW102" s="38"/>
      <c r="KIC102" s="18"/>
      <c r="KID102" s="18"/>
      <c r="KIE102" s="38"/>
      <c r="KIK102" s="18"/>
      <c r="KIL102" s="18"/>
      <c r="KIM102" s="38"/>
      <c r="KIS102" s="18"/>
      <c r="KIT102" s="18"/>
      <c r="KIU102" s="38"/>
      <c r="KJA102" s="18"/>
      <c r="KJB102" s="18"/>
      <c r="KJC102" s="38"/>
      <c r="KJI102" s="18"/>
      <c r="KJJ102" s="18"/>
      <c r="KJK102" s="38"/>
      <c r="KJQ102" s="18"/>
      <c r="KJR102" s="18"/>
      <c r="KJS102" s="38"/>
      <c r="KJY102" s="18"/>
      <c r="KJZ102" s="18"/>
      <c r="KKA102" s="38"/>
      <c r="KKG102" s="18"/>
      <c r="KKH102" s="18"/>
      <c r="KKI102" s="38"/>
      <c r="KKO102" s="18"/>
      <c r="KKP102" s="18"/>
      <c r="KKQ102" s="38"/>
      <c r="KKW102" s="18"/>
      <c r="KKX102" s="18"/>
      <c r="KKY102" s="38"/>
      <c r="KLE102" s="18"/>
      <c r="KLF102" s="18"/>
      <c r="KLG102" s="38"/>
      <c r="KLM102" s="18"/>
      <c r="KLN102" s="18"/>
      <c r="KLO102" s="38"/>
      <c r="KLU102" s="18"/>
      <c r="KLV102" s="18"/>
      <c r="KLW102" s="38"/>
      <c r="KMC102" s="18"/>
      <c r="KMD102" s="18"/>
      <c r="KME102" s="38"/>
      <c r="KMK102" s="18"/>
      <c r="KML102" s="18"/>
      <c r="KMM102" s="38"/>
      <c r="KMS102" s="18"/>
      <c r="KMT102" s="18"/>
      <c r="KMU102" s="38"/>
      <c r="KNA102" s="18"/>
      <c r="KNB102" s="18"/>
      <c r="KNC102" s="38"/>
      <c r="KNI102" s="18"/>
      <c r="KNJ102" s="18"/>
      <c r="KNK102" s="38"/>
      <c r="KNQ102" s="18"/>
      <c r="KNR102" s="18"/>
      <c r="KNS102" s="38"/>
      <c r="KNY102" s="18"/>
      <c r="KNZ102" s="18"/>
      <c r="KOA102" s="38"/>
      <c r="KOG102" s="18"/>
      <c r="KOH102" s="18"/>
      <c r="KOI102" s="38"/>
      <c r="KOO102" s="18"/>
      <c r="KOP102" s="18"/>
      <c r="KOQ102" s="38"/>
      <c r="KOW102" s="18"/>
      <c r="KOX102" s="18"/>
      <c r="KOY102" s="38"/>
      <c r="KPE102" s="18"/>
      <c r="KPF102" s="18"/>
      <c r="KPG102" s="38"/>
      <c r="KPM102" s="18"/>
      <c r="KPN102" s="18"/>
      <c r="KPO102" s="38"/>
      <c r="KPU102" s="18"/>
      <c r="KPV102" s="18"/>
      <c r="KPW102" s="38"/>
      <c r="KQC102" s="18"/>
      <c r="KQD102" s="18"/>
      <c r="KQE102" s="38"/>
      <c r="KQK102" s="18"/>
      <c r="KQL102" s="18"/>
      <c r="KQM102" s="38"/>
      <c r="KQS102" s="18"/>
      <c r="KQT102" s="18"/>
      <c r="KQU102" s="38"/>
      <c r="KRA102" s="18"/>
      <c r="KRB102" s="18"/>
      <c r="KRC102" s="38"/>
      <c r="KRI102" s="18"/>
      <c r="KRJ102" s="18"/>
      <c r="KRK102" s="38"/>
      <c r="KRQ102" s="18"/>
      <c r="KRR102" s="18"/>
      <c r="KRS102" s="38"/>
      <c r="KRY102" s="18"/>
      <c r="KRZ102" s="18"/>
      <c r="KSA102" s="38"/>
      <c r="KSG102" s="18"/>
      <c r="KSH102" s="18"/>
      <c r="KSI102" s="38"/>
      <c r="KSO102" s="18"/>
      <c r="KSP102" s="18"/>
      <c r="KSQ102" s="38"/>
      <c r="KSW102" s="18"/>
      <c r="KSX102" s="18"/>
      <c r="KSY102" s="38"/>
      <c r="KTE102" s="18"/>
      <c r="KTF102" s="18"/>
      <c r="KTG102" s="38"/>
      <c r="KTM102" s="18"/>
      <c r="KTN102" s="18"/>
      <c r="KTO102" s="38"/>
      <c r="KTU102" s="18"/>
      <c r="KTV102" s="18"/>
      <c r="KTW102" s="38"/>
      <c r="KUC102" s="18"/>
      <c r="KUD102" s="18"/>
      <c r="KUE102" s="38"/>
      <c r="KUK102" s="18"/>
      <c r="KUL102" s="18"/>
      <c r="KUM102" s="38"/>
      <c r="KUS102" s="18"/>
      <c r="KUT102" s="18"/>
      <c r="KUU102" s="38"/>
      <c r="KVA102" s="18"/>
      <c r="KVB102" s="18"/>
      <c r="KVC102" s="38"/>
      <c r="KVI102" s="18"/>
      <c r="KVJ102" s="18"/>
      <c r="KVK102" s="38"/>
      <c r="KVQ102" s="18"/>
      <c r="KVR102" s="18"/>
      <c r="KVS102" s="38"/>
      <c r="KVY102" s="18"/>
      <c r="KVZ102" s="18"/>
      <c r="KWA102" s="38"/>
      <c r="KWG102" s="18"/>
      <c r="KWH102" s="18"/>
      <c r="KWI102" s="38"/>
      <c r="KWO102" s="18"/>
      <c r="KWP102" s="18"/>
      <c r="KWQ102" s="38"/>
      <c r="KWW102" s="18"/>
      <c r="KWX102" s="18"/>
      <c r="KWY102" s="38"/>
      <c r="KXE102" s="18"/>
      <c r="KXF102" s="18"/>
      <c r="KXG102" s="38"/>
      <c r="KXM102" s="18"/>
      <c r="KXN102" s="18"/>
      <c r="KXO102" s="38"/>
      <c r="KXU102" s="18"/>
      <c r="KXV102" s="18"/>
      <c r="KXW102" s="38"/>
      <c r="KYC102" s="18"/>
      <c r="KYD102" s="18"/>
      <c r="KYE102" s="38"/>
      <c r="KYK102" s="18"/>
      <c r="KYL102" s="18"/>
      <c r="KYM102" s="38"/>
      <c r="KYS102" s="18"/>
      <c r="KYT102" s="18"/>
      <c r="KYU102" s="38"/>
      <c r="KZA102" s="18"/>
      <c r="KZB102" s="18"/>
      <c r="KZC102" s="38"/>
      <c r="KZI102" s="18"/>
      <c r="KZJ102" s="18"/>
      <c r="KZK102" s="38"/>
      <c r="KZQ102" s="18"/>
      <c r="KZR102" s="18"/>
      <c r="KZS102" s="38"/>
      <c r="KZY102" s="18"/>
      <c r="KZZ102" s="18"/>
      <c r="LAA102" s="38"/>
      <c r="LAG102" s="18"/>
      <c r="LAH102" s="18"/>
      <c r="LAI102" s="38"/>
      <c r="LAO102" s="18"/>
      <c r="LAP102" s="18"/>
      <c r="LAQ102" s="38"/>
      <c r="LAW102" s="18"/>
      <c r="LAX102" s="18"/>
      <c r="LAY102" s="38"/>
      <c r="LBE102" s="18"/>
      <c r="LBF102" s="18"/>
      <c r="LBG102" s="38"/>
      <c r="LBM102" s="18"/>
      <c r="LBN102" s="18"/>
      <c r="LBO102" s="38"/>
      <c r="LBU102" s="18"/>
      <c r="LBV102" s="18"/>
      <c r="LBW102" s="38"/>
      <c r="LCC102" s="18"/>
      <c r="LCD102" s="18"/>
      <c r="LCE102" s="38"/>
      <c r="LCK102" s="18"/>
      <c r="LCL102" s="18"/>
      <c r="LCM102" s="38"/>
      <c r="LCS102" s="18"/>
      <c r="LCT102" s="18"/>
      <c r="LCU102" s="38"/>
      <c r="LDA102" s="18"/>
      <c r="LDB102" s="18"/>
      <c r="LDC102" s="38"/>
      <c r="LDI102" s="18"/>
      <c r="LDJ102" s="18"/>
      <c r="LDK102" s="38"/>
      <c r="LDQ102" s="18"/>
      <c r="LDR102" s="18"/>
      <c r="LDS102" s="38"/>
      <c r="LDY102" s="18"/>
      <c r="LDZ102" s="18"/>
      <c r="LEA102" s="38"/>
      <c r="LEG102" s="18"/>
      <c r="LEH102" s="18"/>
      <c r="LEI102" s="38"/>
      <c r="LEO102" s="18"/>
      <c r="LEP102" s="18"/>
      <c r="LEQ102" s="38"/>
      <c r="LEW102" s="18"/>
      <c r="LEX102" s="18"/>
      <c r="LEY102" s="38"/>
      <c r="LFE102" s="18"/>
      <c r="LFF102" s="18"/>
      <c r="LFG102" s="38"/>
      <c r="LFM102" s="18"/>
      <c r="LFN102" s="18"/>
      <c r="LFO102" s="38"/>
      <c r="LFU102" s="18"/>
      <c r="LFV102" s="18"/>
      <c r="LFW102" s="38"/>
      <c r="LGC102" s="18"/>
      <c r="LGD102" s="18"/>
      <c r="LGE102" s="38"/>
      <c r="LGK102" s="18"/>
      <c r="LGL102" s="18"/>
      <c r="LGM102" s="38"/>
      <c r="LGS102" s="18"/>
      <c r="LGT102" s="18"/>
      <c r="LGU102" s="38"/>
      <c r="LHA102" s="18"/>
      <c r="LHB102" s="18"/>
      <c r="LHC102" s="38"/>
      <c r="LHI102" s="18"/>
      <c r="LHJ102" s="18"/>
      <c r="LHK102" s="38"/>
      <c r="LHQ102" s="18"/>
      <c r="LHR102" s="18"/>
      <c r="LHS102" s="38"/>
      <c r="LHY102" s="18"/>
      <c r="LHZ102" s="18"/>
      <c r="LIA102" s="38"/>
      <c r="LIG102" s="18"/>
      <c r="LIH102" s="18"/>
      <c r="LII102" s="38"/>
      <c r="LIO102" s="18"/>
      <c r="LIP102" s="18"/>
      <c r="LIQ102" s="38"/>
      <c r="LIW102" s="18"/>
      <c r="LIX102" s="18"/>
      <c r="LIY102" s="38"/>
      <c r="LJE102" s="18"/>
      <c r="LJF102" s="18"/>
      <c r="LJG102" s="38"/>
      <c r="LJM102" s="18"/>
      <c r="LJN102" s="18"/>
      <c r="LJO102" s="38"/>
      <c r="LJU102" s="18"/>
      <c r="LJV102" s="18"/>
      <c r="LJW102" s="38"/>
      <c r="LKC102" s="18"/>
      <c r="LKD102" s="18"/>
      <c r="LKE102" s="38"/>
      <c r="LKK102" s="18"/>
      <c r="LKL102" s="18"/>
      <c r="LKM102" s="38"/>
      <c r="LKS102" s="18"/>
      <c r="LKT102" s="18"/>
      <c r="LKU102" s="38"/>
      <c r="LLA102" s="18"/>
      <c r="LLB102" s="18"/>
      <c r="LLC102" s="38"/>
      <c r="LLI102" s="18"/>
      <c r="LLJ102" s="18"/>
      <c r="LLK102" s="38"/>
      <c r="LLQ102" s="18"/>
      <c r="LLR102" s="18"/>
      <c r="LLS102" s="38"/>
      <c r="LLY102" s="18"/>
      <c r="LLZ102" s="18"/>
      <c r="LMA102" s="38"/>
      <c r="LMG102" s="18"/>
      <c r="LMH102" s="18"/>
      <c r="LMI102" s="38"/>
      <c r="LMO102" s="18"/>
      <c r="LMP102" s="18"/>
      <c r="LMQ102" s="38"/>
      <c r="LMW102" s="18"/>
      <c r="LMX102" s="18"/>
      <c r="LMY102" s="38"/>
      <c r="LNE102" s="18"/>
      <c r="LNF102" s="18"/>
      <c r="LNG102" s="38"/>
      <c r="LNM102" s="18"/>
      <c r="LNN102" s="18"/>
      <c r="LNO102" s="38"/>
      <c r="LNU102" s="18"/>
      <c r="LNV102" s="18"/>
      <c r="LNW102" s="38"/>
      <c r="LOC102" s="18"/>
      <c r="LOD102" s="18"/>
      <c r="LOE102" s="38"/>
      <c r="LOK102" s="18"/>
      <c r="LOL102" s="18"/>
      <c r="LOM102" s="38"/>
      <c r="LOS102" s="18"/>
      <c r="LOT102" s="18"/>
      <c r="LOU102" s="38"/>
      <c r="LPA102" s="18"/>
      <c r="LPB102" s="18"/>
      <c r="LPC102" s="38"/>
      <c r="LPI102" s="18"/>
      <c r="LPJ102" s="18"/>
      <c r="LPK102" s="38"/>
      <c r="LPQ102" s="18"/>
      <c r="LPR102" s="18"/>
      <c r="LPS102" s="38"/>
      <c r="LPY102" s="18"/>
      <c r="LPZ102" s="18"/>
      <c r="LQA102" s="38"/>
      <c r="LQG102" s="18"/>
      <c r="LQH102" s="18"/>
      <c r="LQI102" s="38"/>
      <c r="LQO102" s="18"/>
      <c r="LQP102" s="18"/>
      <c r="LQQ102" s="38"/>
      <c r="LQW102" s="18"/>
      <c r="LQX102" s="18"/>
      <c r="LQY102" s="38"/>
      <c r="LRE102" s="18"/>
      <c r="LRF102" s="18"/>
      <c r="LRG102" s="38"/>
      <c r="LRM102" s="18"/>
      <c r="LRN102" s="18"/>
      <c r="LRO102" s="38"/>
      <c r="LRU102" s="18"/>
      <c r="LRV102" s="18"/>
      <c r="LRW102" s="38"/>
      <c r="LSC102" s="18"/>
      <c r="LSD102" s="18"/>
      <c r="LSE102" s="38"/>
      <c r="LSK102" s="18"/>
      <c r="LSL102" s="18"/>
      <c r="LSM102" s="38"/>
      <c r="LSS102" s="18"/>
      <c r="LST102" s="18"/>
      <c r="LSU102" s="38"/>
      <c r="LTA102" s="18"/>
      <c r="LTB102" s="18"/>
      <c r="LTC102" s="38"/>
      <c r="LTI102" s="18"/>
      <c r="LTJ102" s="18"/>
      <c r="LTK102" s="38"/>
      <c r="LTQ102" s="18"/>
      <c r="LTR102" s="18"/>
      <c r="LTS102" s="38"/>
      <c r="LTY102" s="18"/>
      <c r="LTZ102" s="18"/>
      <c r="LUA102" s="38"/>
      <c r="LUG102" s="18"/>
      <c r="LUH102" s="18"/>
      <c r="LUI102" s="38"/>
      <c r="LUO102" s="18"/>
      <c r="LUP102" s="18"/>
      <c r="LUQ102" s="38"/>
      <c r="LUW102" s="18"/>
      <c r="LUX102" s="18"/>
      <c r="LUY102" s="38"/>
      <c r="LVE102" s="18"/>
      <c r="LVF102" s="18"/>
      <c r="LVG102" s="38"/>
      <c r="LVM102" s="18"/>
      <c r="LVN102" s="18"/>
      <c r="LVO102" s="38"/>
      <c r="LVU102" s="18"/>
      <c r="LVV102" s="18"/>
      <c r="LVW102" s="38"/>
      <c r="LWC102" s="18"/>
      <c r="LWD102" s="18"/>
      <c r="LWE102" s="38"/>
      <c r="LWK102" s="18"/>
      <c r="LWL102" s="18"/>
      <c r="LWM102" s="38"/>
      <c r="LWS102" s="18"/>
      <c r="LWT102" s="18"/>
      <c r="LWU102" s="38"/>
      <c r="LXA102" s="18"/>
      <c r="LXB102" s="18"/>
      <c r="LXC102" s="38"/>
      <c r="LXI102" s="18"/>
      <c r="LXJ102" s="18"/>
      <c r="LXK102" s="38"/>
      <c r="LXQ102" s="18"/>
      <c r="LXR102" s="18"/>
      <c r="LXS102" s="38"/>
      <c r="LXY102" s="18"/>
      <c r="LXZ102" s="18"/>
      <c r="LYA102" s="38"/>
      <c r="LYG102" s="18"/>
      <c r="LYH102" s="18"/>
      <c r="LYI102" s="38"/>
      <c r="LYO102" s="18"/>
      <c r="LYP102" s="18"/>
      <c r="LYQ102" s="38"/>
      <c r="LYW102" s="18"/>
      <c r="LYX102" s="18"/>
      <c r="LYY102" s="38"/>
      <c r="LZE102" s="18"/>
      <c r="LZF102" s="18"/>
      <c r="LZG102" s="38"/>
      <c r="LZM102" s="18"/>
      <c r="LZN102" s="18"/>
      <c r="LZO102" s="38"/>
      <c r="LZU102" s="18"/>
      <c r="LZV102" s="18"/>
      <c r="LZW102" s="38"/>
      <c r="MAC102" s="18"/>
      <c r="MAD102" s="18"/>
      <c r="MAE102" s="38"/>
      <c r="MAK102" s="18"/>
      <c r="MAL102" s="18"/>
      <c r="MAM102" s="38"/>
      <c r="MAS102" s="18"/>
      <c r="MAT102" s="18"/>
      <c r="MAU102" s="38"/>
      <c r="MBA102" s="18"/>
      <c r="MBB102" s="18"/>
      <c r="MBC102" s="38"/>
      <c r="MBI102" s="18"/>
      <c r="MBJ102" s="18"/>
      <c r="MBK102" s="38"/>
      <c r="MBQ102" s="18"/>
      <c r="MBR102" s="18"/>
      <c r="MBS102" s="38"/>
      <c r="MBY102" s="18"/>
      <c r="MBZ102" s="18"/>
      <c r="MCA102" s="38"/>
      <c r="MCG102" s="18"/>
      <c r="MCH102" s="18"/>
      <c r="MCI102" s="38"/>
      <c r="MCO102" s="18"/>
      <c r="MCP102" s="18"/>
      <c r="MCQ102" s="38"/>
      <c r="MCW102" s="18"/>
      <c r="MCX102" s="18"/>
      <c r="MCY102" s="38"/>
      <c r="MDE102" s="18"/>
      <c r="MDF102" s="18"/>
      <c r="MDG102" s="38"/>
      <c r="MDM102" s="18"/>
      <c r="MDN102" s="18"/>
      <c r="MDO102" s="38"/>
      <c r="MDU102" s="18"/>
      <c r="MDV102" s="18"/>
      <c r="MDW102" s="38"/>
      <c r="MEC102" s="18"/>
      <c r="MED102" s="18"/>
      <c r="MEE102" s="38"/>
      <c r="MEK102" s="18"/>
      <c r="MEL102" s="18"/>
      <c r="MEM102" s="38"/>
      <c r="MES102" s="18"/>
      <c r="MET102" s="18"/>
      <c r="MEU102" s="38"/>
      <c r="MFA102" s="18"/>
      <c r="MFB102" s="18"/>
      <c r="MFC102" s="38"/>
      <c r="MFI102" s="18"/>
      <c r="MFJ102" s="18"/>
      <c r="MFK102" s="38"/>
      <c r="MFQ102" s="18"/>
      <c r="MFR102" s="18"/>
      <c r="MFS102" s="38"/>
      <c r="MFY102" s="18"/>
      <c r="MFZ102" s="18"/>
      <c r="MGA102" s="38"/>
      <c r="MGG102" s="18"/>
      <c r="MGH102" s="18"/>
      <c r="MGI102" s="38"/>
      <c r="MGO102" s="18"/>
      <c r="MGP102" s="18"/>
      <c r="MGQ102" s="38"/>
      <c r="MGW102" s="18"/>
      <c r="MGX102" s="18"/>
      <c r="MGY102" s="38"/>
      <c r="MHE102" s="18"/>
      <c r="MHF102" s="18"/>
      <c r="MHG102" s="38"/>
      <c r="MHM102" s="18"/>
      <c r="MHN102" s="18"/>
      <c r="MHO102" s="38"/>
      <c r="MHU102" s="18"/>
      <c r="MHV102" s="18"/>
      <c r="MHW102" s="38"/>
      <c r="MIC102" s="18"/>
      <c r="MID102" s="18"/>
      <c r="MIE102" s="38"/>
      <c r="MIK102" s="18"/>
      <c r="MIL102" s="18"/>
      <c r="MIM102" s="38"/>
      <c r="MIS102" s="18"/>
      <c r="MIT102" s="18"/>
      <c r="MIU102" s="38"/>
      <c r="MJA102" s="18"/>
      <c r="MJB102" s="18"/>
      <c r="MJC102" s="38"/>
      <c r="MJI102" s="18"/>
      <c r="MJJ102" s="18"/>
      <c r="MJK102" s="38"/>
      <c r="MJQ102" s="18"/>
      <c r="MJR102" s="18"/>
      <c r="MJS102" s="38"/>
      <c r="MJY102" s="18"/>
      <c r="MJZ102" s="18"/>
      <c r="MKA102" s="38"/>
      <c r="MKG102" s="18"/>
      <c r="MKH102" s="18"/>
      <c r="MKI102" s="38"/>
      <c r="MKO102" s="18"/>
      <c r="MKP102" s="18"/>
      <c r="MKQ102" s="38"/>
      <c r="MKW102" s="18"/>
      <c r="MKX102" s="18"/>
      <c r="MKY102" s="38"/>
      <c r="MLE102" s="18"/>
      <c r="MLF102" s="18"/>
      <c r="MLG102" s="38"/>
      <c r="MLM102" s="18"/>
      <c r="MLN102" s="18"/>
      <c r="MLO102" s="38"/>
      <c r="MLU102" s="18"/>
      <c r="MLV102" s="18"/>
      <c r="MLW102" s="38"/>
      <c r="MMC102" s="18"/>
      <c r="MMD102" s="18"/>
      <c r="MME102" s="38"/>
      <c r="MMK102" s="18"/>
      <c r="MML102" s="18"/>
      <c r="MMM102" s="38"/>
      <c r="MMS102" s="18"/>
      <c r="MMT102" s="18"/>
      <c r="MMU102" s="38"/>
      <c r="MNA102" s="18"/>
      <c r="MNB102" s="18"/>
      <c r="MNC102" s="38"/>
      <c r="MNI102" s="18"/>
      <c r="MNJ102" s="18"/>
      <c r="MNK102" s="38"/>
      <c r="MNQ102" s="18"/>
      <c r="MNR102" s="18"/>
      <c r="MNS102" s="38"/>
      <c r="MNY102" s="18"/>
      <c r="MNZ102" s="18"/>
      <c r="MOA102" s="38"/>
      <c r="MOG102" s="18"/>
      <c r="MOH102" s="18"/>
      <c r="MOI102" s="38"/>
      <c r="MOO102" s="18"/>
      <c r="MOP102" s="18"/>
      <c r="MOQ102" s="38"/>
      <c r="MOW102" s="18"/>
      <c r="MOX102" s="18"/>
      <c r="MOY102" s="38"/>
      <c r="MPE102" s="18"/>
      <c r="MPF102" s="18"/>
      <c r="MPG102" s="38"/>
      <c r="MPM102" s="18"/>
      <c r="MPN102" s="18"/>
      <c r="MPO102" s="38"/>
      <c r="MPU102" s="18"/>
      <c r="MPV102" s="18"/>
      <c r="MPW102" s="38"/>
      <c r="MQC102" s="18"/>
      <c r="MQD102" s="18"/>
      <c r="MQE102" s="38"/>
      <c r="MQK102" s="18"/>
      <c r="MQL102" s="18"/>
      <c r="MQM102" s="38"/>
      <c r="MQS102" s="18"/>
      <c r="MQT102" s="18"/>
      <c r="MQU102" s="38"/>
      <c r="MRA102" s="18"/>
      <c r="MRB102" s="18"/>
      <c r="MRC102" s="38"/>
      <c r="MRI102" s="18"/>
      <c r="MRJ102" s="18"/>
      <c r="MRK102" s="38"/>
      <c r="MRQ102" s="18"/>
      <c r="MRR102" s="18"/>
      <c r="MRS102" s="38"/>
      <c r="MRY102" s="18"/>
      <c r="MRZ102" s="18"/>
      <c r="MSA102" s="38"/>
      <c r="MSG102" s="18"/>
      <c r="MSH102" s="18"/>
      <c r="MSI102" s="38"/>
      <c r="MSO102" s="18"/>
      <c r="MSP102" s="18"/>
      <c r="MSQ102" s="38"/>
      <c r="MSW102" s="18"/>
      <c r="MSX102" s="18"/>
      <c r="MSY102" s="38"/>
      <c r="MTE102" s="18"/>
      <c r="MTF102" s="18"/>
      <c r="MTG102" s="38"/>
      <c r="MTM102" s="18"/>
      <c r="MTN102" s="18"/>
      <c r="MTO102" s="38"/>
      <c r="MTU102" s="18"/>
      <c r="MTV102" s="18"/>
      <c r="MTW102" s="38"/>
      <c r="MUC102" s="18"/>
      <c r="MUD102" s="18"/>
      <c r="MUE102" s="38"/>
      <c r="MUK102" s="18"/>
      <c r="MUL102" s="18"/>
      <c r="MUM102" s="38"/>
      <c r="MUS102" s="18"/>
      <c r="MUT102" s="18"/>
      <c r="MUU102" s="38"/>
      <c r="MVA102" s="18"/>
      <c r="MVB102" s="18"/>
      <c r="MVC102" s="38"/>
      <c r="MVI102" s="18"/>
      <c r="MVJ102" s="18"/>
      <c r="MVK102" s="38"/>
      <c r="MVQ102" s="18"/>
      <c r="MVR102" s="18"/>
      <c r="MVS102" s="38"/>
      <c r="MVY102" s="18"/>
      <c r="MVZ102" s="18"/>
      <c r="MWA102" s="38"/>
      <c r="MWG102" s="18"/>
      <c r="MWH102" s="18"/>
      <c r="MWI102" s="38"/>
      <c r="MWO102" s="18"/>
      <c r="MWP102" s="18"/>
      <c r="MWQ102" s="38"/>
      <c r="MWW102" s="18"/>
      <c r="MWX102" s="18"/>
      <c r="MWY102" s="38"/>
      <c r="MXE102" s="18"/>
      <c r="MXF102" s="18"/>
      <c r="MXG102" s="38"/>
      <c r="MXM102" s="18"/>
      <c r="MXN102" s="18"/>
      <c r="MXO102" s="38"/>
      <c r="MXU102" s="18"/>
      <c r="MXV102" s="18"/>
      <c r="MXW102" s="38"/>
      <c r="MYC102" s="18"/>
      <c r="MYD102" s="18"/>
      <c r="MYE102" s="38"/>
      <c r="MYK102" s="18"/>
      <c r="MYL102" s="18"/>
      <c r="MYM102" s="38"/>
      <c r="MYS102" s="18"/>
      <c r="MYT102" s="18"/>
      <c r="MYU102" s="38"/>
      <c r="MZA102" s="18"/>
      <c r="MZB102" s="18"/>
      <c r="MZC102" s="38"/>
      <c r="MZI102" s="18"/>
      <c r="MZJ102" s="18"/>
      <c r="MZK102" s="38"/>
      <c r="MZQ102" s="18"/>
      <c r="MZR102" s="18"/>
      <c r="MZS102" s="38"/>
      <c r="MZY102" s="18"/>
      <c r="MZZ102" s="18"/>
      <c r="NAA102" s="38"/>
      <c r="NAG102" s="18"/>
      <c r="NAH102" s="18"/>
      <c r="NAI102" s="38"/>
      <c r="NAO102" s="18"/>
      <c r="NAP102" s="18"/>
      <c r="NAQ102" s="38"/>
      <c r="NAW102" s="18"/>
      <c r="NAX102" s="18"/>
      <c r="NAY102" s="38"/>
      <c r="NBE102" s="18"/>
      <c r="NBF102" s="18"/>
      <c r="NBG102" s="38"/>
      <c r="NBM102" s="18"/>
      <c r="NBN102" s="18"/>
      <c r="NBO102" s="38"/>
      <c r="NBU102" s="18"/>
      <c r="NBV102" s="18"/>
      <c r="NBW102" s="38"/>
      <c r="NCC102" s="18"/>
      <c r="NCD102" s="18"/>
      <c r="NCE102" s="38"/>
      <c r="NCK102" s="18"/>
      <c r="NCL102" s="18"/>
      <c r="NCM102" s="38"/>
      <c r="NCS102" s="18"/>
      <c r="NCT102" s="18"/>
      <c r="NCU102" s="38"/>
      <c r="NDA102" s="18"/>
      <c r="NDB102" s="18"/>
      <c r="NDC102" s="38"/>
      <c r="NDI102" s="18"/>
      <c r="NDJ102" s="18"/>
      <c r="NDK102" s="38"/>
      <c r="NDQ102" s="18"/>
      <c r="NDR102" s="18"/>
      <c r="NDS102" s="38"/>
      <c r="NDY102" s="18"/>
      <c r="NDZ102" s="18"/>
      <c r="NEA102" s="38"/>
      <c r="NEG102" s="18"/>
      <c r="NEH102" s="18"/>
      <c r="NEI102" s="38"/>
      <c r="NEO102" s="18"/>
      <c r="NEP102" s="18"/>
      <c r="NEQ102" s="38"/>
      <c r="NEW102" s="18"/>
      <c r="NEX102" s="18"/>
      <c r="NEY102" s="38"/>
      <c r="NFE102" s="18"/>
      <c r="NFF102" s="18"/>
      <c r="NFG102" s="38"/>
      <c r="NFM102" s="18"/>
      <c r="NFN102" s="18"/>
      <c r="NFO102" s="38"/>
      <c r="NFU102" s="18"/>
      <c r="NFV102" s="18"/>
      <c r="NFW102" s="38"/>
      <c r="NGC102" s="18"/>
      <c r="NGD102" s="18"/>
      <c r="NGE102" s="38"/>
      <c r="NGK102" s="18"/>
      <c r="NGL102" s="18"/>
      <c r="NGM102" s="38"/>
      <c r="NGS102" s="18"/>
      <c r="NGT102" s="18"/>
      <c r="NGU102" s="38"/>
      <c r="NHA102" s="18"/>
      <c r="NHB102" s="18"/>
      <c r="NHC102" s="38"/>
      <c r="NHI102" s="18"/>
      <c r="NHJ102" s="18"/>
      <c r="NHK102" s="38"/>
      <c r="NHQ102" s="18"/>
      <c r="NHR102" s="18"/>
      <c r="NHS102" s="38"/>
      <c r="NHY102" s="18"/>
      <c r="NHZ102" s="18"/>
      <c r="NIA102" s="38"/>
      <c r="NIG102" s="18"/>
      <c r="NIH102" s="18"/>
      <c r="NII102" s="38"/>
      <c r="NIO102" s="18"/>
      <c r="NIP102" s="18"/>
      <c r="NIQ102" s="38"/>
      <c r="NIW102" s="18"/>
      <c r="NIX102" s="18"/>
      <c r="NIY102" s="38"/>
      <c r="NJE102" s="18"/>
      <c r="NJF102" s="18"/>
      <c r="NJG102" s="38"/>
      <c r="NJM102" s="18"/>
      <c r="NJN102" s="18"/>
      <c r="NJO102" s="38"/>
      <c r="NJU102" s="18"/>
      <c r="NJV102" s="18"/>
      <c r="NJW102" s="38"/>
      <c r="NKC102" s="18"/>
      <c r="NKD102" s="18"/>
      <c r="NKE102" s="38"/>
      <c r="NKK102" s="18"/>
      <c r="NKL102" s="18"/>
      <c r="NKM102" s="38"/>
      <c r="NKS102" s="18"/>
      <c r="NKT102" s="18"/>
      <c r="NKU102" s="38"/>
      <c r="NLA102" s="18"/>
      <c r="NLB102" s="18"/>
      <c r="NLC102" s="38"/>
      <c r="NLI102" s="18"/>
      <c r="NLJ102" s="18"/>
      <c r="NLK102" s="38"/>
      <c r="NLQ102" s="18"/>
      <c r="NLR102" s="18"/>
      <c r="NLS102" s="38"/>
      <c r="NLY102" s="18"/>
      <c r="NLZ102" s="18"/>
      <c r="NMA102" s="38"/>
      <c r="NMG102" s="18"/>
      <c r="NMH102" s="18"/>
      <c r="NMI102" s="38"/>
      <c r="NMO102" s="18"/>
      <c r="NMP102" s="18"/>
      <c r="NMQ102" s="38"/>
      <c r="NMW102" s="18"/>
      <c r="NMX102" s="18"/>
      <c r="NMY102" s="38"/>
      <c r="NNE102" s="18"/>
      <c r="NNF102" s="18"/>
      <c r="NNG102" s="38"/>
      <c r="NNM102" s="18"/>
      <c r="NNN102" s="18"/>
      <c r="NNO102" s="38"/>
      <c r="NNU102" s="18"/>
      <c r="NNV102" s="18"/>
      <c r="NNW102" s="38"/>
      <c r="NOC102" s="18"/>
      <c r="NOD102" s="18"/>
      <c r="NOE102" s="38"/>
      <c r="NOK102" s="18"/>
      <c r="NOL102" s="18"/>
      <c r="NOM102" s="38"/>
      <c r="NOS102" s="18"/>
      <c r="NOT102" s="18"/>
      <c r="NOU102" s="38"/>
      <c r="NPA102" s="18"/>
      <c r="NPB102" s="18"/>
      <c r="NPC102" s="38"/>
      <c r="NPI102" s="18"/>
      <c r="NPJ102" s="18"/>
      <c r="NPK102" s="38"/>
      <c r="NPQ102" s="18"/>
      <c r="NPR102" s="18"/>
      <c r="NPS102" s="38"/>
      <c r="NPY102" s="18"/>
      <c r="NPZ102" s="18"/>
      <c r="NQA102" s="38"/>
      <c r="NQG102" s="18"/>
      <c r="NQH102" s="18"/>
      <c r="NQI102" s="38"/>
      <c r="NQO102" s="18"/>
      <c r="NQP102" s="18"/>
      <c r="NQQ102" s="38"/>
      <c r="NQW102" s="18"/>
      <c r="NQX102" s="18"/>
      <c r="NQY102" s="38"/>
      <c r="NRE102" s="18"/>
      <c r="NRF102" s="18"/>
      <c r="NRG102" s="38"/>
      <c r="NRM102" s="18"/>
      <c r="NRN102" s="18"/>
      <c r="NRO102" s="38"/>
      <c r="NRU102" s="18"/>
      <c r="NRV102" s="18"/>
      <c r="NRW102" s="38"/>
      <c r="NSC102" s="18"/>
      <c r="NSD102" s="18"/>
      <c r="NSE102" s="38"/>
      <c r="NSK102" s="18"/>
      <c r="NSL102" s="18"/>
      <c r="NSM102" s="38"/>
      <c r="NSS102" s="18"/>
      <c r="NST102" s="18"/>
      <c r="NSU102" s="38"/>
      <c r="NTA102" s="18"/>
      <c r="NTB102" s="18"/>
      <c r="NTC102" s="38"/>
      <c r="NTI102" s="18"/>
      <c r="NTJ102" s="18"/>
      <c r="NTK102" s="38"/>
      <c r="NTQ102" s="18"/>
      <c r="NTR102" s="18"/>
      <c r="NTS102" s="38"/>
      <c r="NTY102" s="18"/>
      <c r="NTZ102" s="18"/>
      <c r="NUA102" s="38"/>
      <c r="NUG102" s="18"/>
      <c r="NUH102" s="18"/>
      <c r="NUI102" s="38"/>
      <c r="NUO102" s="18"/>
      <c r="NUP102" s="18"/>
      <c r="NUQ102" s="38"/>
      <c r="NUW102" s="18"/>
      <c r="NUX102" s="18"/>
      <c r="NUY102" s="38"/>
      <c r="NVE102" s="18"/>
      <c r="NVF102" s="18"/>
      <c r="NVG102" s="38"/>
      <c r="NVM102" s="18"/>
      <c r="NVN102" s="18"/>
      <c r="NVO102" s="38"/>
      <c r="NVU102" s="18"/>
      <c r="NVV102" s="18"/>
      <c r="NVW102" s="38"/>
      <c r="NWC102" s="18"/>
      <c r="NWD102" s="18"/>
      <c r="NWE102" s="38"/>
      <c r="NWK102" s="18"/>
      <c r="NWL102" s="18"/>
      <c r="NWM102" s="38"/>
      <c r="NWS102" s="18"/>
      <c r="NWT102" s="18"/>
      <c r="NWU102" s="38"/>
      <c r="NXA102" s="18"/>
      <c r="NXB102" s="18"/>
      <c r="NXC102" s="38"/>
      <c r="NXI102" s="18"/>
      <c r="NXJ102" s="18"/>
      <c r="NXK102" s="38"/>
      <c r="NXQ102" s="18"/>
      <c r="NXR102" s="18"/>
      <c r="NXS102" s="38"/>
      <c r="NXY102" s="18"/>
      <c r="NXZ102" s="18"/>
      <c r="NYA102" s="38"/>
      <c r="NYG102" s="18"/>
      <c r="NYH102" s="18"/>
      <c r="NYI102" s="38"/>
      <c r="NYO102" s="18"/>
      <c r="NYP102" s="18"/>
      <c r="NYQ102" s="38"/>
      <c r="NYW102" s="18"/>
      <c r="NYX102" s="18"/>
      <c r="NYY102" s="38"/>
      <c r="NZE102" s="18"/>
      <c r="NZF102" s="18"/>
      <c r="NZG102" s="38"/>
      <c r="NZM102" s="18"/>
      <c r="NZN102" s="18"/>
      <c r="NZO102" s="38"/>
      <c r="NZU102" s="18"/>
      <c r="NZV102" s="18"/>
      <c r="NZW102" s="38"/>
      <c r="OAC102" s="18"/>
      <c r="OAD102" s="18"/>
      <c r="OAE102" s="38"/>
      <c r="OAK102" s="18"/>
      <c r="OAL102" s="18"/>
      <c r="OAM102" s="38"/>
      <c r="OAS102" s="18"/>
      <c r="OAT102" s="18"/>
      <c r="OAU102" s="38"/>
      <c r="OBA102" s="18"/>
      <c r="OBB102" s="18"/>
      <c r="OBC102" s="38"/>
      <c r="OBI102" s="18"/>
      <c r="OBJ102" s="18"/>
      <c r="OBK102" s="38"/>
      <c r="OBQ102" s="18"/>
      <c r="OBR102" s="18"/>
      <c r="OBS102" s="38"/>
      <c r="OBY102" s="18"/>
      <c r="OBZ102" s="18"/>
      <c r="OCA102" s="38"/>
      <c r="OCG102" s="18"/>
      <c r="OCH102" s="18"/>
      <c r="OCI102" s="38"/>
      <c r="OCO102" s="18"/>
      <c r="OCP102" s="18"/>
      <c r="OCQ102" s="38"/>
      <c r="OCW102" s="18"/>
      <c r="OCX102" s="18"/>
      <c r="OCY102" s="38"/>
      <c r="ODE102" s="18"/>
      <c r="ODF102" s="18"/>
      <c r="ODG102" s="38"/>
      <c r="ODM102" s="18"/>
      <c r="ODN102" s="18"/>
      <c r="ODO102" s="38"/>
      <c r="ODU102" s="18"/>
      <c r="ODV102" s="18"/>
      <c r="ODW102" s="38"/>
      <c r="OEC102" s="18"/>
      <c r="OED102" s="18"/>
      <c r="OEE102" s="38"/>
      <c r="OEK102" s="18"/>
      <c r="OEL102" s="18"/>
      <c r="OEM102" s="38"/>
      <c r="OES102" s="18"/>
      <c r="OET102" s="18"/>
      <c r="OEU102" s="38"/>
      <c r="OFA102" s="18"/>
      <c r="OFB102" s="18"/>
      <c r="OFC102" s="38"/>
      <c r="OFI102" s="18"/>
      <c r="OFJ102" s="18"/>
      <c r="OFK102" s="38"/>
      <c r="OFQ102" s="18"/>
      <c r="OFR102" s="18"/>
      <c r="OFS102" s="38"/>
      <c r="OFY102" s="18"/>
      <c r="OFZ102" s="18"/>
      <c r="OGA102" s="38"/>
      <c r="OGG102" s="18"/>
      <c r="OGH102" s="18"/>
      <c r="OGI102" s="38"/>
      <c r="OGO102" s="18"/>
      <c r="OGP102" s="18"/>
      <c r="OGQ102" s="38"/>
      <c r="OGW102" s="18"/>
      <c r="OGX102" s="18"/>
      <c r="OGY102" s="38"/>
      <c r="OHE102" s="18"/>
      <c r="OHF102" s="18"/>
      <c r="OHG102" s="38"/>
      <c r="OHM102" s="18"/>
      <c r="OHN102" s="18"/>
      <c r="OHO102" s="38"/>
      <c r="OHU102" s="18"/>
      <c r="OHV102" s="18"/>
      <c r="OHW102" s="38"/>
      <c r="OIC102" s="18"/>
      <c r="OID102" s="18"/>
      <c r="OIE102" s="38"/>
      <c r="OIK102" s="18"/>
      <c r="OIL102" s="18"/>
      <c r="OIM102" s="38"/>
      <c r="OIS102" s="18"/>
      <c r="OIT102" s="18"/>
      <c r="OIU102" s="38"/>
      <c r="OJA102" s="18"/>
      <c r="OJB102" s="18"/>
      <c r="OJC102" s="38"/>
      <c r="OJI102" s="18"/>
      <c r="OJJ102" s="18"/>
      <c r="OJK102" s="38"/>
      <c r="OJQ102" s="18"/>
      <c r="OJR102" s="18"/>
      <c r="OJS102" s="38"/>
      <c r="OJY102" s="18"/>
      <c r="OJZ102" s="18"/>
      <c r="OKA102" s="38"/>
      <c r="OKG102" s="18"/>
      <c r="OKH102" s="18"/>
      <c r="OKI102" s="38"/>
      <c r="OKO102" s="18"/>
      <c r="OKP102" s="18"/>
      <c r="OKQ102" s="38"/>
      <c r="OKW102" s="18"/>
      <c r="OKX102" s="18"/>
      <c r="OKY102" s="38"/>
      <c r="OLE102" s="18"/>
      <c r="OLF102" s="18"/>
      <c r="OLG102" s="38"/>
      <c r="OLM102" s="18"/>
      <c r="OLN102" s="18"/>
      <c r="OLO102" s="38"/>
      <c r="OLU102" s="18"/>
      <c r="OLV102" s="18"/>
      <c r="OLW102" s="38"/>
      <c r="OMC102" s="18"/>
      <c r="OMD102" s="18"/>
      <c r="OME102" s="38"/>
      <c r="OMK102" s="18"/>
      <c r="OML102" s="18"/>
      <c r="OMM102" s="38"/>
      <c r="OMS102" s="18"/>
      <c r="OMT102" s="18"/>
      <c r="OMU102" s="38"/>
      <c r="ONA102" s="18"/>
      <c r="ONB102" s="18"/>
      <c r="ONC102" s="38"/>
      <c r="ONI102" s="18"/>
      <c r="ONJ102" s="18"/>
      <c r="ONK102" s="38"/>
      <c r="ONQ102" s="18"/>
      <c r="ONR102" s="18"/>
      <c r="ONS102" s="38"/>
      <c r="ONY102" s="18"/>
      <c r="ONZ102" s="18"/>
      <c r="OOA102" s="38"/>
      <c r="OOG102" s="18"/>
      <c r="OOH102" s="18"/>
      <c r="OOI102" s="38"/>
      <c r="OOO102" s="18"/>
      <c r="OOP102" s="18"/>
      <c r="OOQ102" s="38"/>
      <c r="OOW102" s="18"/>
      <c r="OOX102" s="18"/>
      <c r="OOY102" s="38"/>
      <c r="OPE102" s="18"/>
      <c r="OPF102" s="18"/>
      <c r="OPG102" s="38"/>
      <c r="OPM102" s="18"/>
      <c r="OPN102" s="18"/>
      <c r="OPO102" s="38"/>
      <c r="OPU102" s="18"/>
      <c r="OPV102" s="18"/>
      <c r="OPW102" s="38"/>
      <c r="OQC102" s="18"/>
      <c r="OQD102" s="18"/>
      <c r="OQE102" s="38"/>
      <c r="OQK102" s="18"/>
      <c r="OQL102" s="18"/>
      <c r="OQM102" s="38"/>
      <c r="OQS102" s="18"/>
      <c r="OQT102" s="18"/>
      <c r="OQU102" s="38"/>
      <c r="ORA102" s="18"/>
      <c r="ORB102" s="18"/>
      <c r="ORC102" s="38"/>
      <c r="ORI102" s="18"/>
      <c r="ORJ102" s="18"/>
      <c r="ORK102" s="38"/>
      <c r="ORQ102" s="18"/>
      <c r="ORR102" s="18"/>
      <c r="ORS102" s="38"/>
      <c r="ORY102" s="18"/>
      <c r="ORZ102" s="18"/>
      <c r="OSA102" s="38"/>
      <c r="OSG102" s="18"/>
      <c r="OSH102" s="18"/>
      <c r="OSI102" s="38"/>
      <c r="OSO102" s="18"/>
      <c r="OSP102" s="18"/>
      <c r="OSQ102" s="38"/>
      <c r="OSW102" s="18"/>
      <c r="OSX102" s="18"/>
      <c r="OSY102" s="38"/>
      <c r="OTE102" s="18"/>
      <c r="OTF102" s="18"/>
      <c r="OTG102" s="38"/>
      <c r="OTM102" s="18"/>
      <c r="OTN102" s="18"/>
      <c r="OTO102" s="38"/>
      <c r="OTU102" s="18"/>
      <c r="OTV102" s="18"/>
      <c r="OTW102" s="38"/>
      <c r="OUC102" s="18"/>
      <c r="OUD102" s="18"/>
      <c r="OUE102" s="38"/>
      <c r="OUK102" s="18"/>
      <c r="OUL102" s="18"/>
      <c r="OUM102" s="38"/>
      <c r="OUS102" s="18"/>
      <c r="OUT102" s="18"/>
      <c r="OUU102" s="38"/>
      <c r="OVA102" s="18"/>
      <c r="OVB102" s="18"/>
      <c r="OVC102" s="38"/>
      <c r="OVI102" s="18"/>
      <c r="OVJ102" s="18"/>
      <c r="OVK102" s="38"/>
      <c r="OVQ102" s="18"/>
      <c r="OVR102" s="18"/>
      <c r="OVS102" s="38"/>
      <c r="OVY102" s="18"/>
      <c r="OVZ102" s="18"/>
      <c r="OWA102" s="38"/>
      <c r="OWG102" s="18"/>
      <c r="OWH102" s="18"/>
      <c r="OWI102" s="38"/>
      <c r="OWO102" s="18"/>
      <c r="OWP102" s="18"/>
      <c r="OWQ102" s="38"/>
      <c r="OWW102" s="18"/>
      <c r="OWX102" s="18"/>
      <c r="OWY102" s="38"/>
      <c r="OXE102" s="18"/>
      <c r="OXF102" s="18"/>
      <c r="OXG102" s="38"/>
      <c r="OXM102" s="18"/>
      <c r="OXN102" s="18"/>
      <c r="OXO102" s="38"/>
      <c r="OXU102" s="18"/>
      <c r="OXV102" s="18"/>
      <c r="OXW102" s="38"/>
      <c r="OYC102" s="18"/>
      <c r="OYD102" s="18"/>
      <c r="OYE102" s="38"/>
      <c r="OYK102" s="18"/>
      <c r="OYL102" s="18"/>
      <c r="OYM102" s="38"/>
      <c r="OYS102" s="18"/>
      <c r="OYT102" s="18"/>
      <c r="OYU102" s="38"/>
      <c r="OZA102" s="18"/>
      <c r="OZB102" s="18"/>
      <c r="OZC102" s="38"/>
      <c r="OZI102" s="18"/>
      <c r="OZJ102" s="18"/>
      <c r="OZK102" s="38"/>
      <c r="OZQ102" s="18"/>
      <c r="OZR102" s="18"/>
      <c r="OZS102" s="38"/>
      <c r="OZY102" s="18"/>
      <c r="OZZ102" s="18"/>
      <c r="PAA102" s="38"/>
      <c r="PAG102" s="18"/>
      <c r="PAH102" s="18"/>
      <c r="PAI102" s="38"/>
      <c r="PAO102" s="18"/>
      <c r="PAP102" s="18"/>
      <c r="PAQ102" s="38"/>
      <c r="PAW102" s="18"/>
      <c r="PAX102" s="18"/>
      <c r="PAY102" s="38"/>
      <c r="PBE102" s="18"/>
      <c r="PBF102" s="18"/>
      <c r="PBG102" s="38"/>
      <c r="PBM102" s="18"/>
      <c r="PBN102" s="18"/>
      <c r="PBO102" s="38"/>
      <c r="PBU102" s="18"/>
      <c r="PBV102" s="18"/>
      <c r="PBW102" s="38"/>
      <c r="PCC102" s="18"/>
      <c r="PCD102" s="18"/>
      <c r="PCE102" s="38"/>
      <c r="PCK102" s="18"/>
      <c r="PCL102" s="18"/>
      <c r="PCM102" s="38"/>
      <c r="PCS102" s="18"/>
      <c r="PCT102" s="18"/>
      <c r="PCU102" s="38"/>
      <c r="PDA102" s="18"/>
      <c r="PDB102" s="18"/>
      <c r="PDC102" s="38"/>
      <c r="PDI102" s="18"/>
      <c r="PDJ102" s="18"/>
      <c r="PDK102" s="38"/>
      <c r="PDQ102" s="18"/>
      <c r="PDR102" s="18"/>
      <c r="PDS102" s="38"/>
      <c r="PDY102" s="18"/>
      <c r="PDZ102" s="18"/>
      <c r="PEA102" s="38"/>
      <c r="PEG102" s="18"/>
      <c r="PEH102" s="18"/>
      <c r="PEI102" s="38"/>
      <c r="PEO102" s="18"/>
      <c r="PEP102" s="18"/>
      <c r="PEQ102" s="38"/>
      <c r="PEW102" s="18"/>
      <c r="PEX102" s="18"/>
      <c r="PEY102" s="38"/>
      <c r="PFE102" s="18"/>
      <c r="PFF102" s="18"/>
      <c r="PFG102" s="38"/>
      <c r="PFM102" s="18"/>
      <c r="PFN102" s="18"/>
      <c r="PFO102" s="38"/>
      <c r="PFU102" s="18"/>
      <c r="PFV102" s="18"/>
      <c r="PFW102" s="38"/>
      <c r="PGC102" s="18"/>
      <c r="PGD102" s="18"/>
      <c r="PGE102" s="38"/>
      <c r="PGK102" s="18"/>
      <c r="PGL102" s="18"/>
      <c r="PGM102" s="38"/>
      <c r="PGS102" s="18"/>
      <c r="PGT102" s="18"/>
      <c r="PGU102" s="38"/>
      <c r="PHA102" s="18"/>
      <c r="PHB102" s="18"/>
      <c r="PHC102" s="38"/>
      <c r="PHI102" s="18"/>
      <c r="PHJ102" s="18"/>
      <c r="PHK102" s="38"/>
      <c r="PHQ102" s="18"/>
      <c r="PHR102" s="18"/>
      <c r="PHS102" s="38"/>
      <c r="PHY102" s="18"/>
      <c r="PHZ102" s="18"/>
      <c r="PIA102" s="38"/>
      <c r="PIG102" s="18"/>
      <c r="PIH102" s="18"/>
      <c r="PII102" s="38"/>
      <c r="PIO102" s="18"/>
      <c r="PIP102" s="18"/>
      <c r="PIQ102" s="38"/>
      <c r="PIW102" s="18"/>
      <c r="PIX102" s="18"/>
      <c r="PIY102" s="38"/>
      <c r="PJE102" s="18"/>
      <c r="PJF102" s="18"/>
      <c r="PJG102" s="38"/>
      <c r="PJM102" s="18"/>
      <c r="PJN102" s="18"/>
      <c r="PJO102" s="38"/>
      <c r="PJU102" s="18"/>
      <c r="PJV102" s="18"/>
      <c r="PJW102" s="38"/>
      <c r="PKC102" s="18"/>
      <c r="PKD102" s="18"/>
      <c r="PKE102" s="38"/>
      <c r="PKK102" s="18"/>
      <c r="PKL102" s="18"/>
      <c r="PKM102" s="38"/>
      <c r="PKS102" s="18"/>
      <c r="PKT102" s="18"/>
      <c r="PKU102" s="38"/>
      <c r="PLA102" s="18"/>
      <c r="PLB102" s="18"/>
      <c r="PLC102" s="38"/>
      <c r="PLI102" s="18"/>
      <c r="PLJ102" s="18"/>
      <c r="PLK102" s="38"/>
      <c r="PLQ102" s="18"/>
      <c r="PLR102" s="18"/>
      <c r="PLS102" s="38"/>
      <c r="PLY102" s="18"/>
      <c r="PLZ102" s="18"/>
      <c r="PMA102" s="38"/>
      <c r="PMG102" s="18"/>
      <c r="PMH102" s="18"/>
      <c r="PMI102" s="38"/>
      <c r="PMO102" s="18"/>
      <c r="PMP102" s="18"/>
      <c r="PMQ102" s="38"/>
      <c r="PMW102" s="18"/>
      <c r="PMX102" s="18"/>
      <c r="PMY102" s="38"/>
      <c r="PNE102" s="18"/>
      <c r="PNF102" s="18"/>
      <c r="PNG102" s="38"/>
      <c r="PNM102" s="18"/>
      <c r="PNN102" s="18"/>
      <c r="PNO102" s="38"/>
      <c r="PNU102" s="18"/>
      <c r="PNV102" s="18"/>
      <c r="PNW102" s="38"/>
      <c r="POC102" s="18"/>
      <c r="POD102" s="18"/>
      <c r="POE102" s="38"/>
      <c r="POK102" s="18"/>
      <c r="POL102" s="18"/>
      <c r="POM102" s="38"/>
      <c r="POS102" s="18"/>
      <c r="POT102" s="18"/>
      <c r="POU102" s="38"/>
      <c r="PPA102" s="18"/>
      <c r="PPB102" s="18"/>
      <c r="PPC102" s="38"/>
      <c r="PPI102" s="18"/>
      <c r="PPJ102" s="18"/>
      <c r="PPK102" s="38"/>
      <c r="PPQ102" s="18"/>
      <c r="PPR102" s="18"/>
      <c r="PPS102" s="38"/>
      <c r="PPY102" s="18"/>
      <c r="PPZ102" s="18"/>
      <c r="PQA102" s="38"/>
      <c r="PQG102" s="18"/>
      <c r="PQH102" s="18"/>
      <c r="PQI102" s="38"/>
      <c r="PQO102" s="18"/>
      <c r="PQP102" s="18"/>
      <c r="PQQ102" s="38"/>
      <c r="PQW102" s="18"/>
      <c r="PQX102" s="18"/>
      <c r="PQY102" s="38"/>
      <c r="PRE102" s="18"/>
      <c r="PRF102" s="18"/>
      <c r="PRG102" s="38"/>
      <c r="PRM102" s="18"/>
      <c r="PRN102" s="18"/>
      <c r="PRO102" s="38"/>
      <c r="PRU102" s="18"/>
      <c r="PRV102" s="18"/>
      <c r="PRW102" s="38"/>
      <c r="PSC102" s="18"/>
      <c r="PSD102" s="18"/>
      <c r="PSE102" s="38"/>
      <c r="PSK102" s="18"/>
      <c r="PSL102" s="18"/>
      <c r="PSM102" s="38"/>
      <c r="PSS102" s="18"/>
      <c r="PST102" s="18"/>
      <c r="PSU102" s="38"/>
      <c r="PTA102" s="18"/>
      <c r="PTB102" s="18"/>
      <c r="PTC102" s="38"/>
      <c r="PTI102" s="18"/>
      <c r="PTJ102" s="18"/>
      <c r="PTK102" s="38"/>
      <c r="PTQ102" s="18"/>
      <c r="PTR102" s="18"/>
      <c r="PTS102" s="38"/>
      <c r="PTY102" s="18"/>
      <c r="PTZ102" s="18"/>
      <c r="PUA102" s="38"/>
      <c r="PUG102" s="18"/>
      <c r="PUH102" s="18"/>
      <c r="PUI102" s="38"/>
      <c r="PUO102" s="18"/>
      <c r="PUP102" s="18"/>
      <c r="PUQ102" s="38"/>
      <c r="PUW102" s="18"/>
      <c r="PUX102" s="18"/>
      <c r="PUY102" s="38"/>
      <c r="PVE102" s="18"/>
      <c r="PVF102" s="18"/>
      <c r="PVG102" s="38"/>
      <c r="PVM102" s="18"/>
      <c r="PVN102" s="18"/>
      <c r="PVO102" s="38"/>
      <c r="PVU102" s="18"/>
      <c r="PVV102" s="18"/>
      <c r="PVW102" s="38"/>
      <c r="PWC102" s="18"/>
      <c r="PWD102" s="18"/>
      <c r="PWE102" s="38"/>
      <c r="PWK102" s="18"/>
      <c r="PWL102" s="18"/>
      <c r="PWM102" s="38"/>
      <c r="PWS102" s="18"/>
      <c r="PWT102" s="18"/>
      <c r="PWU102" s="38"/>
      <c r="PXA102" s="18"/>
      <c r="PXB102" s="18"/>
      <c r="PXC102" s="38"/>
      <c r="PXI102" s="18"/>
      <c r="PXJ102" s="18"/>
      <c r="PXK102" s="38"/>
      <c r="PXQ102" s="18"/>
      <c r="PXR102" s="18"/>
      <c r="PXS102" s="38"/>
      <c r="PXY102" s="18"/>
      <c r="PXZ102" s="18"/>
      <c r="PYA102" s="38"/>
      <c r="PYG102" s="18"/>
      <c r="PYH102" s="18"/>
      <c r="PYI102" s="38"/>
      <c r="PYO102" s="18"/>
      <c r="PYP102" s="18"/>
      <c r="PYQ102" s="38"/>
      <c r="PYW102" s="18"/>
      <c r="PYX102" s="18"/>
      <c r="PYY102" s="38"/>
      <c r="PZE102" s="18"/>
      <c r="PZF102" s="18"/>
      <c r="PZG102" s="38"/>
      <c r="PZM102" s="18"/>
      <c r="PZN102" s="18"/>
      <c r="PZO102" s="38"/>
      <c r="PZU102" s="18"/>
      <c r="PZV102" s="18"/>
      <c r="PZW102" s="38"/>
      <c r="QAC102" s="18"/>
      <c r="QAD102" s="18"/>
      <c r="QAE102" s="38"/>
      <c r="QAK102" s="18"/>
      <c r="QAL102" s="18"/>
      <c r="QAM102" s="38"/>
      <c r="QAS102" s="18"/>
      <c r="QAT102" s="18"/>
      <c r="QAU102" s="38"/>
      <c r="QBA102" s="18"/>
      <c r="QBB102" s="18"/>
      <c r="QBC102" s="38"/>
      <c r="QBI102" s="18"/>
      <c r="QBJ102" s="18"/>
      <c r="QBK102" s="38"/>
      <c r="QBQ102" s="18"/>
      <c r="QBR102" s="18"/>
      <c r="QBS102" s="38"/>
      <c r="QBY102" s="18"/>
      <c r="QBZ102" s="18"/>
      <c r="QCA102" s="38"/>
      <c r="QCG102" s="18"/>
      <c r="QCH102" s="18"/>
      <c r="QCI102" s="38"/>
      <c r="QCO102" s="18"/>
      <c r="QCP102" s="18"/>
      <c r="QCQ102" s="38"/>
      <c r="QCW102" s="18"/>
      <c r="QCX102" s="18"/>
      <c r="QCY102" s="38"/>
      <c r="QDE102" s="18"/>
      <c r="QDF102" s="18"/>
      <c r="QDG102" s="38"/>
      <c r="QDM102" s="18"/>
      <c r="QDN102" s="18"/>
      <c r="QDO102" s="38"/>
      <c r="QDU102" s="18"/>
      <c r="QDV102" s="18"/>
      <c r="QDW102" s="38"/>
      <c r="QEC102" s="18"/>
      <c r="QED102" s="18"/>
      <c r="QEE102" s="38"/>
      <c r="QEK102" s="18"/>
      <c r="QEL102" s="18"/>
      <c r="QEM102" s="38"/>
      <c r="QES102" s="18"/>
      <c r="QET102" s="18"/>
      <c r="QEU102" s="38"/>
      <c r="QFA102" s="18"/>
      <c r="QFB102" s="18"/>
      <c r="QFC102" s="38"/>
      <c r="QFI102" s="18"/>
      <c r="QFJ102" s="18"/>
      <c r="QFK102" s="38"/>
      <c r="QFQ102" s="18"/>
      <c r="QFR102" s="18"/>
      <c r="QFS102" s="38"/>
      <c r="QFY102" s="18"/>
      <c r="QFZ102" s="18"/>
      <c r="QGA102" s="38"/>
      <c r="QGG102" s="18"/>
      <c r="QGH102" s="18"/>
      <c r="QGI102" s="38"/>
      <c r="QGO102" s="18"/>
      <c r="QGP102" s="18"/>
      <c r="QGQ102" s="38"/>
      <c r="QGW102" s="18"/>
      <c r="QGX102" s="18"/>
      <c r="QGY102" s="38"/>
      <c r="QHE102" s="18"/>
      <c r="QHF102" s="18"/>
      <c r="QHG102" s="38"/>
      <c r="QHM102" s="18"/>
      <c r="QHN102" s="18"/>
      <c r="QHO102" s="38"/>
      <c r="QHU102" s="18"/>
      <c r="QHV102" s="18"/>
      <c r="QHW102" s="38"/>
      <c r="QIC102" s="18"/>
      <c r="QID102" s="18"/>
      <c r="QIE102" s="38"/>
      <c r="QIK102" s="18"/>
      <c r="QIL102" s="18"/>
      <c r="QIM102" s="38"/>
      <c r="QIS102" s="18"/>
      <c r="QIT102" s="18"/>
      <c r="QIU102" s="38"/>
      <c r="QJA102" s="18"/>
      <c r="QJB102" s="18"/>
      <c r="QJC102" s="38"/>
      <c r="QJI102" s="18"/>
      <c r="QJJ102" s="18"/>
      <c r="QJK102" s="38"/>
      <c r="QJQ102" s="18"/>
      <c r="QJR102" s="18"/>
      <c r="QJS102" s="38"/>
      <c r="QJY102" s="18"/>
      <c r="QJZ102" s="18"/>
      <c r="QKA102" s="38"/>
      <c r="QKG102" s="18"/>
      <c r="QKH102" s="18"/>
      <c r="QKI102" s="38"/>
      <c r="QKO102" s="18"/>
      <c r="QKP102" s="18"/>
      <c r="QKQ102" s="38"/>
      <c r="QKW102" s="18"/>
      <c r="QKX102" s="18"/>
      <c r="QKY102" s="38"/>
      <c r="QLE102" s="18"/>
      <c r="QLF102" s="18"/>
      <c r="QLG102" s="38"/>
      <c r="QLM102" s="18"/>
      <c r="QLN102" s="18"/>
      <c r="QLO102" s="38"/>
      <c r="QLU102" s="18"/>
      <c r="QLV102" s="18"/>
      <c r="QLW102" s="38"/>
      <c r="QMC102" s="18"/>
      <c r="QMD102" s="18"/>
      <c r="QME102" s="38"/>
      <c r="QMK102" s="18"/>
      <c r="QML102" s="18"/>
      <c r="QMM102" s="38"/>
      <c r="QMS102" s="18"/>
      <c r="QMT102" s="18"/>
      <c r="QMU102" s="38"/>
      <c r="QNA102" s="18"/>
      <c r="QNB102" s="18"/>
      <c r="QNC102" s="38"/>
      <c r="QNI102" s="18"/>
      <c r="QNJ102" s="18"/>
      <c r="QNK102" s="38"/>
      <c r="QNQ102" s="18"/>
      <c r="QNR102" s="18"/>
      <c r="QNS102" s="38"/>
      <c r="QNY102" s="18"/>
      <c r="QNZ102" s="18"/>
      <c r="QOA102" s="38"/>
      <c r="QOG102" s="18"/>
      <c r="QOH102" s="18"/>
      <c r="QOI102" s="38"/>
      <c r="QOO102" s="18"/>
      <c r="QOP102" s="18"/>
      <c r="QOQ102" s="38"/>
      <c r="QOW102" s="18"/>
      <c r="QOX102" s="18"/>
      <c r="QOY102" s="38"/>
      <c r="QPE102" s="18"/>
      <c r="QPF102" s="18"/>
      <c r="QPG102" s="38"/>
      <c r="QPM102" s="18"/>
      <c r="QPN102" s="18"/>
      <c r="QPO102" s="38"/>
      <c r="QPU102" s="18"/>
      <c r="QPV102" s="18"/>
      <c r="QPW102" s="38"/>
      <c r="QQC102" s="18"/>
      <c r="QQD102" s="18"/>
      <c r="QQE102" s="38"/>
      <c r="QQK102" s="18"/>
      <c r="QQL102" s="18"/>
      <c r="QQM102" s="38"/>
      <c r="QQS102" s="18"/>
      <c r="QQT102" s="18"/>
      <c r="QQU102" s="38"/>
      <c r="QRA102" s="18"/>
      <c r="QRB102" s="18"/>
      <c r="QRC102" s="38"/>
      <c r="QRI102" s="18"/>
      <c r="QRJ102" s="18"/>
      <c r="QRK102" s="38"/>
      <c r="QRQ102" s="18"/>
      <c r="QRR102" s="18"/>
      <c r="QRS102" s="38"/>
      <c r="QRY102" s="18"/>
      <c r="QRZ102" s="18"/>
      <c r="QSA102" s="38"/>
      <c r="QSG102" s="18"/>
      <c r="QSH102" s="18"/>
      <c r="QSI102" s="38"/>
      <c r="QSO102" s="18"/>
      <c r="QSP102" s="18"/>
      <c r="QSQ102" s="38"/>
      <c r="QSW102" s="18"/>
      <c r="QSX102" s="18"/>
      <c r="QSY102" s="38"/>
      <c r="QTE102" s="18"/>
      <c r="QTF102" s="18"/>
      <c r="QTG102" s="38"/>
      <c r="QTM102" s="18"/>
      <c r="QTN102" s="18"/>
      <c r="QTO102" s="38"/>
      <c r="QTU102" s="18"/>
      <c r="QTV102" s="18"/>
      <c r="QTW102" s="38"/>
      <c r="QUC102" s="18"/>
      <c r="QUD102" s="18"/>
      <c r="QUE102" s="38"/>
      <c r="QUK102" s="18"/>
      <c r="QUL102" s="18"/>
      <c r="QUM102" s="38"/>
      <c r="QUS102" s="18"/>
      <c r="QUT102" s="18"/>
      <c r="QUU102" s="38"/>
      <c r="QVA102" s="18"/>
      <c r="QVB102" s="18"/>
      <c r="QVC102" s="38"/>
      <c r="QVI102" s="18"/>
      <c r="QVJ102" s="18"/>
      <c r="QVK102" s="38"/>
      <c r="QVQ102" s="18"/>
      <c r="QVR102" s="18"/>
      <c r="QVS102" s="38"/>
      <c r="QVY102" s="18"/>
      <c r="QVZ102" s="18"/>
      <c r="QWA102" s="38"/>
      <c r="QWG102" s="18"/>
      <c r="QWH102" s="18"/>
      <c r="QWI102" s="38"/>
      <c r="QWO102" s="18"/>
      <c r="QWP102" s="18"/>
      <c r="QWQ102" s="38"/>
      <c r="QWW102" s="18"/>
      <c r="QWX102" s="18"/>
      <c r="QWY102" s="38"/>
      <c r="QXE102" s="18"/>
      <c r="QXF102" s="18"/>
      <c r="QXG102" s="38"/>
      <c r="QXM102" s="18"/>
      <c r="QXN102" s="18"/>
      <c r="QXO102" s="38"/>
      <c r="QXU102" s="18"/>
      <c r="QXV102" s="18"/>
      <c r="QXW102" s="38"/>
      <c r="QYC102" s="18"/>
      <c r="QYD102" s="18"/>
      <c r="QYE102" s="38"/>
      <c r="QYK102" s="18"/>
      <c r="QYL102" s="18"/>
      <c r="QYM102" s="38"/>
      <c r="QYS102" s="18"/>
      <c r="QYT102" s="18"/>
      <c r="QYU102" s="38"/>
      <c r="QZA102" s="18"/>
      <c r="QZB102" s="18"/>
      <c r="QZC102" s="38"/>
      <c r="QZI102" s="18"/>
      <c r="QZJ102" s="18"/>
      <c r="QZK102" s="38"/>
      <c r="QZQ102" s="18"/>
      <c r="QZR102" s="18"/>
      <c r="QZS102" s="38"/>
      <c r="QZY102" s="18"/>
      <c r="QZZ102" s="18"/>
      <c r="RAA102" s="38"/>
      <c r="RAG102" s="18"/>
      <c r="RAH102" s="18"/>
      <c r="RAI102" s="38"/>
      <c r="RAO102" s="18"/>
      <c r="RAP102" s="18"/>
      <c r="RAQ102" s="38"/>
      <c r="RAW102" s="18"/>
      <c r="RAX102" s="18"/>
      <c r="RAY102" s="38"/>
      <c r="RBE102" s="18"/>
      <c r="RBF102" s="18"/>
      <c r="RBG102" s="38"/>
      <c r="RBM102" s="18"/>
      <c r="RBN102" s="18"/>
      <c r="RBO102" s="38"/>
      <c r="RBU102" s="18"/>
      <c r="RBV102" s="18"/>
      <c r="RBW102" s="38"/>
      <c r="RCC102" s="18"/>
      <c r="RCD102" s="18"/>
      <c r="RCE102" s="38"/>
      <c r="RCK102" s="18"/>
      <c r="RCL102" s="18"/>
      <c r="RCM102" s="38"/>
      <c r="RCS102" s="18"/>
      <c r="RCT102" s="18"/>
      <c r="RCU102" s="38"/>
      <c r="RDA102" s="18"/>
      <c r="RDB102" s="18"/>
      <c r="RDC102" s="38"/>
      <c r="RDI102" s="18"/>
      <c r="RDJ102" s="18"/>
      <c r="RDK102" s="38"/>
      <c r="RDQ102" s="18"/>
      <c r="RDR102" s="18"/>
      <c r="RDS102" s="38"/>
      <c r="RDY102" s="18"/>
      <c r="RDZ102" s="18"/>
      <c r="REA102" s="38"/>
      <c r="REG102" s="18"/>
      <c r="REH102" s="18"/>
      <c r="REI102" s="38"/>
      <c r="REO102" s="18"/>
      <c r="REP102" s="18"/>
      <c r="REQ102" s="38"/>
      <c r="REW102" s="18"/>
      <c r="REX102" s="18"/>
      <c r="REY102" s="38"/>
      <c r="RFE102" s="18"/>
      <c r="RFF102" s="18"/>
      <c r="RFG102" s="38"/>
      <c r="RFM102" s="18"/>
      <c r="RFN102" s="18"/>
      <c r="RFO102" s="38"/>
      <c r="RFU102" s="18"/>
      <c r="RFV102" s="18"/>
      <c r="RFW102" s="38"/>
      <c r="RGC102" s="18"/>
      <c r="RGD102" s="18"/>
      <c r="RGE102" s="38"/>
      <c r="RGK102" s="18"/>
      <c r="RGL102" s="18"/>
      <c r="RGM102" s="38"/>
      <c r="RGS102" s="18"/>
      <c r="RGT102" s="18"/>
      <c r="RGU102" s="38"/>
      <c r="RHA102" s="18"/>
      <c r="RHB102" s="18"/>
      <c r="RHC102" s="38"/>
      <c r="RHI102" s="18"/>
      <c r="RHJ102" s="18"/>
      <c r="RHK102" s="38"/>
      <c r="RHQ102" s="18"/>
      <c r="RHR102" s="18"/>
      <c r="RHS102" s="38"/>
      <c r="RHY102" s="18"/>
      <c r="RHZ102" s="18"/>
      <c r="RIA102" s="38"/>
      <c r="RIG102" s="18"/>
      <c r="RIH102" s="18"/>
      <c r="RII102" s="38"/>
      <c r="RIO102" s="18"/>
      <c r="RIP102" s="18"/>
      <c r="RIQ102" s="38"/>
      <c r="RIW102" s="18"/>
      <c r="RIX102" s="18"/>
      <c r="RIY102" s="38"/>
      <c r="RJE102" s="18"/>
      <c r="RJF102" s="18"/>
      <c r="RJG102" s="38"/>
      <c r="RJM102" s="18"/>
      <c r="RJN102" s="18"/>
      <c r="RJO102" s="38"/>
      <c r="RJU102" s="18"/>
      <c r="RJV102" s="18"/>
      <c r="RJW102" s="38"/>
      <c r="RKC102" s="18"/>
      <c r="RKD102" s="18"/>
      <c r="RKE102" s="38"/>
      <c r="RKK102" s="18"/>
      <c r="RKL102" s="18"/>
      <c r="RKM102" s="38"/>
      <c r="RKS102" s="18"/>
      <c r="RKT102" s="18"/>
      <c r="RKU102" s="38"/>
      <c r="RLA102" s="18"/>
      <c r="RLB102" s="18"/>
      <c r="RLC102" s="38"/>
      <c r="RLI102" s="18"/>
      <c r="RLJ102" s="18"/>
      <c r="RLK102" s="38"/>
      <c r="RLQ102" s="18"/>
      <c r="RLR102" s="18"/>
      <c r="RLS102" s="38"/>
      <c r="RLY102" s="18"/>
      <c r="RLZ102" s="18"/>
      <c r="RMA102" s="38"/>
      <c r="RMG102" s="18"/>
      <c r="RMH102" s="18"/>
      <c r="RMI102" s="38"/>
      <c r="RMO102" s="18"/>
      <c r="RMP102" s="18"/>
      <c r="RMQ102" s="38"/>
      <c r="RMW102" s="18"/>
      <c r="RMX102" s="18"/>
      <c r="RMY102" s="38"/>
      <c r="RNE102" s="18"/>
      <c r="RNF102" s="18"/>
      <c r="RNG102" s="38"/>
      <c r="RNM102" s="18"/>
      <c r="RNN102" s="18"/>
      <c r="RNO102" s="38"/>
      <c r="RNU102" s="18"/>
      <c r="RNV102" s="18"/>
      <c r="RNW102" s="38"/>
      <c r="ROC102" s="18"/>
      <c r="ROD102" s="18"/>
      <c r="ROE102" s="38"/>
      <c r="ROK102" s="18"/>
      <c r="ROL102" s="18"/>
      <c r="ROM102" s="38"/>
      <c r="ROS102" s="18"/>
      <c r="ROT102" s="18"/>
      <c r="ROU102" s="38"/>
      <c r="RPA102" s="18"/>
      <c r="RPB102" s="18"/>
      <c r="RPC102" s="38"/>
      <c r="RPI102" s="18"/>
      <c r="RPJ102" s="18"/>
      <c r="RPK102" s="38"/>
      <c r="RPQ102" s="18"/>
      <c r="RPR102" s="18"/>
      <c r="RPS102" s="38"/>
      <c r="RPY102" s="18"/>
      <c r="RPZ102" s="18"/>
      <c r="RQA102" s="38"/>
      <c r="RQG102" s="18"/>
      <c r="RQH102" s="18"/>
      <c r="RQI102" s="38"/>
      <c r="RQO102" s="18"/>
      <c r="RQP102" s="18"/>
      <c r="RQQ102" s="38"/>
      <c r="RQW102" s="18"/>
      <c r="RQX102" s="18"/>
      <c r="RQY102" s="38"/>
      <c r="RRE102" s="18"/>
      <c r="RRF102" s="18"/>
      <c r="RRG102" s="38"/>
      <c r="RRM102" s="18"/>
      <c r="RRN102" s="18"/>
      <c r="RRO102" s="38"/>
      <c r="RRU102" s="18"/>
      <c r="RRV102" s="18"/>
      <c r="RRW102" s="38"/>
      <c r="RSC102" s="18"/>
      <c r="RSD102" s="18"/>
      <c r="RSE102" s="38"/>
      <c r="RSK102" s="18"/>
      <c r="RSL102" s="18"/>
      <c r="RSM102" s="38"/>
      <c r="RSS102" s="18"/>
      <c r="RST102" s="18"/>
      <c r="RSU102" s="38"/>
      <c r="RTA102" s="18"/>
      <c r="RTB102" s="18"/>
      <c r="RTC102" s="38"/>
      <c r="RTI102" s="18"/>
      <c r="RTJ102" s="18"/>
      <c r="RTK102" s="38"/>
      <c r="RTQ102" s="18"/>
      <c r="RTR102" s="18"/>
      <c r="RTS102" s="38"/>
      <c r="RTY102" s="18"/>
      <c r="RTZ102" s="18"/>
      <c r="RUA102" s="38"/>
      <c r="RUG102" s="18"/>
      <c r="RUH102" s="18"/>
      <c r="RUI102" s="38"/>
      <c r="RUO102" s="18"/>
      <c r="RUP102" s="18"/>
      <c r="RUQ102" s="38"/>
      <c r="RUW102" s="18"/>
      <c r="RUX102" s="18"/>
      <c r="RUY102" s="38"/>
      <c r="RVE102" s="18"/>
      <c r="RVF102" s="18"/>
      <c r="RVG102" s="38"/>
      <c r="RVM102" s="18"/>
      <c r="RVN102" s="18"/>
      <c r="RVO102" s="38"/>
      <c r="RVU102" s="18"/>
      <c r="RVV102" s="18"/>
      <c r="RVW102" s="38"/>
      <c r="RWC102" s="18"/>
      <c r="RWD102" s="18"/>
      <c r="RWE102" s="38"/>
      <c r="RWK102" s="18"/>
      <c r="RWL102" s="18"/>
      <c r="RWM102" s="38"/>
      <c r="RWS102" s="18"/>
      <c r="RWT102" s="18"/>
      <c r="RWU102" s="38"/>
      <c r="RXA102" s="18"/>
      <c r="RXB102" s="18"/>
      <c r="RXC102" s="38"/>
      <c r="RXI102" s="18"/>
      <c r="RXJ102" s="18"/>
      <c r="RXK102" s="38"/>
      <c r="RXQ102" s="18"/>
      <c r="RXR102" s="18"/>
      <c r="RXS102" s="38"/>
      <c r="RXY102" s="18"/>
      <c r="RXZ102" s="18"/>
      <c r="RYA102" s="38"/>
      <c r="RYG102" s="18"/>
      <c r="RYH102" s="18"/>
      <c r="RYI102" s="38"/>
      <c r="RYO102" s="18"/>
      <c r="RYP102" s="18"/>
      <c r="RYQ102" s="38"/>
      <c r="RYW102" s="18"/>
      <c r="RYX102" s="18"/>
      <c r="RYY102" s="38"/>
      <c r="RZE102" s="18"/>
      <c r="RZF102" s="18"/>
      <c r="RZG102" s="38"/>
      <c r="RZM102" s="18"/>
      <c r="RZN102" s="18"/>
      <c r="RZO102" s="38"/>
      <c r="RZU102" s="18"/>
      <c r="RZV102" s="18"/>
      <c r="RZW102" s="38"/>
      <c r="SAC102" s="18"/>
      <c r="SAD102" s="18"/>
      <c r="SAE102" s="38"/>
      <c r="SAK102" s="18"/>
      <c r="SAL102" s="18"/>
      <c r="SAM102" s="38"/>
      <c r="SAS102" s="18"/>
      <c r="SAT102" s="18"/>
      <c r="SAU102" s="38"/>
      <c r="SBA102" s="18"/>
      <c r="SBB102" s="18"/>
      <c r="SBC102" s="38"/>
      <c r="SBI102" s="18"/>
      <c r="SBJ102" s="18"/>
      <c r="SBK102" s="38"/>
      <c r="SBQ102" s="18"/>
      <c r="SBR102" s="18"/>
      <c r="SBS102" s="38"/>
      <c r="SBY102" s="18"/>
      <c r="SBZ102" s="18"/>
      <c r="SCA102" s="38"/>
      <c r="SCG102" s="18"/>
      <c r="SCH102" s="18"/>
      <c r="SCI102" s="38"/>
      <c r="SCO102" s="18"/>
      <c r="SCP102" s="18"/>
      <c r="SCQ102" s="38"/>
      <c r="SCW102" s="18"/>
      <c r="SCX102" s="18"/>
      <c r="SCY102" s="38"/>
      <c r="SDE102" s="18"/>
      <c r="SDF102" s="18"/>
      <c r="SDG102" s="38"/>
      <c r="SDM102" s="18"/>
      <c r="SDN102" s="18"/>
      <c r="SDO102" s="38"/>
      <c r="SDU102" s="18"/>
      <c r="SDV102" s="18"/>
      <c r="SDW102" s="38"/>
      <c r="SEC102" s="18"/>
      <c r="SED102" s="18"/>
      <c r="SEE102" s="38"/>
      <c r="SEK102" s="18"/>
      <c r="SEL102" s="18"/>
      <c r="SEM102" s="38"/>
      <c r="SES102" s="18"/>
      <c r="SET102" s="18"/>
      <c r="SEU102" s="38"/>
      <c r="SFA102" s="18"/>
      <c r="SFB102" s="18"/>
      <c r="SFC102" s="38"/>
      <c r="SFI102" s="18"/>
      <c r="SFJ102" s="18"/>
      <c r="SFK102" s="38"/>
      <c r="SFQ102" s="18"/>
      <c r="SFR102" s="18"/>
      <c r="SFS102" s="38"/>
      <c r="SFY102" s="18"/>
      <c r="SFZ102" s="18"/>
      <c r="SGA102" s="38"/>
      <c r="SGG102" s="18"/>
      <c r="SGH102" s="18"/>
      <c r="SGI102" s="38"/>
      <c r="SGO102" s="18"/>
      <c r="SGP102" s="18"/>
      <c r="SGQ102" s="38"/>
      <c r="SGW102" s="18"/>
      <c r="SGX102" s="18"/>
      <c r="SGY102" s="38"/>
      <c r="SHE102" s="18"/>
      <c r="SHF102" s="18"/>
      <c r="SHG102" s="38"/>
      <c r="SHM102" s="18"/>
      <c r="SHN102" s="18"/>
      <c r="SHO102" s="38"/>
      <c r="SHU102" s="18"/>
      <c r="SHV102" s="18"/>
      <c r="SHW102" s="38"/>
      <c r="SIC102" s="18"/>
      <c r="SID102" s="18"/>
      <c r="SIE102" s="38"/>
      <c r="SIK102" s="18"/>
      <c r="SIL102" s="18"/>
      <c r="SIM102" s="38"/>
      <c r="SIS102" s="18"/>
      <c r="SIT102" s="18"/>
      <c r="SIU102" s="38"/>
      <c r="SJA102" s="18"/>
      <c r="SJB102" s="18"/>
      <c r="SJC102" s="38"/>
      <c r="SJI102" s="18"/>
      <c r="SJJ102" s="18"/>
      <c r="SJK102" s="38"/>
      <c r="SJQ102" s="18"/>
      <c r="SJR102" s="18"/>
      <c r="SJS102" s="38"/>
      <c r="SJY102" s="18"/>
      <c r="SJZ102" s="18"/>
      <c r="SKA102" s="38"/>
      <c r="SKG102" s="18"/>
      <c r="SKH102" s="18"/>
      <c r="SKI102" s="38"/>
      <c r="SKO102" s="18"/>
      <c r="SKP102" s="18"/>
      <c r="SKQ102" s="38"/>
      <c r="SKW102" s="18"/>
      <c r="SKX102" s="18"/>
      <c r="SKY102" s="38"/>
      <c r="SLE102" s="18"/>
      <c r="SLF102" s="18"/>
      <c r="SLG102" s="38"/>
      <c r="SLM102" s="18"/>
      <c r="SLN102" s="18"/>
      <c r="SLO102" s="38"/>
      <c r="SLU102" s="18"/>
      <c r="SLV102" s="18"/>
      <c r="SLW102" s="38"/>
      <c r="SMC102" s="18"/>
      <c r="SMD102" s="18"/>
      <c r="SME102" s="38"/>
      <c r="SMK102" s="18"/>
      <c r="SML102" s="18"/>
      <c r="SMM102" s="38"/>
      <c r="SMS102" s="18"/>
      <c r="SMT102" s="18"/>
      <c r="SMU102" s="38"/>
      <c r="SNA102" s="18"/>
      <c r="SNB102" s="18"/>
      <c r="SNC102" s="38"/>
      <c r="SNI102" s="18"/>
      <c r="SNJ102" s="18"/>
      <c r="SNK102" s="38"/>
      <c r="SNQ102" s="18"/>
      <c r="SNR102" s="18"/>
      <c r="SNS102" s="38"/>
      <c r="SNY102" s="18"/>
      <c r="SNZ102" s="18"/>
      <c r="SOA102" s="38"/>
      <c r="SOG102" s="18"/>
      <c r="SOH102" s="18"/>
      <c r="SOI102" s="38"/>
      <c r="SOO102" s="18"/>
      <c r="SOP102" s="18"/>
      <c r="SOQ102" s="38"/>
      <c r="SOW102" s="18"/>
      <c r="SOX102" s="18"/>
      <c r="SOY102" s="38"/>
      <c r="SPE102" s="18"/>
      <c r="SPF102" s="18"/>
      <c r="SPG102" s="38"/>
      <c r="SPM102" s="18"/>
      <c r="SPN102" s="18"/>
      <c r="SPO102" s="38"/>
      <c r="SPU102" s="18"/>
      <c r="SPV102" s="18"/>
      <c r="SPW102" s="38"/>
      <c r="SQC102" s="18"/>
      <c r="SQD102" s="18"/>
      <c r="SQE102" s="38"/>
      <c r="SQK102" s="18"/>
      <c r="SQL102" s="18"/>
      <c r="SQM102" s="38"/>
      <c r="SQS102" s="18"/>
      <c r="SQT102" s="18"/>
      <c r="SQU102" s="38"/>
      <c r="SRA102" s="18"/>
      <c r="SRB102" s="18"/>
      <c r="SRC102" s="38"/>
      <c r="SRI102" s="18"/>
      <c r="SRJ102" s="18"/>
      <c r="SRK102" s="38"/>
      <c r="SRQ102" s="18"/>
      <c r="SRR102" s="18"/>
      <c r="SRS102" s="38"/>
      <c r="SRY102" s="18"/>
      <c r="SRZ102" s="18"/>
      <c r="SSA102" s="38"/>
      <c r="SSG102" s="18"/>
      <c r="SSH102" s="18"/>
      <c r="SSI102" s="38"/>
      <c r="SSO102" s="18"/>
      <c r="SSP102" s="18"/>
      <c r="SSQ102" s="38"/>
      <c r="SSW102" s="18"/>
      <c r="SSX102" s="18"/>
      <c r="SSY102" s="38"/>
      <c r="STE102" s="18"/>
      <c r="STF102" s="18"/>
      <c r="STG102" s="38"/>
      <c r="STM102" s="18"/>
      <c r="STN102" s="18"/>
      <c r="STO102" s="38"/>
      <c r="STU102" s="18"/>
      <c r="STV102" s="18"/>
      <c r="STW102" s="38"/>
      <c r="SUC102" s="18"/>
      <c r="SUD102" s="18"/>
      <c r="SUE102" s="38"/>
      <c r="SUK102" s="18"/>
      <c r="SUL102" s="18"/>
      <c r="SUM102" s="38"/>
      <c r="SUS102" s="18"/>
      <c r="SUT102" s="18"/>
      <c r="SUU102" s="38"/>
      <c r="SVA102" s="18"/>
      <c r="SVB102" s="18"/>
      <c r="SVC102" s="38"/>
      <c r="SVI102" s="18"/>
      <c r="SVJ102" s="18"/>
      <c r="SVK102" s="38"/>
      <c r="SVQ102" s="18"/>
      <c r="SVR102" s="18"/>
      <c r="SVS102" s="38"/>
      <c r="SVY102" s="18"/>
      <c r="SVZ102" s="18"/>
      <c r="SWA102" s="38"/>
      <c r="SWG102" s="18"/>
      <c r="SWH102" s="18"/>
      <c r="SWI102" s="38"/>
      <c r="SWO102" s="18"/>
      <c r="SWP102" s="18"/>
      <c r="SWQ102" s="38"/>
      <c r="SWW102" s="18"/>
      <c r="SWX102" s="18"/>
      <c r="SWY102" s="38"/>
      <c r="SXE102" s="18"/>
      <c r="SXF102" s="18"/>
      <c r="SXG102" s="38"/>
      <c r="SXM102" s="18"/>
      <c r="SXN102" s="18"/>
      <c r="SXO102" s="38"/>
      <c r="SXU102" s="18"/>
      <c r="SXV102" s="18"/>
      <c r="SXW102" s="38"/>
      <c r="SYC102" s="18"/>
      <c r="SYD102" s="18"/>
      <c r="SYE102" s="38"/>
      <c r="SYK102" s="18"/>
      <c r="SYL102" s="18"/>
      <c r="SYM102" s="38"/>
      <c r="SYS102" s="18"/>
      <c r="SYT102" s="18"/>
      <c r="SYU102" s="38"/>
      <c r="SZA102" s="18"/>
      <c r="SZB102" s="18"/>
      <c r="SZC102" s="38"/>
      <c r="SZI102" s="18"/>
      <c r="SZJ102" s="18"/>
      <c r="SZK102" s="38"/>
      <c r="SZQ102" s="18"/>
      <c r="SZR102" s="18"/>
      <c r="SZS102" s="38"/>
      <c r="SZY102" s="18"/>
      <c r="SZZ102" s="18"/>
      <c r="TAA102" s="38"/>
      <c r="TAG102" s="18"/>
      <c r="TAH102" s="18"/>
      <c r="TAI102" s="38"/>
      <c r="TAO102" s="18"/>
      <c r="TAP102" s="18"/>
      <c r="TAQ102" s="38"/>
      <c r="TAW102" s="18"/>
      <c r="TAX102" s="18"/>
      <c r="TAY102" s="38"/>
      <c r="TBE102" s="18"/>
      <c r="TBF102" s="18"/>
      <c r="TBG102" s="38"/>
      <c r="TBM102" s="18"/>
      <c r="TBN102" s="18"/>
      <c r="TBO102" s="38"/>
      <c r="TBU102" s="18"/>
      <c r="TBV102" s="18"/>
      <c r="TBW102" s="38"/>
      <c r="TCC102" s="18"/>
      <c r="TCD102" s="18"/>
      <c r="TCE102" s="38"/>
      <c r="TCK102" s="18"/>
      <c r="TCL102" s="18"/>
      <c r="TCM102" s="38"/>
      <c r="TCS102" s="18"/>
      <c r="TCT102" s="18"/>
      <c r="TCU102" s="38"/>
      <c r="TDA102" s="18"/>
      <c r="TDB102" s="18"/>
      <c r="TDC102" s="38"/>
      <c r="TDI102" s="18"/>
      <c r="TDJ102" s="18"/>
      <c r="TDK102" s="38"/>
      <c r="TDQ102" s="18"/>
      <c r="TDR102" s="18"/>
      <c r="TDS102" s="38"/>
      <c r="TDY102" s="18"/>
      <c r="TDZ102" s="18"/>
      <c r="TEA102" s="38"/>
      <c r="TEG102" s="18"/>
      <c r="TEH102" s="18"/>
      <c r="TEI102" s="38"/>
      <c r="TEO102" s="18"/>
      <c r="TEP102" s="18"/>
      <c r="TEQ102" s="38"/>
      <c r="TEW102" s="18"/>
      <c r="TEX102" s="18"/>
      <c r="TEY102" s="38"/>
      <c r="TFE102" s="18"/>
      <c r="TFF102" s="18"/>
      <c r="TFG102" s="38"/>
      <c r="TFM102" s="18"/>
      <c r="TFN102" s="18"/>
      <c r="TFO102" s="38"/>
      <c r="TFU102" s="18"/>
      <c r="TFV102" s="18"/>
      <c r="TFW102" s="38"/>
      <c r="TGC102" s="18"/>
      <c r="TGD102" s="18"/>
      <c r="TGE102" s="38"/>
      <c r="TGK102" s="18"/>
      <c r="TGL102" s="18"/>
      <c r="TGM102" s="38"/>
      <c r="TGS102" s="18"/>
      <c r="TGT102" s="18"/>
      <c r="TGU102" s="38"/>
      <c r="THA102" s="18"/>
      <c r="THB102" s="18"/>
      <c r="THC102" s="38"/>
      <c r="THI102" s="18"/>
      <c r="THJ102" s="18"/>
      <c r="THK102" s="38"/>
      <c r="THQ102" s="18"/>
      <c r="THR102" s="18"/>
      <c r="THS102" s="38"/>
      <c r="THY102" s="18"/>
      <c r="THZ102" s="18"/>
      <c r="TIA102" s="38"/>
      <c r="TIG102" s="18"/>
      <c r="TIH102" s="18"/>
      <c r="TII102" s="38"/>
      <c r="TIO102" s="18"/>
      <c r="TIP102" s="18"/>
      <c r="TIQ102" s="38"/>
      <c r="TIW102" s="18"/>
      <c r="TIX102" s="18"/>
      <c r="TIY102" s="38"/>
      <c r="TJE102" s="18"/>
      <c r="TJF102" s="18"/>
      <c r="TJG102" s="38"/>
      <c r="TJM102" s="18"/>
      <c r="TJN102" s="18"/>
      <c r="TJO102" s="38"/>
      <c r="TJU102" s="18"/>
      <c r="TJV102" s="18"/>
      <c r="TJW102" s="38"/>
      <c r="TKC102" s="18"/>
      <c r="TKD102" s="18"/>
      <c r="TKE102" s="38"/>
      <c r="TKK102" s="18"/>
      <c r="TKL102" s="18"/>
      <c r="TKM102" s="38"/>
      <c r="TKS102" s="18"/>
      <c r="TKT102" s="18"/>
      <c r="TKU102" s="38"/>
      <c r="TLA102" s="18"/>
      <c r="TLB102" s="18"/>
      <c r="TLC102" s="38"/>
      <c r="TLI102" s="18"/>
      <c r="TLJ102" s="18"/>
      <c r="TLK102" s="38"/>
      <c r="TLQ102" s="18"/>
      <c r="TLR102" s="18"/>
      <c r="TLS102" s="38"/>
      <c r="TLY102" s="18"/>
      <c r="TLZ102" s="18"/>
      <c r="TMA102" s="38"/>
      <c r="TMG102" s="18"/>
      <c r="TMH102" s="18"/>
      <c r="TMI102" s="38"/>
      <c r="TMO102" s="18"/>
      <c r="TMP102" s="18"/>
      <c r="TMQ102" s="38"/>
      <c r="TMW102" s="18"/>
      <c r="TMX102" s="18"/>
      <c r="TMY102" s="38"/>
      <c r="TNE102" s="18"/>
      <c r="TNF102" s="18"/>
      <c r="TNG102" s="38"/>
      <c r="TNM102" s="18"/>
      <c r="TNN102" s="18"/>
      <c r="TNO102" s="38"/>
      <c r="TNU102" s="18"/>
      <c r="TNV102" s="18"/>
      <c r="TNW102" s="38"/>
      <c r="TOC102" s="18"/>
      <c r="TOD102" s="18"/>
      <c r="TOE102" s="38"/>
      <c r="TOK102" s="18"/>
      <c r="TOL102" s="18"/>
      <c r="TOM102" s="38"/>
      <c r="TOS102" s="18"/>
      <c r="TOT102" s="18"/>
      <c r="TOU102" s="38"/>
      <c r="TPA102" s="18"/>
      <c r="TPB102" s="18"/>
      <c r="TPC102" s="38"/>
      <c r="TPI102" s="18"/>
      <c r="TPJ102" s="18"/>
      <c r="TPK102" s="38"/>
      <c r="TPQ102" s="18"/>
      <c r="TPR102" s="18"/>
      <c r="TPS102" s="38"/>
      <c r="TPY102" s="18"/>
      <c r="TPZ102" s="18"/>
      <c r="TQA102" s="38"/>
      <c r="TQG102" s="18"/>
      <c r="TQH102" s="18"/>
      <c r="TQI102" s="38"/>
      <c r="TQO102" s="18"/>
      <c r="TQP102" s="18"/>
      <c r="TQQ102" s="38"/>
      <c r="TQW102" s="18"/>
      <c r="TQX102" s="18"/>
      <c r="TQY102" s="38"/>
      <c r="TRE102" s="18"/>
      <c r="TRF102" s="18"/>
      <c r="TRG102" s="38"/>
      <c r="TRM102" s="18"/>
      <c r="TRN102" s="18"/>
      <c r="TRO102" s="38"/>
      <c r="TRU102" s="18"/>
      <c r="TRV102" s="18"/>
      <c r="TRW102" s="38"/>
      <c r="TSC102" s="18"/>
      <c r="TSD102" s="18"/>
      <c r="TSE102" s="38"/>
      <c r="TSK102" s="18"/>
      <c r="TSL102" s="18"/>
      <c r="TSM102" s="38"/>
      <c r="TSS102" s="18"/>
      <c r="TST102" s="18"/>
      <c r="TSU102" s="38"/>
      <c r="TTA102" s="18"/>
      <c r="TTB102" s="18"/>
      <c r="TTC102" s="38"/>
      <c r="TTI102" s="18"/>
      <c r="TTJ102" s="18"/>
      <c r="TTK102" s="38"/>
      <c r="TTQ102" s="18"/>
      <c r="TTR102" s="18"/>
      <c r="TTS102" s="38"/>
      <c r="TTY102" s="18"/>
      <c r="TTZ102" s="18"/>
      <c r="TUA102" s="38"/>
      <c r="TUG102" s="18"/>
      <c r="TUH102" s="18"/>
      <c r="TUI102" s="38"/>
      <c r="TUO102" s="18"/>
      <c r="TUP102" s="18"/>
      <c r="TUQ102" s="38"/>
      <c r="TUW102" s="18"/>
      <c r="TUX102" s="18"/>
      <c r="TUY102" s="38"/>
      <c r="TVE102" s="18"/>
      <c r="TVF102" s="18"/>
      <c r="TVG102" s="38"/>
      <c r="TVM102" s="18"/>
      <c r="TVN102" s="18"/>
      <c r="TVO102" s="38"/>
      <c r="TVU102" s="18"/>
      <c r="TVV102" s="18"/>
      <c r="TVW102" s="38"/>
      <c r="TWC102" s="18"/>
      <c r="TWD102" s="18"/>
      <c r="TWE102" s="38"/>
      <c r="TWK102" s="18"/>
      <c r="TWL102" s="18"/>
      <c r="TWM102" s="38"/>
      <c r="TWS102" s="18"/>
      <c r="TWT102" s="18"/>
      <c r="TWU102" s="38"/>
      <c r="TXA102" s="18"/>
      <c r="TXB102" s="18"/>
      <c r="TXC102" s="38"/>
      <c r="TXI102" s="18"/>
      <c r="TXJ102" s="18"/>
      <c r="TXK102" s="38"/>
      <c r="TXQ102" s="18"/>
      <c r="TXR102" s="18"/>
      <c r="TXS102" s="38"/>
      <c r="TXY102" s="18"/>
      <c r="TXZ102" s="18"/>
      <c r="TYA102" s="38"/>
      <c r="TYG102" s="18"/>
      <c r="TYH102" s="18"/>
      <c r="TYI102" s="38"/>
      <c r="TYO102" s="18"/>
      <c r="TYP102" s="18"/>
      <c r="TYQ102" s="38"/>
      <c r="TYW102" s="18"/>
      <c r="TYX102" s="18"/>
      <c r="TYY102" s="38"/>
      <c r="TZE102" s="18"/>
      <c r="TZF102" s="18"/>
      <c r="TZG102" s="38"/>
      <c r="TZM102" s="18"/>
      <c r="TZN102" s="18"/>
      <c r="TZO102" s="38"/>
      <c r="TZU102" s="18"/>
      <c r="TZV102" s="18"/>
      <c r="TZW102" s="38"/>
      <c r="UAC102" s="18"/>
      <c r="UAD102" s="18"/>
      <c r="UAE102" s="38"/>
      <c r="UAK102" s="18"/>
      <c r="UAL102" s="18"/>
      <c r="UAM102" s="38"/>
      <c r="UAS102" s="18"/>
      <c r="UAT102" s="18"/>
      <c r="UAU102" s="38"/>
      <c r="UBA102" s="18"/>
      <c r="UBB102" s="18"/>
      <c r="UBC102" s="38"/>
      <c r="UBI102" s="18"/>
      <c r="UBJ102" s="18"/>
      <c r="UBK102" s="38"/>
      <c r="UBQ102" s="18"/>
      <c r="UBR102" s="18"/>
      <c r="UBS102" s="38"/>
      <c r="UBY102" s="18"/>
      <c r="UBZ102" s="18"/>
      <c r="UCA102" s="38"/>
      <c r="UCG102" s="18"/>
      <c r="UCH102" s="18"/>
      <c r="UCI102" s="38"/>
      <c r="UCO102" s="18"/>
      <c r="UCP102" s="18"/>
      <c r="UCQ102" s="38"/>
      <c r="UCW102" s="18"/>
      <c r="UCX102" s="18"/>
      <c r="UCY102" s="38"/>
      <c r="UDE102" s="18"/>
      <c r="UDF102" s="18"/>
      <c r="UDG102" s="38"/>
      <c r="UDM102" s="18"/>
      <c r="UDN102" s="18"/>
      <c r="UDO102" s="38"/>
      <c r="UDU102" s="18"/>
      <c r="UDV102" s="18"/>
      <c r="UDW102" s="38"/>
      <c r="UEC102" s="18"/>
      <c r="UED102" s="18"/>
      <c r="UEE102" s="38"/>
      <c r="UEK102" s="18"/>
      <c r="UEL102" s="18"/>
      <c r="UEM102" s="38"/>
      <c r="UES102" s="18"/>
      <c r="UET102" s="18"/>
      <c r="UEU102" s="38"/>
      <c r="UFA102" s="18"/>
      <c r="UFB102" s="18"/>
      <c r="UFC102" s="38"/>
      <c r="UFI102" s="18"/>
      <c r="UFJ102" s="18"/>
      <c r="UFK102" s="38"/>
      <c r="UFQ102" s="18"/>
      <c r="UFR102" s="18"/>
      <c r="UFS102" s="38"/>
      <c r="UFY102" s="18"/>
      <c r="UFZ102" s="18"/>
      <c r="UGA102" s="38"/>
      <c r="UGG102" s="18"/>
      <c r="UGH102" s="18"/>
      <c r="UGI102" s="38"/>
      <c r="UGO102" s="18"/>
      <c r="UGP102" s="18"/>
      <c r="UGQ102" s="38"/>
      <c r="UGW102" s="18"/>
      <c r="UGX102" s="18"/>
      <c r="UGY102" s="38"/>
      <c r="UHE102" s="18"/>
      <c r="UHF102" s="18"/>
      <c r="UHG102" s="38"/>
      <c r="UHM102" s="18"/>
      <c r="UHN102" s="18"/>
      <c r="UHO102" s="38"/>
      <c r="UHU102" s="18"/>
      <c r="UHV102" s="18"/>
      <c r="UHW102" s="38"/>
      <c r="UIC102" s="18"/>
      <c r="UID102" s="18"/>
      <c r="UIE102" s="38"/>
      <c r="UIK102" s="18"/>
      <c r="UIL102" s="18"/>
      <c r="UIM102" s="38"/>
      <c r="UIS102" s="18"/>
      <c r="UIT102" s="18"/>
      <c r="UIU102" s="38"/>
      <c r="UJA102" s="18"/>
      <c r="UJB102" s="18"/>
      <c r="UJC102" s="38"/>
      <c r="UJI102" s="18"/>
      <c r="UJJ102" s="18"/>
      <c r="UJK102" s="38"/>
      <c r="UJQ102" s="18"/>
      <c r="UJR102" s="18"/>
      <c r="UJS102" s="38"/>
      <c r="UJY102" s="18"/>
      <c r="UJZ102" s="18"/>
      <c r="UKA102" s="38"/>
      <c r="UKG102" s="18"/>
      <c r="UKH102" s="18"/>
      <c r="UKI102" s="38"/>
      <c r="UKO102" s="18"/>
      <c r="UKP102" s="18"/>
      <c r="UKQ102" s="38"/>
      <c r="UKW102" s="18"/>
      <c r="UKX102" s="18"/>
      <c r="UKY102" s="38"/>
      <c r="ULE102" s="18"/>
      <c r="ULF102" s="18"/>
      <c r="ULG102" s="38"/>
      <c r="ULM102" s="18"/>
      <c r="ULN102" s="18"/>
      <c r="ULO102" s="38"/>
      <c r="ULU102" s="18"/>
      <c r="ULV102" s="18"/>
      <c r="ULW102" s="38"/>
      <c r="UMC102" s="18"/>
      <c r="UMD102" s="18"/>
      <c r="UME102" s="38"/>
      <c r="UMK102" s="18"/>
      <c r="UML102" s="18"/>
      <c r="UMM102" s="38"/>
      <c r="UMS102" s="18"/>
      <c r="UMT102" s="18"/>
      <c r="UMU102" s="38"/>
      <c r="UNA102" s="18"/>
      <c r="UNB102" s="18"/>
      <c r="UNC102" s="38"/>
      <c r="UNI102" s="18"/>
      <c r="UNJ102" s="18"/>
      <c r="UNK102" s="38"/>
      <c r="UNQ102" s="18"/>
      <c r="UNR102" s="18"/>
      <c r="UNS102" s="38"/>
      <c r="UNY102" s="18"/>
      <c r="UNZ102" s="18"/>
      <c r="UOA102" s="38"/>
      <c r="UOG102" s="18"/>
      <c r="UOH102" s="18"/>
      <c r="UOI102" s="38"/>
      <c r="UOO102" s="18"/>
      <c r="UOP102" s="18"/>
      <c r="UOQ102" s="38"/>
      <c r="UOW102" s="18"/>
      <c r="UOX102" s="18"/>
      <c r="UOY102" s="38"/>
      <c r="UPE102" s="18"/>
      <c r="UPF102" s="18"/>
      <c r="UPG102" s="38"/>
      <c r="UPM102" s="18"/>
      <c r="UPN102" s="18"/>
      <c r="UPO102" s="38"/>
      <c r="UPU102" s="18"/>
      <c r="UPV102" s="18"/>
      <c r="UPW102" s="38"/>
      <c r="UQC102" s="18"/>
      <c r="UQD102" s="18"/>
      <c r="UQE102" s="38"/>
      <c r="UQK102" s="18"/>
      <c r="UQL102" s="18"/>
      <c r="UQM102" s="38"/>
      <c r="UQS102" s="18"/>
      <c r="UQT102" s="18"/>
      <c r="UQU102" s="38"/>
      <c r="URA102" s="18"/>
      <c r="URB102" s="18"/>
      <c r="URC102" s="38"/>
      <c r="URI102" s="18"/>
      <c r="URJ102" s="18"/>
      <c r="URK102" s="38"/>
      <c r="URQ102" s="18"/>
      <c r="URR102" s="18"/>
      <c r="URS102" s="38"/>
      <c r="URY102" s="18"/>
      <c r="URZ102" s="18"/>
      <c r="USA102" s="38"/>
      <c r="USG102" s="18"/>
      <c r="USH102" s="18"/>
      <c r="USI102" s="38"/>
      <c r="USO102" s="18"/>
      <c r="USP102" s="18"/>
      <c r="USQ102" s="38"/>
      <c r="USW102" s="18"/>
      <c r="USX102" s="18"/>
      <c r="USY102" s="38"/>
      <c r="UTE102" s="18"/>
      <c r="UTF102" s="18"/>
      <c r="UTG102" s="38"/>
      <c r="UTM102" s="18"/>
      <c r="UTN102" s="18"/>
      <c r="UTO102" s="38"/>
      <c r="UTU102" s="18"/>
      <c r="UTV102" s="18"/>
      <c r="UTW102" s="38"/>
      <c r="UUC102" s="18"/>
      <c r="UUD102" s="18"/>
      <c r="UUE102" s="38"/>
      <c r="UUK102" s="18"/>
      <c r="UUL102" s="18"/>
      <c r="UUM102" s="38"/>
      <c r="UUS102" s="18"/>
      <c r="UUT102" s="18"/>
      <c r="UUU102" s="38"/>
      <c r="UVA102" s="18"/>
      <c r="UVB102" s="18"/>
      <c r="UVC102" s="38"/>
      <c r="UVI102" s="18"/>
      <c r="UVJ102" s="18"/>
      <c r="UVK102" s="38"/>
      <c r="UVQ102" s="18"/>
      <c r="UVR102" s="18"/>
      <c r="UVS102" s="38"/>
      <c r="UVY102" s="18"/>
      <c r="UVZ102" s="18"/>
      <c r="UWA102" s="38"/>
      <c r="UWG102" s="18"/>
      <c r="UWH102" s="18"/>
      <c r="UWI102" s="38"/>
      <c r="UWO102" s="18"/>
      <c r="UWP102" s="18"/>
      <c r="UWQ102" s="38"/>
      <c r="UWW102" s="18"/>
      <c r="UWX102" s="18"/>
      <c r="UWY102" s="38"/>
      <c r="UXE102" s="18"/>
      <c r="UXF102" s="18"/>
      <c r="UXG102" s="38"/>
      <c r="UXM102" s="18"/>
      <c r="UXN102" s="18"/>
      <c r="UXO102" s="38"/>
      <c r="UXU102" s="18"/>
      <c r="UXV102" s="18"/>
      <c r="UXW102" s="38"/>
      <c r="UYC102" s="18"/>
      <c r="UYD102" s="18"/>
      <c r="UYE102" s="38"/>
      <c r="UYK102" s="18"/>
      <c r="UYL102" s="18"/>
      <c r="UYM102" s="38"/>
      <c r="UYS102" s="18"/>
      <c r="UYT102" s="18"/>
      <c r="UYU102" s="38"/>
      <c r="UZA102" s="18"/>
      <c r="UZB102" s="18"/>
      <c r="UZC102" s="38"/>
      <c r="UZI102" s="18"/>
      <c r="UZJ102" s="18"/>
      <c r="UZK102" s="38"/>
      <c r="UZQ102" s="18"/>
      <c r="UZR102" s="18"/>
      <c r="UZS102" s="38"/>
      <c r="UZY102" s="18"/>
      <c r="UZZ102" s="18"/>
      <c r="VAA102" s="38"/>
      <c r="VAG102" s="18"/>
      <c r="VAH102" s="18"/>
      <c r="VAI102" s="38"/>
      <c r="VAO102" s="18"/>
      <c r="VAP102" s="18"/>
      <c r="VAQ102" s="38"/>
      <c r="VAW102" s="18"/>
      <c r="VAX102" s="18"/>
      <c r="VAY102" s="38"/>
      <c r="VBE102" s="18"/>
      <c r="VBF102" s="18"/>
      <c r="VBG102" s="38"/>
      <c r="VBM102" s="18"/>
      <c r="VBN102" s="18"/>
      <c r="VBO102" s="38"/>
      <c r="VBU102" s="18"/>
      <c r="VBV102" s="18"/>
      <c r="VBW102" s="38"/>
      <c r="VCC102" s="18"/>
      <c r="VCD102" s="18"/>
      <c r="VCE102" s="38"/>
      <c r="VCK102" s="18"/>
      <c r="VCL102" s="18"/>
      <c r="VCM102" s="38"/>
      <c r="VCS102" s="18"/>
      <c r="VCT102" s="18"/>
      <c r="VCU102" s="38"/>
      <c r="VDA102" s="18"/>
      <c r="VDB102" s="18"/>
      <c r="VDC102" s="38"/>
      <c r="VDI102" s="18"/>
      <c r="VDJ102" s="18"/>
      <c r="VDK102" s="38"/>
      <c r="VDQ102" s="18"/>
      <c r="VDR102" s="18"/>
      <c r="VDS102" s="38"/>
      <c r="VDY102" s="18"/>
      <c r="VDZ102" s="18"/>
      <c r="VEA102" s="38"/>
      <c r="VEG102" s="18"/>
      <c r="VEH102" s="18"/>
      <c r="VEI102" s="38"/>
      <c r="VEO102" s="18"/>
      <c r="VEP102" s="18"/>
      <c r="VEQ102" s="38"/>
      <c r="VEW102" s="18"/>
      <c r="VEX102" s="18"/>
      <c r="VEY102" s="38"/>
      <c r="VFE102" s="18"/>
      <c r="VFF102" s="18"/>
      <c r="VFG102" s="38"/>
      <c r="VFM102" s="18"/>
      <c r="VFN102" s="18"/>
      <c r="VFO102" s="38"/>
      <c r="VFU102" s="18"/>
      <c r="VFV102" s="18"/>
      <c r="VFW102" s="38"/>
      <c r="VGC102" s="18"/>
      <c r="VGD102" s="18"/>
      <c r="VGE102" s="38"/>
      <c r="VGK102" s="18"/>
      <c r="VGL102" s="18"/>
      <c r="VGM102" s="38"/>
      <c r="VGS102" s="18"/>
      <c r="VGT102" s="18"/>
      <c r="VGU102" s="38"/>
      <c r="VHA102" s="18"/>
      <c r="VHB102" s="18"/>
      <c r="VHC102" s="38"/>
      <c r="VHI102" s="18"/>
      <c r="VHJ102" s="18"/>
      <c r="VHK102" s="38"/>
      <c r="VHQ102" s="18"/>
      <c r="VHR102" s="18"/>
      <c r="VHS102" s="38"/>
      <c r="VHY102" s="18"/>
      <c r="VHZ102" s="18"/>
      <c r="VIA102" s="38"/>
      <c r="VIG102" s="18"/>
      <c r="VIH102" s="18"/>
      <c r="VII102" s="38"/>
      <c r="VIO102" s="18"/>
      <c r="VIP102" s="18"/>
      <c r="VIQ102" s="38"/>
      <c r="VIW102" s="18"/>
      <c r="VIX102" s="18"/>
      <c r="VIY102" s="38"/>
      <c r="VJE102" s="18"/>
      <c r="VJF102" s="18"/>
      <c r="VJG102" s="38"/>
      <c r="VJM102" s="18"/>
      <c r="VJN102" s="18"/>
      <c r="VJO102" s="38"/>
      <c r="VJU102" s="18"/>
      <c r="VJV102" s="18"/>
      <c r="VJW102" s="38"/>
      <c r="VKC102" s="18"/>
      <c r="VKD102" s="18"/>
      <c r="VKE102" s="38"/>
      <c r="VKK102" s="18"/>
      <c r="VKL102" s="18"/>
      <c r="VKM102" s="38"/>
      <c r="VKS102" s="18"/>
      <c r="VKT102" s="18"/>
      <c r="VKU102" s="38"/>
      <c r="VLA102" s="18"/>
      <c r="VLB102" s="18"/>
      <c r="VLC102" s="38"/>
      <c r="VLI102" s="18"/>
      <c r="VLJ102" s="18"/>
      <c r="VLK102" s="38"/>
      <c r="VLQ102" s="18"/>
      <c r="VLR102" s="18"/>
      <c r="VLS102" s="38"/>
      <c r="VLY102" s="18"/>
      <c r="VLZ102" s="18"/>
      <c r="VMA102" s="38"/>
      <c r="VMG102" s="18"/>
      <c r="VMH102" s="18"/>
      <c r="VMI102" s="38"/>
      <c r="VMO102" s="18"/>
      <c r="VMP102" s="18"/>
      <c r="VMQ102" s="38"/>
      <c r="VMW102" s="18"/>
      <c r="VMX102" s="18"/>
      <c r="VMY102" s="38"/>
      <c r="VNE102" s="18"/>
      <c r="VNF102" s="18"/>
      <c r="VNG102" s="38"/>
      <c r="VNM102" s="18"/>
      <c r="VNN102" s="18"/>
      <c r="VNO102" s="38"/>
      <c r="VNU102" s="18"/>
      <c r="VNV102" s="18"/>
      <c r="VNW102" s="38"/>
      <c r="VOC102" s="18"/>
      <c r="VOD102" s="18"/>
      <c r="VOE102" s="38"/>
      <c r="VOK102" s="18"/>
      <c r="VOL102" s="18"/>
      <c r="VOM102" s="38"/>
      <c r="VOS102" s="18"/>
      <c r="VOT102" s="18"/>
      <c r="VOU102" s="38"/>
      <c r="VPA102" s="18"/>
      <c r="VPB102" s="18"/>
      <c r="VPC102" s="38"/>
      <c r="VPI102" s="18"/>
      <c r="VPJ102" s="18"/>
      <c r="VPK102" s="38"/>
      <c r="VPQ102" s="18"/>
      <c r="VPR102" s="18"/>
      <c r="VPS102" s="38"/>
      <c r="VPY102" s="18"/>
      <c r="VPZ102" s="18"/>
      <c r="VQA102" s="38"/>
      <c r="VQG102" s="18"/>
      <c r="VQH102" s="18"/>
      <c r="VQI102" s="38"/>
      <c r="VQO102" s="18"/>
      <c r="VQP102" s="18"/>
      <c r="VQQ102" s="38"/>
      <c r="VQW102" s="18"/>
      <c r="VQX102" s="18"/>
      <c r="VQY102" s="38"/>
      <c r="VRE102" s="18"/>
      <c r="VRF102" s="18"/>
      <c r="VRG102" s="38"/>
      <c r="VRM102" s="18"/>
      <c r="VRN102" s="18"/>
      <c r="VRO102" s="38"/>
      <c r="VRU102" s="18"/>
      <c r="VRV102" s="18"/>
      <c r="VRW102" s="38"/>
      <c r="VSC102" s="18"/>
      <c r="VSD102" s="18"/>
      <c r="VSE102" s="38"/>
      <c r="VSK102" s="18"/>
      <c r="VSL102" s="18"/>
      <c r="VSM102" s="38"/>
      <c r="VSS102" s="18"/>
      <c r="VST102" s="18"/>
      <c r="VSU102" s="38"/>
      <c r="VTA102" s="18"/>
      <c r="VTB102" s="18"/>
      <c r="VTC102" s="38"/>
      <c r="VTI102" s="18"/>
      <c r="VTJ102" s="18"/>
      <c r="VTK102" s="38"/>
      <c r="VTQ102" s="18"/>
      <c r="VTR102" s="18"/>
      <c r="VTS102" s="38"/>
      <c r="VTY102" s="18"/>
      <c r="VTZ102" s="18"/>
      <c r="VUA102" s="38"/>
      <c r="VUG102" s="18"/>
      <c r="VUH102" s="18"/>
      <c r="VUI102" s="38"/>
      <c r="VUO102" s="18"/>
      <c r="VUP102" s="18"/>
      <c r="VUQ102" s="38"/>
      <c r="VUW102" s="18"/>
      <c r="VUX102" s="18"/>
      <c r="VUY102" s="38"/>
      <c r="VVE102" s="18"/>
      <c r="VVF102" s="18"/>
      <c r="VVG102" s="38"/>
      <c r="VVM102" s="18"/>
      <c r="VVN102" s="18"/>
      <c r="VVO102" s="38"/>
      <c r="VVU102" s="18"/>
      <c r="VVV102" s="18"/>
      <c r="VVW102" s="38"/>
      <c r="VWC102" s="18"/>
      <c r="VWD102" s="18"/>
      <c r="VWE102" s="38"/>
      <c r="VWK102" s="18"/>
      <c r="VWL102" s="18"/>
      <c r="VWM102" s="38"/>
      <c r="VWS102" s="18"/>
      <c r="VWT102" s="18"/>
      <c r="VWU102" s="38"/>
      <c r="VXA102" s="18"/>
      <c r="VXB102" s="18"/>
      <c r="VXC102" s="38"/>
      <c r="VXI102" s="18"/>
      <c r="VXJ102" s="18"/>
      <c r="VXK102" s="38"/>
      <c r="VXQ102" s="18"/>
      <c r="VXR102" s="18"/>
      <c r="VXS102" s="38"/>
      <c r="VXY102" s="18"/>
      <c r="VXZ102" s="18"/>
      <c r="VYA102" s="38"/>
      <c r="VYG102" s="18"/>
      <c r="VYH102" s="18"/>
      <c r="VYI102" s="38"/>
      <c r="VYO102" s="18"/>
      <c r="VYP102" s="18"/>
      <c r="VYQ102" s="38"/>
      <c r="VYW102" s="18"/>
      <c r="VYX102" s="18"/>
      <c r="VYY102" s="38"/>
      <c r="VZE102" s="18"/>
      <c r="VZF102" s="18"/>
      <c r="VZG102" s="38"/>
      <c r="VZM102" s="18"/>
      <c r="VZN102" s="18"/>
      <c r="VZO102" s="38"/>
      <c r="VZU102" s="18"/>
      <c r="VZV102" s="18"/>
      <c r="VZW102" s="38"/>
      <c r="WAC102" s="18"/>
      <c r="WAD102" s="18"/>
      <c r="WAE102" s="38"/>
      <c r="WAK102" s="18"/>
      <c r="WAL102" s="18"/>
      <c r="WAM102" s="38"/>
      <c r="WAS102" s="18"/>
      <c r="WAT102" s="18"/>
      <c r="WAU102" s="38"/>
      <c r="WBA102" s="18"/>
      <c r="WBB102" s="18"/>
      <c r="WBC102" s="38"/>
      <c r="WBI102" s="18"/>
      <c r="WBJ102" s="18"/>
      <c r="WBK102" s="38"/>
      <c r="WBQ102" s="18"/>
      <c r="WBR102" s="18"/>
      <c r="WBS102" s="38"/>
      <c r="WBY102" s="18"/>
      <c r="WBZ102" s="18"/>
      <c r="WCA102" s="38"/>
      <c r="WCG102" s="18"/>
      <c r="WCH102" s="18"/>
      <c r="WCI102" s="38"/>
      <c r="WCO102" s="18"/>
      <c r="WCP102" s="18"/>
      <c r="WCQ102" s="38"/>
      <c r="WCW102" s="18"/>
      <c r="WCX102" s="18"/>
      <c r="WCY102" s="38"/>
      <c r="WDE102" s="18"/>
      <c r="WDF102" s="18"/>
      <c r="WDG102" s="38"/>
      <c r="WDM102" s="18"/>
      <c r="WDN102" s="18"/>
      <c r="WDO102" s="38"/>
      <c r="WDU102" s="18"/>
      <c r="WDV102" s="18"/>
      <c r="WDW102" s="38"/>
      <c r="WEC102" s="18"/>
      <c r="WED102" s="18"/>
      <c r="WEE102" s="38"/>
      <c r="WEK102" s="18"/>
      <c r="WEL102" s="18"/>
      <c r="WEM102" s="38"/>
      <c r="WES102" s="18"/>
      <c r="WET102" s="18"/>
      <c r="WEU102" s="38"/>
      <c r="WFA102" s="18"/>
      <c r="WFB102" s="18"/>
      <c r="WFC102" s="38"/>
      <c r="WFI102" s="18"/>
      <c r="WFJ102" s="18"/>
      <c r="WFK102" s="38"/>
      <c r="WFQ102" s="18"/>
      <c r="WFR102" s="18"/>
      <c r="WFS102" s="38"/>
      <c r="WFY102" s="18"/>
      <c r="WFZ102" s="18"/>
      <c r="WGA102" s="38"/>
      <c r="WGG102" s="18"/>
      <c r="WGH102" s="18"/>
      <c r="WGI102" s="38"/>
      <c r="WGO102" s="18"/>
      <c r="WGP102" s="18"/>
      <c r="WGQ102" s="38"/>
      <c r="WGW102" s="18"/>
      <c r="WGX102" s="18"/>
      <c r="WGY102" s="38"/>
      <c r="WHE102" s="18"/>
      <c r="WHF102" s="18"/>
      <c r="WHG102" s="38"/>
      <c r="WHM102" s="18"/>
      <c r="WHN102" s="18"/>
      <c r="WHO102" s="38"/>
      <c r="WHU102" s="18"/>
      <c r="WHV102" s="18"/>
      <c r="WHW102" s="38"/>
      <c r="WIC102" s="18"/>
      <c r="WID102" s="18"/>
      <c r="WIE102" s="38"/>
      <c r="WIK102" s="18"/>
      <c r="WIL102" s="18"/>
      <c r="WIM102" s="38"/>
      <c r="WIS102" s="18"/>
      <c r="WIT102" s="18"/>
      <c r="WIU102" s="38"/>
      <c r="WJA102" s="18"/>
      <c r="WJB102" s="18"/>
      <c r="WJC102" s="38"/>
      <c r="WJI102" s="18"/>
      <c r="WJJ102" s="18"/>
      <c r="WJK102" s="38"/>
      <c r="WJQ102" s="18"/>
      <c r="WJR102" s="18"/>
      <c r="WJS102" s="38"/>
      <c r="WJY102" s="18"/>
      <c r="WJZ102" s="18"/>
      <c r="WKA102" s="38"/>
      <c r="WKG102" s="18"/>
      <c r="WKH102" s="18"/>
      <c r="WKI102" s="38"/>
      <c r="WKO102" s="18"/>
      <c r="WKP102" s="18"/>
      <c r="WKQ102" s="38"/>
      <c r="WKW102" s="18"/>
      <c r="WKX102" s="18"/>
      <c r="WKY102" s="38"/>
      <c r="WLE102" s="18"/>
      <c r="WLF102" s="18"/>
      <c r="WLG102" s="38"/>
      <c r="WLM102" s="18"/>
      <c r="WLN102" s="18"/>
      <c r="WLO102" s="38"/>
      <c r="WLU102" s="18"/>
      <c r="WLV102" s="18"/>
      <c r="WLW102" s="38"/>
      <c r="WMC102" s="18"/>
      <c r="WMD102" s="18"/>
      <c r="WME102" s="38"/>
      <c r="WMK102" s="18"/>
      <c r="WML102" s="18"/>
      <c r="WMM102" s="38"/>
      <c r="WMS102" s="18"/>
      <c r="WMT102" s="18"/>
      <c r="WMU102" s="38"/>
      <c r="WNA102" s="18"/>
      <c r="WNB102" s="18"/>
      <c r="WNC102" s="38"/>
      <c r="WNI102" s="18"/>
      <c r="WNJ102" s="18"/>
      <c r="WNK102" s="38"/>
      <c r="WNQ102" s="18"/>
      <c r="WNR102" s="18"/>
      <c r="WNS102" s="38"/>
      <c r="WNY102" s="18"/>
      <c r="WNZ102" s="18"/>
      <c r="WOA102" s="38"/>
      <c r="WOG102" s="18"/>
      <c r="WOH102" s="18"/>
      <c r="WOI102" s="38"/>
      <c r="WOO102" s="18"/>
      <c r="WOP102" s="18"/>
      <c r="WOQ102" s="38"/>
      <c r="WOW102" s="18"/>
      <c r="WOX102" s="18"/>
      <c r="WOY102" s="38"/>
      <c r="WPE102" s="18"/>
      <c r="WPF102" s="18"/>
      <c r="WPG102" s="38"/>
      <c r="WPM102" s="18"/>
      <c r="WPN102" s="18"/>
      <c r="WPO102" s="38"/>
      <c r="WPU102" s="18"/>
      <c r="WPV102" s="18"/>
      <c r="WPW102" s="38"/>
      <c r="WQC102" s="18"/>
      <c r="WQD102" s="18"/>
      <c r="WQE102" s="38"/>
      <c r="WQK102" s="18"/>
      <c r="WQL102" s="18"/>
      <c r="WQM102" s="38"/>
      <c r="WQS102" s="18"/>
      <c r="WQT102" s="18"/>
      <c r="WQU102" s="38"/>
      <c r="WRA102" s="18"/>
      <c r="WRB102" s="18"/>
      <c r="WRC102" s="38"/>
      <c r="WRI102" s="18"/>
      <c r="WRJ102" s="18"/>
      <c r="WRK102" s="38"/>
      <c r="WRQ102" s="18"/>
      <c r="WRR102" s="18"/>
      <c r="WRS102" s="38"/>
      <c r="WRY102" s="18"/>
      <c r="WRZ102" s="18"/>
      <c r="WSA102" s="38"/>
      <c r="WSG102" s="18"/>
      <c r="WSH102" s="18"/>
      <c r="WSI102" s="38"/>
      <c r="WSO102" s="18"/>
      <c r="WSP102" s="18"/>
      <c r="WSQ102" s="38"/>
      <c r="WSW102" s="18"/>
      <c r="WSX102" s="18"/>
      <c r="WSY102" s="38"/>
      <c r="WTE102" s="18"/>
      <c r="WTF102" s="18"/>
      <c r="WTG102" s="38"/>
      <c r="WTM102" s="18"/>
      <c r="WTN102" s="18"/>
      <c r="WTO102" s="38"/>
      <c r="WTU102" s="18"/>
      <c r="WTV102" s="18"/>
      <c r="WTW102" s="38"/>
      <c r="WUC102" s="18"/>
      <c r="WUD102" s="18"/>
      <c r="WUE102" s="38"/>
      <c r="WUK102" s="18"/>
      <c r="WUL102" s="18"/>
      <c r="WUM102" s="38"/>
      <c r="WUS102" s="18"/>
      <c r="WUT102" s="18"/>
      <c r="WUU102" s="38"/>
      <c r="WVA102" s="18"/>
      <c r="WVB102" s="18"/>
      <c r="WVC102" s="38"/>
      <c r="WVI102" s="18"/>
      <c r="WVJ102" s="18"/>
      <c r="WVK102" s="38"/>
      <c r="WVQ102" s="18"/>
      <c r="WVR102" s="18"/>
      <c r="WVS102" s="38"/>
      <c r="WVY102" s="18"/>
      <c r="WVZ102" s="18"/>
      <c r="WWA102" s="38"/>
      <c r="WWG102" s="18"/>
      <c r="WWH102" s="18"/>
      <c r="WWI102" s="38"/>
      <c r="WWO102" s="18"/>
      <c r="WWP102" s="18"/>
      <c r="WWQ102" s="38"/>
      <c r="WWW102" s="18"/>
      <c r="WWX102" s="18"/>
      <c r="WWY102" s="38"/>
      <c r="WXE102" s="18"/>
      <c r="WXF102" s="18"/>
      <c r="WXG102" s="38"/>
      <c r="WXM102" s="18"/>
      <c r="WXN102" s="18"/>
      <c r="WXO102" s="38"/>
      <c r="WXU102" s="18"/>
      <c r="WXV102" s="18"/>
      <c r="WXW102" s="38"/>
      <c r="WYC102" s="18"/>
      <c r="WYD102" s="18"/>
      <c r="WYE102" s="38"/>
      <c r="WYK102" s="18"/>
      <c r="WYL102" s="18"/>
      <c r="WYM102" s="38"/>
      <c r="WYS102" s="18"/>
      <c r="WYT102" s="18"/>
      <c r="WYU102" s="38"/>
      <c r="WZA102" s="18"/>
      <c r="WZB102" s="18"/>
      <c r="WZC102" s="38"/>
      <c r="WZI102" s="18"/>
      <c r="WZJ102" s="18"/>
      <c r="WZK102" s="38"/>
      <c r="WZQ102" s="18"/>
      <c r="WZR102" s="18"/>
      <c r="WZS102" s="38"/>
      <c r="WZY102" s="18"/>
      <c r="WZZ102" s="18"/>
      <c r="XAA102" s="38"/>
      <c r="XAG102" s="18"/>
      <c r="XAH102" s="18"/>
      <c r="XAI102" s="38"/>
      <c r="XAO102" s="18"/>
      <c r="XAP102" s="18"/>
      <c r="XAQ102" s="38"/>
      <c r="XAW102" s="18"/>
      <c r="XAX102" s="18"/>
      <c r="XAY102" s="38"/>
      <c r="XBE102" s="18"/>
      <c r="XBF102" s="18"/>
      <c r="XBG102" s="38"/>
      <c r="XBM102" s="18"/>
      <c r="XBN102" s="18"/>
      <c r="XBO102" s="38"/>
      <c r="XBU102" s="18"/>
      <c r="XBV102" s="18"/>
      <c r="XBW102" s="38"/>
      <c r="XCC102" s="18"/>
      <c r="XCD102" s="18"/>
      <c r="XCE102" s="38"/>
      <c r="XCK102" s="18"/>
      <c r="XCL102" s="18"/>
      <c r="XCM102" s="38"/>
      <c r="XCS102" s="18"/>
      <c r="XCT102" s="18"/>
      <c r="XCU102" s="38"/>
      <c r="XDA102" s="18"/>
      <c r="XDB102" s="18"/>
      <c r="XDC102" s="38"/>
      <c r="XDI102" s="18"/>
      <c r="XDJ102" s="18"/>
      <c r="XDK102" s="38"/>
      <c r="XDQ102" s="18"/>
      <c r="XDR102" s="18"/>
      <c r="XDS102" s="38"/>
      <c r="XDY102" s="18"/>
      <c r="XDZ102" s="18"/>
      <c r="XEA102" s="38"/>
      <c r="XEG102" s="18"/>
      <c r="XEH102" s="18"/>
      <c r="XEI102" s="38"/>
      <c r="XEO102" s="18"/>
      <c r="XEP102" s="18"/>
      <c r="XEQ102" s="38"/>
      <c r="XEW102" s="18"/>
      <c r="XEX102" s="18"/>
      <c r="XEY102" s="38"/>
    </row>
    <row r="103" spans="1:1019 1025:2043 2049:3067 3073:4091 4097:5115 5121:6139 6145:7163 7169:8187 8193:9211 9217:10235 10241:11259 11265:12283 12289:13307 13313:14331 14337:15355 15361:16379" s="24" customFormat="1" ht="14.25" customHeight="1">
      <c r="A103" s="18">
        <v>2025</v>
      </c>
      <c r="B103" s="18" t="s">
        <v>23</v>
      </c>
      <c r="C103" s="38">
        <f>D103+E103+F103+G103+H103</f>
        <v>981506</v>
      </c>
      <c r="D103" s="24">
        <v>227415</v>
      </c>
      <c r="E103" s="24">
        <v>62198</v>
      </c>
      <c r="F103" s="24">
        <v>524413</v>
      </c>
      <c r="G103" s="24">
        <v>165544</v>
      </c>
      <c r="H103" s="24">
        <v>1936</v>
      </c>
      <c r="J103" s="23"/>
      <c r="K103" s="38"/>
      <c r="Q103" s="8"/>
      <c r="R103" s="18"/>
      <c r="S103" s="38"/>
      <c r="Y103" s="8"/>
      <c r="Z103" s="18"/>
      <c r="AA103" s="38"/>
      <c r="AG103" s="8"/>
      <c r="AH103" s="18"/>
      <c r="AI103" s="38"/>
      <c r="AO103" s="8"/>
      <c r="AP103" s="18"/>
      <c r="AQ103" s="38"/>
      <c r="AW103" s="8"/>
      <c r="AX103" s="18"/>
      <c r="AY103" s="38"/>
      <c r="BE103" s="8"/>
      <c r="BF103" s="18"/>
      <c r="BG103" s="38"/>
      <c r="BM103" s="8"/>
      <c r="BN103" s="18"/>
      <c r="BO103" s="38"/>
      <c r="BU103" s="8"/>
      <c r="BV103" s="18"/>
      <c r="BW103" s="38"/>
      <c r="CC103" s="8"/>
      <c r="CD103" s="18"/>
      <c r="CE103" s="38"/>
      <c r="CK103" s="8"/>
      <c r="CL103" s="18"/>
      <c r="CM103" s="38"/>
      <c r="CS103" s="8"/>
      <c r="CT103" s="18"/>
      <c r="CU103" s="38"/>
      <c r="DA103" s="8"/>
      <c r="DB103" s="18"/>
      <c r="DC103" s="38"/>
      <c r="DI103" s="8"/>
      <c r="DJ103" s="18"/>
      <c r="DK103" s="38"/>
      <c r="DQ103" s="8"/>
      <c r="DR103" s="18"/>
      <c r="DS103" s="38"/>
      <c r="DY103" s="8"/>
      <c r="DZ103" s="18"/>
      <c r="EA103" s="38"/>
      <c r="EG103" s="8"/>
      <c r="EH103" s="18"/>
      <c r="EI103" s="38"/>
      <c r="EO103" s="8"/>
      <c r="EP103" s="18"/>
      <c r="EQ103" s="38"/>
      <c r="EW103" s="8"/>
      <c r="EX103" s="18"/>
      <c r="EY103" s="38"/>
      <c r="FE103" s="8"/>
      <c r="FF103" s="18"/>
      <c r="FG103" s="38"/>
      <c r="FM103" s="8"/>
      <c r="FN103" s="18"/>
      <c r="FO103" s="38"/>
      <c r="FU103" s="8"/>
      <c r="FV103" s="18"/>
      <c r="FW103" s="38"/>
      <c r="GC103" s="8"/>
      <c r="GD103" s="18"/>
      <c r="GE103" s="38"/>
      <c r="GK103" s="8"/>
      <c r="GL103" s="18"/>
      <c r="GM103" s="38"/>
      <c r="GS103" s="8"/>
      <c r="GT103" s="18"/>
      <c r="GU103" s="38"/>
      <c r="HA103" s="8"/>
      <c r="HB103" s="18"/>
      <c r="HC103" s="38"/>
      <c r="HI103" s="8"/>
      <c r="HJ103" s="18"/>
      <c r="HK103" s="38"/>
      <c r="HQ103" s="8"/>
      <c r="HR103" s="18"/>
      <c r="HS103" s="38"/>
      <c r="HY103" s="8"/>
      <c r="HZ103" s="18"/>
      <c r="IA103" s="38"/>
      <c r="IG103" s="8"/>
      <c r="IH103" s="18"/>
      <c r="II103" s="38"/>
      <c r="IO103" s="8"/>
      <c r="IP103" s="18"/>
      <c r="IQ103" s="38"/>
      <c r="IW103" s="8"/>
      <c r="IX103" s="18"/>
      <c r="IY103" s="38"/>
      <c r="JE103" s="8"/>
      <c r="JF103" s="18"/>
      <c r="JG103" s="38"/>
      <c r="JM103" s="8"/>
      <c r="JN103" s="18"/>
      <c r="JO103" s="38"/>
      <c r="JU103" s="8"/>
      <c r="JV103" s="18"/>
      <c r="JW103" s="38"/>
      <c r="KC103" s="8"/>
      <c r="KD103" s="18"/>
      <c r="KE103" s="38"/>
      <c r="KK103" s="8"/>
      <c r="KL103" s="18"/>
      <c r="KM103" s="38"/>
      <c r="KS103" s="8"/>
      <c r="KT103" s="18"/>
      <c r="KU103" s="38"/>
      <c r="LA103" s="8"/>
      <c r="LB103" s="18"/>
      <c r="LC103" s="38"/>
      <c r="LI103" s="8"/>
      <c r="LJ103" s="18"/>
      <c r="LK103" s="38"/>
      <c r="LQ103" s="8"/>
      <c r="LR103" s="18"/>
      <c r="LS103" s="38"/>
      <c r="LY103" s="8"/>
      <c r="LZ103" s="18"/>
      <c r="MA103" s="38"/>
      <c r="MG103" s="8"/>
      <c r="MH103" s="18"/>
      <c r="MI103" s="38"/>
      <c r="MO103" s="8"/>
      <c r="MP103" s="18"/>
      <c r="MQ103" s="38"/>
      <c r="MW103" s="8"/>
      <c r="MX103" s="18"/>
      <c r="MY103" s="38"/>
      <c r="NE103" s="8"/>
      <c r="NF103" s="18"/>
      <c r="NG103" s="38"/>
      <c r="NM103" s="8"/>
      <c r="NN103" s="18"/>
      <c r="NO103" s="38"/>
      <c r="NU103" s="8"/>
      <c r="NV103" s="18"/>
      <c r="NW103" s="38"/>
      <c r="OC103" s="8"/>
      <c r="OD103" s="18"/>
      <c r="OE103" s="38"/>
      <c r="OK103" s="8"/>
      <c r="OL103" s="18"/>
      <c r="OM103" s="38"/>
      <c r="OS103" s="8"/>
      <c r="OT103" s="18"/>
      <c r="OU103" s="38"/>
      <c r="PA103" s="8"/>
      <c r="PB103" s="18"/>
      <c r="PC103" s="38"/>
      <c r="PI103" s="8"/>
      <c r="PJ103" s="18"/>
      <c r="PK103" s="38"/>
      <c r="PQ103" s="8"/>
      <c r="PR103" s="18"/>
      <c r="PS103" s="38"/>
      <c r="PY103" s="8"/>
      <c r="PZ103" s="18"/>
      <c r="QA103" s="38"/>
      <c r="QG103" s="8"/>
      <c r="QH103" s="18"/>
      <c r="QI103" s="38"/>
      <c r="QO103" s="8"/>
      <c r="QP103" s="18"/>
      <c r="QQ103" s="38"/>
      <c r="QW103" s="8"/>
      <c r="QX103" s="18"/>
      <c r="QY103" s="38"/>
      <c r="RE103" s="8"/>
      <c r="RF103" s="18"/>
      <c r="RG103" s="38"/>
      <c r="RM103" s="8"/>
      <c r="RN103" s="18"/>
      <c r="RO103" s="38"/>
      <c r="RU103" s="8"/>
      <c r="RV103" s="18"/>
      <c r="RW103" s="38"/>
      <c r="SC103" s="8"/>
      <c r="SD103" s="18"/>
      <c r="SE103" s="38"/>
      <c r="SK103" s="8"/>
      <c r="SL103" s="18"/>
      <c r="SM103" s="38"/>
      <c r="SS103" s="8"/>
      <c r="ST103" s="18"/>
      <c r="SU103" s="38"/>
      <c r="TA103" s="8"/>
      <c r="TB103" s="18"/>
      <c r="TC103" s="38"/>
      <c r="TI103" s="8"/>
      <c r="TJ103" s="18"/>
      <c r="TK103" s="38"/>
      <c r="TQ103" s="8"/>
      <c r="TR103" s="18"/>
      <c r="TS103" s="38"/>
      <c r="TY103" s="8"/>
      <c r="TZ103" s="18"/>
      <c r="UA103" s="38"/>
      <c r="UG103" s="8"/>
      <c r="UH103" s="18"/>
      <c r="UI103" s="38"/>
      <c r="UO103" s="8"/>
      <c r="UP103" s="18"/>
      <c r="UQ103" s="38"/>
      <c r="UW103" s="8"/>
      <c r="UX103" s="18"/>
      <c r="UY103" s="38"/>
      <c r="VE103" s="8"/>
      <c r="VF103" s="18"/>
      <c r="VG103" s="38"/>
      <c r="VM103" s="8"/>
      <c r="VN103" s="18"/>
      <c r="VO103" s="38"/>
      <c r="VU103" s="8"/>
      <c r="VV103" s="18"/>
      <c r="VW103" s="38"/>
      <c r="WC103" s="8"/>
      <c r="WD103" s="18"/>
      <c r="WE103" s="38"/>
      <c r="WK103" s="8"/>
      <c r="WL103" s="18"/>
      <c r="WM103" s="38"/>
      <c r="WS103" s="8"/>
      <c r="WT103" s="18"/>
      <c r="WU103" s="38"/>
      <c r="XA103" s="8"/>
      <c r="XB103" s="18"/>
      <c r="XC103" s="38"/>
      <c r="XI103" s="8"/>
      <c r="XJ103" s="18"/>
      <c r="XK103" s="38"/>
      <c r="XQ103" s="8"/>
      <c r="XR103" s="18"/>
      <c r="XS103" s="38"/>
      <c r="XY103" s="8"/>
      <c r="XZ103" s="18"/>
      <c r="YA103" s="38"/>
      <c r="YG103" s="8"/>
      <c r="YH103" s="18"/>
      <c r="YI103" s="38"/>
      <c r="YO103" s="8"/>
      <c r="YP103" s="18"/>
      <c r="YQ103" s="38"/>
      <c r="YW103" s="8"/>
      <c r="YX103" s="18"/>
      <c r="YY103" s="38"/>
      <c r="ZE103" s="8"/>
      <c r="ZF103" s="18"/>
      <c r="ZG103" s="38"/>
      <c r="ZM103" s="8"/>
      <c r="ZN103" s="18"/>
      <c r="ZO103" s="38"/>
      <c r="ZU103" s="8"/>
      <c r="ZV103" s="18"/>
      <c r="ZW103" s="38"/>
      <c r="AAC103" s="8"/>
      <c r="AAD103" s="18"/>
      <c r="AAE103" s="38"/>
      <c r="AAK103" s="8"/>
      <c r="AAL103" s="18"/>
      <c r="AAM103" s="38"/>
      <c r="AAS103" s="8"/>
      <c r="AAT103" s="18"/>
      <c r="AAU103" s="38"/>
      <c r="ABA103" s="8"/>
      <c r="ABB103" s="18"/>
      <c r="ABC103" s="38"/>
      <c r="ABI103" s="8"/>
      <c r="ABJ103" s="18"/>
      <c r="ABK103" s="38"/>
      <c r="ABQ103" s="8"/>
      <c r="ABR103" s="18"/>
      <c r="ABS103" s="38"/>
      <c r="ABY103" s="8"/>
      <c r="ABZ103" s="18"/>
      <c r="ACA103" s="38"/>
      <c r="ACG103" s="8"/>
      <c r="ACH103" s="18"/>
      <c r="ACI103" s="38"/>
      <c r="ACO103" s="8"/>
      <c r="ACP103" s="18"/>
      <c r="ACQ103" s="38"/>
      <c r="ACW103" s="8"/>
      <c r="ACX103" s="18"/>
      <c r="ACY103" s="38"/>
      <c r="ADE103" s="8"/>
      <c r="ADF103" s="18"/>
      <c r="ADG103" s="38"/>
      <c r="ADM103" s="8"/>
      <c r="ADN103" s="18"/>
      <c r="ADO103" s="38"/>
      <c r="ADU103" s="8"/>
      <c r="ADV103" s="18"/>
      <c r="ADW103" s="38"/>
      <c r="AEC103" s="8"/>
      <c r="AED103" s="18"/>
      <c r="AEE103" s="38"/>
      <c r="AEK103" s="8"/>
      <c r="AEL103" s="18"/>
      <c r="AEM103" s="38"/>
      <c r="AES103" s="8"/>
      <c r="AET103" s="18"/>
      <c r="AEU103" s="38"/>
      <c r="AFA103" s="8"/>
      <c r="AFB103" s="18"/>
      <c r="AFC103" s="38"/>
      <c r="AFI103" s="8"/>
      <c r="AFJ103" s="18"/>
      <c r="AFK103" s="38"/>
      <c r="AFQ103" s="8"/>
      <c r="AFR103" s="18"/>
      <c r="AFS103" s="38"/>
      <c r="AFY103" s="8"/>
      <c r="AFZ103" s="18"/>
      <c r="AGA103" s="38"/>
      <c r="AGG103" s="8"/>
      <c r="AGH103" s="18"/>
      <c r="AGI103" s="38"/>
      <c r="AGO103" s="8"/>
      <c r="AGP103" s="18"/>
      <c r="AGQ103" s="38"/>
      <c r="AGW103" s="8"/>
      <c r="AGX103" s="18"/>
      <c r="AGY103" s="38"/>
      <c r="AHE103" s="8"/>
      <c r="AHF103" s="18"/>
      <c r="AHG103" s="38"/>
      <c r="AHM103" s="8"/>
      <c r="AHN103" s="18"/>
      <c r="AHO103" s="38"/>
      <c r="AHU103" s="8"/>
      <c r="AHV103" s="18"/>
      <c r="AHW103" s="38"/>
      <c r="AIC103" s="8"/>
      <c r="AID103" s="18"/>
      <c r="AIE103" s="38"/>
      <c r="AIK103" s="8"/>
      <c r="AIL103" s="18"/>
      <c r="AIM103" s="38"/>
      <c r="AIS103" s="8"/>
      <c r="AIT103" s="18"/>
      <c r="AIU103" s="38"/>
      <c r="AJA103" s="8"/>
      <c r="AJB103" s="18"/>
      <c r="AJC103" s="38"/>
      <c r="AJI103" s="8"/>
      <c r="AJJ103" s="18"/>
      <c r="AJK103" s="38"/>
      <c r="AJQ103" s="8"/>
      <c r="AJR103" s="18"/>
      <c r="AJS103" s="38"/>
      <c r="AJY103" s="8"/>
      <c r="AJZ103" s="18"/>
      <c r="AKA103" s="38"/>
      <c r="AKG103" s="8"/>
      <c r="AKH103" s="18"/>
      <c r="AKI103" s="38"/>
      <c r="AKO103" s="8"/>
      <c r="AKP103" s="18"/>
      <c r="AKQ103" s="38"/>
      <c r="AKW103" s="8"/>
      <c r="AKX103" s="18"/>
      <c r="AKY103" s="38"/>
      <c r="ALE103" s="8"/>
      <c r="ALF103" s="18"/>
      <c r="ALG103" s="38"/>
      <c r="ALM103" s="8"/>
      <c r="ALN103" s="18"/>
      <c r="ALO103" s="38"/>
      <c r="ALU103" s="8"/>
      <c r="ALV103" s="18"/>
      <c r="ALW103" s="38"/>
      <c r="AMC103" s="8"/>
      <c r="AMD103" s="18"/>
      <c r="AME103" s="38"/>
      <c r="AMK103" s="8"/>
      <c r="AML103" s="18"/>
      <c r="AMM103" s="38"/>
      <c r="AMS103" s="8"/>
      <c r="AMT103" s="18"/>
      <c r="AMU103" s="38"/>
      <c r="ANA103" s="8"/>
      <c r="ANB103" s="18"/>
      <c r="ANC103" s="38"/>
      <c r="ANI103" s="8"/>
      <c r="ANJ103" s="18"/>
      <c r="ANK103" s="38"/>
      <c r="ANQ103" s="8"/>
      <c r="ANR103" s="18"/>
      <c r="ANS103" s="38"/>
      <c r="ANY103" s="8"/>
      <c r="ANZ103" s="18"/>
      <c r="AOA103" s="38"/>
      <c r="AOG103" s="8"/>
      <c r="AOH103" s="18"/>
      <c r="AOI103" s="38"/>
      <c r="AOO103" s="8"/>
      <c r="AOP103" s="18"/>
      <c r="AOQ103" s="38"/>
      <c r="AOW103" s="8"/>
      <c r="AOX103" s="18"/>
      <c r="AOY103" s="38"/>
      <c r="APE103" s="8"/>
      <c r="APF103" s="18"/>
      <c r="APG103" s="38"/>
      <c r="APM103" s="8"/>
      <c r="APN103" s="18"/>
      <c r="APO103" s="38"/>
      <c r="APU103" s="8"/>
      <c r="APV103" s="18"/>
      <c r="APW103" s="38"/>
      <c r="AQC103" s="8"/>
      <c r="AQD103" s="18"/>
      <c r="AQE103" s="38"/>
      <c r="AQK103" s="8"/>
      <c r="AQL103" s="18"/>
      <c r="AQM103" s="38"/>
      <c r="AQS103" s="8"/>
      <c r="AQT103" s="18"/>
      <c r="AQU103" s="38"/>
      <c r="ARA103" s="8"/>
      <c r="ARB103" s="18"/>
      <c r="ARC103" s="38"/>
      <c r="ARI103" s="8"/>
      <c r="ARJ103" s="18"/>
      <c r="ARK103" s="38"/>
      <c r="ARQ103" s="8"/>
      <c r="ARR103" s="18"/>
      <c r="ARS103" s="38"/>
      <c r="ARY103" s="8"/>
      <c r="ARZ103" s="18"/>
      <c r="ASA103" s="38"/>
      <c r="ASG103" s="8"/>
      <c r="ASH103" s="18"/>
      <c r="ASI103" s="38"/>
      <c r="ASO103" s="8"/>
      <c r="ASP103" s="18"/>
      <c r="ASQ103" s="38"/>
      <c r="ASW103" s="8"/>
      <c r="ASX103" s="18"/>
      <c r="ASY103" s="38"/>
      <c r="ATE103" s="8"/>
      <c r="ATF103" s="18"/>
      <c r="ATG103" s="38"/>
      <c r="ATM103" s="8"/>
      <c r="ATN103" s="18"/>
      <c r="ATO103" s="38"/>
      <c r="ATU103" s="8"/>
      <c r="ATV103" s="18"/>
      <c r="ATW103" s="38"/>
      <c r="AUC103" s="8"/>
      <c r="AUD103" s="18"/>
      <c r="AUE103" s="38"/>
      <c r="AUK103" s="8"/>
      <c r="AUL103" s="18"/>
      <c r="AUM103" s="38"/>
      <c r="AUS103" s="8"/>
      <c r="AUT103" s="18"/>
      <c r="AUU103" s="38"/>
      <c r="AVA103" s="8"/>
      <c r="AVB103" s="18"/>
      <c r="AVC103" s="38"/>
      <c r="AVI103" s="8"/>
      <c r="AVJ103" s="18"/>
      <c r="AVK103" s="38"/>
      <c r="AVQ103" s="8"/>
      <c r="AVR103" s="18"/>
      <c r="AVS103" s="38"/>
      <c r="AVY103" s="8"/>
      <c r="AVZ103" s="18"/>
      <c r="AWA103" s="38"/>
      <c r="AWG103" s="8"/>
      <c r="AWH103" s="18"/>
      <c r="AWI103" s="38"/>
      <c r="AWO103" s="8"/>
      <c r="AWP103" s="18"/>
      <c r="AWQ103" s="38"/>
      <c r="AWW103" s="8"/>
      <c r="AWX103" s="18"/>
      <c r="AWY103" s="38"/>
      <c r="AXE103" s="8"/>
      <c r="AXF103" s="18"/>
      <c r="AXG103" s="38"/>
      <c r="AXM103" s="8"/>
      <c r="AXN103" s="18"/>
      <c r="AXO103" s="38"/>
      <c r="AXU103" s="8"/>
      <c r="AXV103" s="18"/>
      <c r="AXW103" s="38"/>
      <c r="AYC103" s="8"/>
      <c r="AYD103" s="18"/>
      <c r="AYE103" s="38"/>
      <c r="AYK103" s="8"/>
      <c r="AYL103" s="18"/>
      <c r="AYM103" s="38"/>
      <c r="AYS103" s="8"/>
      <c r="AYT103" s="18"/>
      <c r="AYU103" s="38"/>
      <c r="AZA103" s="8"/>
      <c r="AZB103" s="18"/>
      <c r="AZC103" s="38"/>
      <c r="AZI103" s="8"/>
      <c r="AZJ103" s="18"/>
      <c r="AZK103" s="38"/>
      <c r="AZQ103" s="8"/>
      <c r="AZR103" s="18"/>
      <c r="AZS103" s="38"/>
      <c r="AZY103" s="8"/>
      <c r="AZZ103" s="18"/>
      <c r="BAA103" s="38"/>
      <c r="BAG103" s="8"/>
      <c r="BAH103" s="18"/>
      <c r="BAI103" s="38"/>
      <c r="BAO103" s="8"/>
      <c r="BAP103" s="18"/>
      <c r="BAQ103" s="38"/>
      <c r="BAW103" s="8"/>
      <c r="BAX103" s="18"/>
      <c r="BAY103" s="38"/>
      <c r="BBE103" s="8"/>
      <c r="BBF103" s="18"/>
      <c r="BBG103" s="38"/>
      <c r="BBM103" s="8"/>
      <c r="BBN103" s="18"/>
      <c r="BBO103" s="38"/>
      <c r="BBU103" s="8"/>
      <c r="BBV103" s="18"/>
      <c r="BBW103" s="38"/>
      <c r="BCC103" s="8"/>
      <c r="BCD103" s="18"/>
      <c r="BCE103" s="38"/>
      <c r="BCK103" s="8"/>
      <c r="BCL103" s="18"/>
      <c r="BCM103" s="38"/>
      <c r="BCS103" s="8"/>
      <c r="BCT103" s="18"/>
      <c r="BCU103" s="38"/>
      <c r="BDA103" s="8"/>
      <c r="BDB103" s="18"/>
      <c r="BDC103" s="38"/>
      <c r="BDI103" s="8"/>
      <c r="BDJ103" s="18"/>
      <c r="BDK103" s="38"/>
      <c r="BDQ103" s="8"/>
      <c r="BDR103" s="18"/>
      <c r="BDS103" s="38"/>
      <c r="BDY103" s="8"/>
      <c r="BDZ103" s="18"/>
      <c r="BEA103" s="38"/>
      <c r="BEG103" s="8"/>
      <c r="BEH103" s="18"/>
      <c r="BEI103" s="38"/>
      <c r="BEO103" s="8"/>
      <c r="BEP103" s="18"/>
      <c r="BEQ103" s="38"/>
      <c r="BEW103" s="8"/>
      <c r="BEX103" s="18"/>
      <c r="BEY103" s="38"/>
      <c r="BFE103" s="8"/>
      <c r="BFF103" s="18"/>
      <c r="BFG103" s="38"/>
      <c r="BFM103" s="8"/>
      <c r="BFN103" s="18"/>
      <c r="BFO103" s="38"/>
      <c r="BFU103" s="8"/>
      <c r="BFV103" s="18"/>
      <c r="BFW103" s="38"/>
      <c r="BGC103" s="8"/>
      <c r="BGD103" s="18"/>
      <c r="BGE103" s="38"/>
      <c r="BGK103" s="8"/>
      <c r="BGL103" s="18"/>
      <c r="BGM103" s="38"/>
      <c r="BGS103" s="8"/>
      <c r="BGT103" s="18"/>
      <c r="BGU103" s="38"/>
      <c r="BHA103" s="8"/>
      <c r="BHB103" s="18"/>
      <c r="BHC103" s="38"/>
      <c r="BHI103" s="8"/>
      <c r="BHJ103" s="18"/>
      <c r="BHK103" s="38"/>
      <c r="BHQ103" s="8"/>
      <c r="BHR103" s="18"/>
      <c r="BHS103" s="38"/>
      <c r="BHY103" s="8"/>
      <c r="BHZ103" s="18"/>
      <c r="BIA103" s="38"/>
      <c r="BIG103" s="8"/>
      <c r="BIH103" s="18"/>
      <c r="BII103" s="38"/>
      <c r="BIO103" s="8"/>
      <c r="BIP103" s="18"/>
      <c r="BIQ103" s="38"/>
      <c r="BIW103" s="8"/>
      <c r="BIX103" s="18"/>
      <c r="BIY103" s="38"/>
      <c r="BJE103" s="8"/>
      <c r="BJF103" s="18"/>
      <c r="BJG103" s="38"/>
      <c r="BJM103" s="8"/>
      <c r="BJN103" s="18"/>
      <c r="BJO103" s="38"/>
      <c r="BJU103" s="8"/>
      <c r="BJV103" s="18"/>
      <c r="BJW103" s="38"/>
      <c r="BKC103" s="8"/>
      <c r="BKD103" s="18"/>
      <c r="BKE103" s="38"/>
      <c r="BKK103" s="8"/>
      <c r="BKL103" s="18"/>
      <c r="BKM103" s="38"/>
      <c r="BKS103" s="8"/>
      <c r="BKT103" s="18"/>
      <c r="BKU103" s="38"/>
      <c r="BLA103" s="8"/>
      <c r="BLB103" s="18"/>
      <c r="BLC103" s="38"/>
      <c r="BLI103" s="8"/>
      <c r="BLJ103" s="18"/>
      <c r="BLK103" s="38"/>
      <c r="BLQ103" s="8"/>
      <c r="BLR103" s="18"/>
      <c r="BLS103" s="38"/>
      <c r="BLY103" s="8"/>
      <c r="BLZ103" s="18"/>
      <c r="BMA103" s="38"/>
      <c r="BMG103" s="8"/>
      <c r="BMH103" s="18"/>
      <c r="BMI103" s="38"/>
      <c r="BMO103" s="8"/>
      <c r="BMP103" s="18"/>
      <c r="BMQ103" s="38"/>
      <c r="BMW103" s="8"/>
      <c r="BMX103" s="18"/>
      <c r="BMY103" s="38"/>
      <c r="BNE103" s="8"/>
      <c r="BNF103" s="18"/>
      <c r="BNG103" s="38"/>
      <c r="BNM103" s="8"/>
      <c r="BNN103" s="18"/>
      <c r="BNO103" s="38"/>
      <c r="BNU103" s="8"/>
      <c r="BNV103" s="18"/>
      <c r="BNW103" s="38"/>
      <c r="BOC103" s="8"/>
      <c r="BOD103" s="18"/>
      <c r="BOE103" s="38"/>
      <c r="BOK103" s="8"/>
      <c r="BOL103" s="18"/>
      <c r="BOM103" s="38"/>
      <c r="BOS103" s="8"/>
      <c r="BOT103" s="18"/>
      <c r="BOU103" s="38"/>
      <c r="BPA103" s="8"/>
      <c r="BPB103" s="18"/>
      <c r="BPC103" s="38"/>
      <c r="BPI103" s="8"/>
      <c r="BPJ103" s="18"/>
      <c r="BPK103" s="38"/>
      <c r="BPQ103" s="8"/>
      <c r="BPR103" s="18"/>
      <c r="BPS103" s="38"/>
      <c r="BPY103" s="8"/>
      <c r="BPZ103" s="18"/>
      <c r="BQA103" s="38"/>
      <c r="BQG103" s="8"/>
      <c r="BQH103" s="18"/>
      <c r="BQI103" s="38"/>
      <c r="BQO103" s="8"/>
      <c r="BQP103" s="18"/>
      <c r="BQQ103" s="38"/>
      <c r="BQW103" s="8"/>
      <c r="BQX103" s="18"/>
      <c r="BQY103" s="38"/>
      <c r="BRE103" s="8"/>
      <c r="BRF103" s="18"/>
      <c r="BRG103" s="38"/>
      <c r="BRM103" s="8"/>
      <c r="BRN103" s="18"/>
      <c r="BRO103" s="38"/>
      <c r="BRU103" s="8"/>
      <c r="BRV103" s="18"/>
      <c r="BRW103" s="38"/>
      <c r="BSC103" s="8"/>
      <c r="BSD103" s="18"/>
      <c r="BSE103" s="38"/>
      <c r="BSK103" s="8"/>
      <c r="BSL103" s="18"/>
      <c r="BSM103" s="38"/>
      <c r="BSS103" s="8"/>
      <c r="BST103" s="18"/>
      <c r="BSU103" s="38"/>
      <c r="BTA103" s="8"/>
      <c r="BTB103" s="18"/>
      <c r="BTC103" s="38"/>
      <c r="BTI103" s="8"/>
      <c r="BTJ103" s="18"/>
      <c r="BTK103" s="38"/>
      <c r="BTQ103" s="8"/>
      <c r="BTR103" s="18"/>
      <c r="BTS103" s="38"/>
      <c r="BTY103" s="8"/>
      <c r="BTZ103" s="18"/>
      <c r="BUA103" s="38"/>
      <c r="BUG103" s="8"/>
      <c r="BUH103" s="18"/>
      <c r="BUI103" s="38"/>
      <c r="BUO103" s="8"/>
      <c r="BUP103" s="18"/>
      <c r="BUQ103" s="38"/>
      <c r="BUW103" s="8"/>
      <c r="BUX103" s="18"/>
      <c r="BUY103" s="38"/>
      <c r="BVE103" s="8"/>
      <c r="BVF103" s="18"/>
      <c r="BVG103" s="38"/>
      <c r="BVM103" s="8"/>
      <c r="BVN103" s="18"/>
      <c r="BVO103" s="38"/>
      <c r="BVU103" s="8"/>
      <c r="BVV103" s="18"/>
      <c r="BVW103" s="38"/>
      <c r="BWC103" s="8"/>
      <c r="BWD103" s="18"/>
      <c r="BWE103" s="38"/>
      <c r="BWK103" s="8"/>
      <c r="BWL103" s="18"/>
      <c r="BWM103" s="38"/>
      <c r="BWS103" s="8"/>
      <c r="BWT103" s="18"/>
      <c r="BWU103" s="38"/>
      <c r="BXA103" s="8"/>
      <c r="BXB103" s="18"/>
      <c r="BXC103" s="38"/>
      <c r="BXI103" s="8"/>
      <c r="BXJ103" s="18"/>
      <c r="BXK103" s="38"/>
      <c r="BXQ103" s="8"/>
      <c r="BXR103" s="18"/>
      <c r="BXS103" s="38"/>
      <c r="BXY103" s="8"/>
      <c r="BXZ103" s="18"/>
      <c r="BYA103" s="38"/>
      <c r="BYG103" s="8"/>
      <c r="BYH103" s="18"/>
      <c r="BYI103" s="38"/>
      <c r="BYO103" s="8"/>
      <c r="BYP103" s="18"/>
      <c r="BYQ103" s="38"/>
      <c r="BYW103" s="8"/>
      <c r="BYX103" s="18"/>
      <c r="BYY103" s="38"/>
      <c r="BZE103" s="8"/>
      <c r="BZF103" s="18"/>
      <c r="BZG103" s="38"/>
      <c r="BZM103" s="8"/>
      <c r="BZN103" s="18"/>
      <c r="BZO103" s="38"/>
      <c r="BZU103" s="8"/>
      <c r="BZV103" s="18"/>
      <c r="BZW103" s="38"/>
      <c r="CAC103" s="8"/>
      <c r="CAD103" s="18"/>
      <c r="CAE103" s="38"/>
      <c r="CAK103" s="8"/>
      <c r="CAL103" s="18"/>
      <c r="CAM103" s="38"/>
      <c r="CAS103" s="8"/>
      <c r="CAT103" s="18"/>
      <c r="CAU103" s="38"/>
      <c r="CBA103" s="8"/>
      <c r="CBB103" s="18"/>
      <c r="CBC103" s="38"/>
      <c r="CBI103" s="8"/>
      <c r="CBJ103" s="18"/>
      <c r="CBK103" s="38"/>
      <c r="CBQ103" s="8"/>
      <c r="CBR103" s="18"/>
      <c r="CBS103" s="38"/>
      <c r="CBY103" s="8"/>
      <c r="CBZ103" s="18"/>
      <c r="CCA103" s="38"/>
      <c r="CCG103" s="8"/>
      <c r="CCH103" s="18"/>
      <c r="CCI103" s="38"/>
      <c r="CCO103" s="8"/>
      <c r="CCP103" s="18"/>
      <c r="CCQ103" s="38"/>
      <c r="CCW103" s="8"/>
      <c r="CCX103" s="18"/>
      <c r="CCY103" s="38"/>
      <c r="CDE103" s="8"/>
      <c r="CDF103" s="18"/>
      <c r="CDG103" s="38"/>
      <c r="CDM103" s="8"/>
      <c r="CDN103" s="18"/>
      <c r="CDO103" s="38"/>
      <c r="CDU103" s="8"/>
      <c r="CDV103" s="18"/>
      <c r="CDW103" s="38"/>
      <c r="CEC103" s="8"/>
      <c r="CED103" s="18"/>
      <c r="CEE103" s="38"/>
      <c r="CEK103" s="8"/>
      <c r="CEL103" s="18"/>
      <c r="CEM103" s="38"/>
      <c r="CES103" s="8"/>
      <c r="CET103" s="18"/>
      <c r="CEU103" s="38"/>
      <c r="CFA103" s="8"/>
      <c r="CFB103" s="18"/>
      <c r="CFC103" s="38"/>
      <c r="CFI103" s="8"/>
      <c r="CFJ103" s="18"/>
      <c r="CFK103" s="38"/>
      <c r="CFQ103" s="8"/>
      <c r="CFR103" s="18"/>
      <c r="CFS103" s="38"/>
      <c r="CFY103" s="8"/>
      <c r="CFZ103" s="18"/>
      <c r="CGA103" s="38"/>
      <c r="CGG103" s="8"/>
      <c r="CGH103" s="18"/>
      <c r="CGI103" s="38"/>
      <c r="CGO103" s="8"/>
      <c r="CGP103" s="18"/>
      <c r="CGQ103" s="38"/>
      <c r="CGW103" s="8"/>
      <c r="CGX103" s="18"/>
      <c r="CGY103" s="38"/>
      <c r="CHE103" s="8"/>
      <c r="CHF103" s="18"/>
      <c r="CHG103" s="38"/>
      <c r="CHM103" s="8"/>
      <c r="CHN103" s="18"/>
      <c r="CHO103" s="38"/>
      <c r="CHU103" s="8"/>
      <c r="CHV103" s="18"/>
      <c r="CHW103" s="38"/>
      <c r="CIC103" s="8"/>
      <c r="CID103" s="18"/>
      <c r="CIE103" s="38"/>
      <c r="CIK103" s="8"/>
      <c r="CIL103" s="18"/>
      <c r="CIM103" s="38"/>
      <c r="CIS103" s="8"/>
      <c r="CIT103" s="18"/>
      <c r="CIU103" s="38"/>
      <c r="CJA103" s="8"/>
      <c r="CJB103" s="18"/>
      <c r="CJC103" s="38"/>
      <c r="CJI103" s="8"/>
      <c r="CJJ103" s="18"/>
      <c r="CJK103" s="38"/>
      <c r="CJQ103" s="8"/>
      <c r="CJR103" s="18"/>
      <c r="CJS103" s="38"/>
      <c r="CJY103" s="8"/>
      <c r="CJZ103" s="18"/>
      <c r="CKA103" s="38"/>
      <c r="CKG103" s="8"/>
      <c r="CKH103" s="18"/>
      <c r="CKI103" s="38"/>
      <c r="CKO103" s="8"/>
      <c r="CKP103" s="18"/>
      <c r="CKQ103" s="38"/>
      <c r="CKW103" s="8"/>
      <c r="CKX103" s="18"/>
      <c r="CKY103" s="38"/>
      <c r="CLE103" s="8"/>
      <c r="CLF103" s="18"/>
      <c r="CLG103" s="38"/>
      <c r="CLM103" s="8"/>
      <c r="CLN103" s="18"/>
      <c r="CLO103" s="38"/>
      <c r="CLU103" s="8"/>
      <c r="CLV103" s="18"/>
      <c r="CLW103" s="38"/>
      <c r="CMC103" s="8"/>
      <c r="CMD103" s="18"/>
      <c r="CME103" s="38"/>
      <c r="CMK103" s="8"/>
      <c r="CML103" s="18"/>
      <c r="CMM103" s="38"/>
      <c r="CMS103" s="8"/>
      <c r="CMT103" s="18"/>
      <c r="CMU103" s="38"/>
      <c r="CNA103" s="8"/>
      <c r="CNB103" s="18"/>
      <c r="CNC103" s="38"/>
      <c r="CNI103" s="8"/>
      <c r="CNJ103" s="18"/>
      <c r="CNK103" s="38"/>
      <c r="CNQ103" s="8"/>
      <c r="CNR103" s="18"/>
      <c r="CNS103" s="38"/>
      <c r="CNY103" s="8"/>
      <c r="CNZ103" s="18"/>
      <c r="COA103" s="38"/>
      <c r="COG103" s="8"/>
      <c r="COH103" s="18"/>
      <c r="COI103" s="38"/>
      <c r="COO103" s="8"/>
      <c r="COP103" s="18"/>
      <c r="COQ103" s="38"/>
      <c r="COW103" s="8"/>
      <c r="COX103" s="18"/>
      <c r="COY103" s="38"/>
      <c r="CPE103" s="8"/>
      <c r="CPF103" s="18"/>
      <c r="CPG103" s="38"/>
      <c r="CPM103" s="8"/>
      <c r="CPN103" s="18"/>
      <c r="CPO103" s="38"/>
      <c r="CPU103" s="8"/>
      <c r="CPV103" s="18"/>
      <c r="CPW103" s="38"/>
      <c r="CQC103" s="8"/>
      <c r="CQD103" s="18"/>
      <c r="CQE103" s="38"/>
      <c r="CQK103" s="8"/>
      <c r="CQL103" s="18"/>
      <c r="CQM103" s="38"/>
      <c r="CQS103" s="8"/>
      <c r="CQT103" s="18"/>
      <c r="CQU103" s="38"/>
      <c r="CRA103" s="8"/>
      <c r="CRB103" s="18"/>
      <c r="CRC103" s="38"/>
      <c r="CRI103" s="8"/>
      <c r="CRJ103" s="18"/>
      <c r="CRK103" s="38"/>
      <c r="CRQ103" s="8"/>
      <c r="CRR103" s="18"/>
      <c r="CRS103" s="38"/>
      <c r="CRY103" s="8"/>
      <c r="CRZ103" s="18"/>
      <c r="CSA103" s="38"/>
      <c r="CSG103" s="8"/>
      <c r="CSH103" s="18"/>
      <c r="CSI103" s="38"/>
      <c r="CSO103" s="8"/>
      <c r="CSP103" s="18"/>
      <c r="CSQ103" s="38"/>
      <c r="CSW103" s="8"/>
      <c r="CSX103" s="18"/>
      <c r="CSY103" s="38"/>
      <c r="CTE103" s="8"/>
      <c r="CTF103" s="18"/>
      <c r="CTG103" s="38"/>
      <c r="CTM103" s="8"/>
      <c r="CTN103" s="18"/>
      <c r="CTO103" s="38"/>
      <c r="CTU103" s="8"/>
      <c r="CTV103" s="18"/>
      <c r="CTW103" s="38"/>
      <c r="CUC103" s="8"/>
      <c r="CUD103" s="18"/>
      <c r="CUE103" s="38"/>
      <c r="CUK103" s="8"/>
      <c r="CUL103" s="18"/>
      <c r="CUM103" s="38"/>
      <c r="CUS103" s="8"/>
      <c r="CUT103" s="18"/>
      <c r="CUU103" s="38"/>
      <c r="CVA103" s="8"/>
      <c r="CVB103" s="18"/>
      <c r="CVC103" s="38"/>
      <c r="CVI103" s="8"/>
      <c r="CVJ103" s="18"/>
      <c r="CVK103" s="38"/>
      <c r="CVQ103" s="8"/>
      <c r="CVR103" s="18"/>
      <c r="CVS103" s="38"/>
      <c r="CVY103" s="8"/>
      <c r="CVZ103" s="18"/>
      <c r="CWA103" s="38"/>
      <c r="CWG103" s="8"/>
      <c r="CWH103" s="18"/>
      <c r="CWI103" s="38"/>
      <c r="CWO103" s="8"/>
      <c r="CWP103" s="18"/>
      <c r="CWQ103" s="38"/>
      <c r="CWW103" s="8"/>
      <c r="CWX103" s="18"/>
      <c r="CWY103" s="38"/>
      <c r="CXE103" s="8"/>
      <c r="CXF103" s="18"/>
      <c r="CXG103" s="38"/>
      <c r="CXM103" s="8"/>
      <c r="CXN103" s="18"/>
      <c r="CXO103" s="38"/>
      <c r="CXU103" s="8"/>
      <c r="CXV103" s="18"/>
      <c r="CXW103" s="38"/>
      <c r="CYC103" s="8"/>
      <c r="CYD103" s="18"/>
      <c r="CYE103" s="38"/>
      <c r="CYK103" s="8"/>
      <c r="CYL103" s="18"/>
      <c r="CYM103" s="38"/>
      <c r="CYS103" s="8"/>
      <c r="CYT103" s="18"/>
      <c r="CYU103" s="38"/>
      <c r="CZA103" s="8"/>
      <c r="CZB103" s="18"/>
      <c r="CZC103" s="38"/>
      <c r="CZI103" s="8"/>
      <c r="CZJ103" s="18"/>
      <c r="CZK103" s="38"/>
      <c r="CZQ103" s="8"/>
      <c r="CZR103" s="18"/>
      <c r="CZS103" s="38"/>
      <c r="CZY103" s="8"/>
      <c r="CZZ103" s="18"/>
      <c r="DAA103" s="38"/>
      <c r="DAG103" s="8"/>
      <c r="DAH103" s="18"/>
      <c r="DAI103" s="38"/>
      <c r="DAO103" s="8"/>
      <c r="DAP103" s="18"/>
      <c r="DAQ103" s="38"/>
      <c r="DAW103" s="8"/>
      <c r="DAX103" s="18"/>
      <c r="DAY103" s="38"/>
      <c r="DBE103" s="8"/>
      <c r="DBF103" s="18"/>
      <c r="DBG103" s="38"/>
      <c r="DBM103" s="8"/>
      <c r="DBN103" s="18"/>
      <c r="DBO103" s="38"/>
      <c r="DBU103" s="8"/>
      <c r="DBV103" s="18"/>
      <c r="DBW103" s="38"/>
      <c r="DCC103" s="8"/>
      <c r="DCD103" s="18"/>
      <c r="DCE103" s="38"/>
      <c r="DCK103" s="8"/>
      <c r="DCL103" s="18"/>
      <c r="DCM103" s="38"/>
      <c r="DCS103" s="8"/>
      <c r="DCT103" s="18"/>
      <c r="DCU103" s="38"/>
      <c r="DDA103" s="8"/>
      <c r="DDB103" s="18"/>
      <c r="DDC103" s="38"/>
      <c r="DDI103" s="8"/>
      <c r="DDJ103" s="18"/>
      <c r="DDK103" s="38"/>
      <c r="DDQ103" s="8"/>
      <c r="DDR103" s="18"/>
      <c r="DDS103" s="38"/>
      <c r="DDY103" s="8"/>
      <c r="DDZ103" s="18"/>
      <c r="DEA103" s="38"/>
      <c r="DEG103" s="8"/>
      <c r="DEH103" s="18"/>
      <c r="DEI103" s="38"/>
      <c r="DEO103" s="8"/>
      <c r="DEP103" s="18"/>
      <c r="DEQ103" s="38"/>
      <c r="DEW103" s="8"/>
      <c r="DEX103" s="18"/>
      <c r="DEY103" s="38"/>
      <c r="DFE103" s="8"/>
      <c r="DFF103" s="18"/>
      <c r="DFG103" s="38"/>
      <c r="DFM103" s="8"/>
      <c r="DFN103" s="18"/>
      <c r="DFO103" s="38"/>
      <c r="DFU103" s="8"/>
      <c r="DFV103" s="18"/>
      <c r="DFW103" s="38"/>
      <c r="DGC103" s="8"/>
      <c r="DGD103" s="18"/>
      <c r="DGE103" s="38"/>
      <c r="DGK103" s="8"/>
      <c r="DGL103" s="18"/>
      <c r="DGM103" s="38"/>
      <c r="DGS103" s="8"/>
      <c r="DGT103" s="18"/>
      <c r="DGU103" s="38"/>
      <c r="DHA103" s="8"/>
      <c r="DHB103" s="18"/>
      <c r="DHC103" s="38"/>
      <c r="DHI103" s="8"/>
      <c r="DHJ103" s="18"/>
      <c r="DHK103" s="38"/>
      <c r="DHQ103" s="8"/>
      <c r="DHR103" s="18"/>
      <c r="DHS103" s="38"/>
      <c r="DHY103" s="8"/>
      <c r="DHZ103" s="18"/>
      <c r="DIA103" s="38"/>
      <c r="DIG103" s="8"/>
      <c r="DIH103" s="18"/>
      <c r="DII103" s="38"/>
      <c r="DIO103" s="8"/>
      <c r="DIP103" s="18"/>
      <c r="DIQ103" s="38"/>
      <c r="DIW103" s="8"/>
      <c r="DIX103" s="18"/>
      <c r="DIY103" s="38"/>
      <c r="DJE103" s="8"/>
      <c r="DJF103" s="18"/>
      <c r="DJG103" s="38"/>
      <c r="DJM103" s="8"/>
      <c r="DJN103" s="18"/>
      <c r="DJO103" s="38"/>
      <c r="DJU103" s="8"/>
      <c r="DJV103" s="18"/>
      <c r="DJW103" s="38"/>
      <c r="DKC103" s="8"/>
      <c r="DKD103" s="18"/>
      <c r="DKE103" s="38"/>
      <c r="DKK103" s="8"/>
      <c r="DKL103" s="18"/>
      <c r="DKM103" s="38"/>
      <c r="DKS103" s="8"/>
      <c r="DKT103" s="18"/>
      <c r="DKU103" s="38"/>
      <c r="DLA103" s="8"/>
      <c r="DLB103" s="18"/>
      <c r="DLC103" s="38"/>
      <c r="DLI103" s="8"/>
      <c r="DLJ103" s="18"/>
      <c r="DLK103" s="38"/>
      <c r="DLQ103" s="8"/>
      <c r="DLR103" s="18"/>
      <c r="DLS103" s="38"/>
      <c r="DLY103" s="8"/>
      <c r="DLZ103" s="18"/>
      <c r="DMA103" s="38"/>
      <c r="DMG103" s="8"/>
      <c r="DMH103" s="18"/>
      <c r="DMI103" s="38"/>
      <c r="DMO103" s="8"/>
      <c r="DMP103" s="18"/>
      <c r="DMQ103" s="38"/>
      <c r="DMW103" s="8"/>
      <c r="DMX103" s="18"/>
      <c r="DMY103" s="38"/>
      <c r="DNE103" s="8"/>
      <c r="DNF103" s="18"/>
      <c r="DNG103" s="38"/>
      <c r="DNM103" s="8"/>
      <c r="DNN103" s="18"/>
      <c r="DNO103" s="38"/>
      <c r="DNU103" s="8"/>
      <c r="DNV103" s="18"/>
      <c r="DNW103" s="38"/>
      <c r="DOC103" s="8"/>
      <c r="DOD103" s="18"/>
      <c r="DOE103" s="38"/>
      <c r="DOK103" s="8"/>
      <c r="DOL103" s="18"/>
      <c r="DOM103" s="38"/>
      <c r="DOS103" s="8"/>
      <c r="DOT103" s="18"/>
      <c r="DOU103" s="38"/>
      <c r="DPA103" s="8"/>
      <c r="DPB103" s="18"/>
      <c r="DPC103" s="38"/>
      <c r="DPI103" s="8"/>
      <c r="DPJ103" s="18"/>
      <c r="DPK103" s="38"/>
      <c r="DPQ103" s="8"/>
      <c r="DPR103" s="18"/>
      <c r="DPS103" s="38"/>
      <c r="DPY103" s="8"/>
      <c r="DPZ103" s="18"/>
      <c r="DQA103" s="38"/>
      <c r="DQG103" s="8"/>
      <c r="DQH103" s="18"/>
      <c r="DQI103" s="38"/>
      <c r="DQO103" s="8"/>
      <c r="DQP103" s="18"/>
      <c r="DQQ103" s="38"/>
      <c r="DQW103" s="8"/>
      <c r="DQX103" s="18"/>
      <c r="DQY103" s="38"/>
      <c r="DRE103" s="8"/>
      <c r="DRF103" s="18"/>
      <c r="DRG103" s="38"/>
      <c r="DRM103" s="8"/>
      <c r="DRN103" s="18"/>
      <c r="DRO103" s="38"/>
      <c r="DRU103" s="8"/>
      <c r="DRV103" s="18"/>
      <c r="DRW103" s="38"/>
      <c r="DSC103" s="8"/>
      <c r="DSD103" s="18"/>
      <c r="DSE103" s="38"/>
      <c r="DSK103" s="8"/>
      <c r="DSL103" s="18"/>
      <c r="DSM103" s="38"/>
      <c r="DSS103" s="8"/>
      <c r="DST103" s="18"/>
      <c r="DSU103" s="38"/>
      <c r="DTA103" s="8"/>
      <c r="DTB103" s="18"/>
      <c r="DTC103" s="38"/>
      <c r="DTI103" s="8"/>
      <c r="DTJ103" s="18"/>
      <c r="DTK103" s="38"/>
      <c r="DTQ103" s="8"/>
      <c r="DTR103" s="18"/>
      <c r="DTS103" s="38"/>
      <c r="DTY103" s="8"/>
      <c r="DTZ103" s="18"/>
      <c r="DUA103" s="38"/>
      <c r="DUG103" s="8"/>
      <c r="DUH103" s="18"/>
      <c r="DUI103" s="38"/>
      <c r="DUO103" s="8"/>
      <c r="DUP103" s="18"/>
      <c r="DUQ103" s="38"/>
      <c r="DUW103" s="8"/>
      <c r="DUX103" s="18"/>
      <c r="DUY103" s="38"/>
      <c r="DVE103" s="8"/>
      <c r="DVF103" s="18"/>
      <c r="DVG103" s="38"/>
      <c r="DVM103" s="8"/>
      <c r="DVN103" s="18"/>
      <c r="DVO103" s="38"/>
      <c r="DVU103" s="8"/>
      <c r="DVV103" s="18"/>
      <c r="DVW103" s="38"/>
      <c r="DWC103" s="8"/>
      <c r="DWD103" s="18"/>
      <c r="DWE103" s="38"/>
      <c r="DWK103" s="8"/>
      <c r="DWL103" s="18"/>
      <c r="DWM103" s="38"/>
      <c r="DWS103" s="8"/>
      <c r="DWT103" s="18"/>
      <c r="DWU103" s="38"/>
      <c r="DXA103" s="8"/>
      <c r="DXB103" s="18"/>
      <c r="DXC103" s="38"/>
      <c r="DXI103" s="8"/>
      <c r="DXJ103" s="18"/>
      <c r="DXK103" s="38"/>
      <c r="DXQ103" s="8"/>
      <c r="DXR103" s="18"/>
      <c r="DXS103" s="38"/>
      <c r="DXY103" s="8"/>
      <c r="DXZ103" s="18"/>
      <c r="DYA103" s="38"/>
      <c r="DYG103" s="8"/>
      <c r="DYH103" s="18"/>
      <c r="DYI103" s="38"/>
      <c r="DYO103" s="8"/>
      <c r="DYP103" s="18"/>
      <c r="DYQ103" s="38"/>
      <c r="DYW103" s="8"/>
      <c r="DYX103" s="18"/>
      <c r="DYY103" s="38"/>
      <c r="DZE103" s="8"/>
      <c r="DZF103" s="18"/>
      <c r="DZG103" s="38"/>
      <c r="DZM103" s="8"/>
      <c r="DZN103" s="18"/>
      <c r="DZO103" s="38"/>
      <c r="DZU103" s="8"/>
      <c r="DZV103" s="18"/>
      <c r="DZW103" s="38"/>
      <c r="EAC103" s="8"/>
      <c r="EAD103" s="18"/>
      <c r="EAE103" s="38"/>
      <c r="EAK103" s="8"/>
      <c r="EAL103" s="18"/>
      <c r="EAM103" s="38"/>
      <c r="EAS103" s="8"/>
      <c r="EAT103" s="18"/>
      <c r="EAU103" s="38"/>
      <c r="EBA103" s="8"/>
      <c r="EBB103" s="18"/>
      <c r="EBC103" s="38"/>
      <c r="EBI103" s="8"/>
      <c r="EBJ103" s="18"/>
      <c r="EBK103" s="38"/>
      <c r="EBQ103" s="8"/>
      <c r="EBR103" s="18"/>
      <c r="EBS103" s="38"/>
      <c r="EBY103" s="8"/>
      <c r="EBZ103" s="18"/>
      <c r="ECA103" s="38"/>
      <c r="ECG103" s="8"/>
      <c r="ECH103" s="18"/>
      <c r="ECI103" s="38"/>
      <c r="ECO103" s="8"/>
      <c r="ECP103" s="18"/>
      <c r="ECQ103" s="38"/>
      <c r="ECW103" s="8"/>
      <c r="ECX103" s="18"/>
      <c r="ECY103" s="38"/>
      <c r="EDE103" s="8"/>
      <c r="EDF103" s="18"/>
      <c r="EDG103" s="38"/>
      <c r="EDM103" s="8"/>
      <c r="EDN103" s="18"/>
      <c r="EDO103" s="38"/>
      <c r="EDU103" s="8"/>
      <c r="EDV103" s="18"/>
      <c r="EDW103" s="38"/>
      <c r="EEC103" s="8"/>
      <c r="EED103" s="18"/>
      <c r="EEE103" s="38"/>
      <c r="EEK103" s="8"/>
      <c r="EEL103" s="18"/>
      <c r="EEM103" s="38"/>
      <c r="EES103" s="8"/>
      <c r="EET103" s="18"/>
      <c r="EEU103" s="38"/>
      <c r="EFA103" s="8"/>
      <c r="EFB103" s="18"/>
      <c r="EFC103" s="38"/>
      <c r="EFI103" s="8"/>
      <c r="EFJ103" s="18"/>
      <c r="EFK103" s="38"/>
      <c r="EFQ103" s="8"/>
      <c r="EFR103" s="18"/>
      <c r="EFS103" s="38"/>
      <c r="EFY103" s="8"/>
      <c r="EFZ103" s="18"/>
      <c r="EGA103" s="38"/>
      <c r="EGG103" s="8"/>
      <c r="EGH103" s="18"/>
      <c r="EGI103" s="38"/>
      <c r="EGO103" s="8"/>
      <c r="EGP103" s="18"/>
      <c r="EGQ103" s="38"/>
      <c r="EGW103" s="8"/>
      <c r="EGX103" s="18"/>
      <c r="EGY103" s="38"/>
      <c r="EHE103" s="8"/>
      <c r="EHF103" s="18"/>
      <c r="EHG103" s="38"/>
      <c r="EHM103" s="8"/>
      <c r="EHN103" s="18"/>
      <c r="EHO103" s="38"/>
      <c r="EHU103" s="8"/>
      <c r="EHV103" s="18"/>
      <c r="EHW103" s="38"/>
      <c r="EIC103" s="8"/>
      <c r="EID103" s="18"/>
      <c r="EIE103" s="38"/>
      <c r="EIK103" s="8"/>
      <c r="EIL103" s="18"/>
      <c r="EIM103" s="38"/>
      <c r="EIS103" s="8"/>
      <c r="EIT103" s="18"/>
      <c r="EIU103" s="38"/>
      <c r="EJA103" s="8"/>
      <c r="EJB103" s="18"/>
      <c r="EJC103" s="38"/>
      <c r="EJI103" s="8"/>
      <c r="EJJ103" s="18"/>
      <c r="EJK103" s="38"/>
      <c r="EJQ103" s="8"/>
      <c r="EJR103" s="18"/>
      <c r="EJS103" s="38"/>
      <c r="EJY103" s="8"/>
      <c r="EJZ103" s="18"/>
      <c r="EKA103" s="38"/>
      <c r="EKG103" s="8"/>
      <c r="EKH103" s="18"/>
      <c r="EKI103" s="38"/>
      <c r="EKO103" s="8"/>
      <c r="EKP103" s="18"/>
      <c r="EKQ103" s="38"/>
      <c r="EKW103" s="8"/>
      <c r="EKX103" s="18"/>
      <c r="EKY103" s="38"/>
      <c r="ELE103" s="8"/>
      <c r="ELF103" s="18"/>
      <c r="ELG103" s="38"/>
      <c r="ELM103" s="8"/>
      <c r="ELN103" s="18"/>
      <c r="ELO103" s="38"/>
      <c r="ELU103" s="8"/>
      <c r="ELV103" s="18"/>
      <c r="ELW103" s="38"/>
      <c r="EMC103" s="8"/>
      <c r="EMD103" s="18"/>
      <c r="EME103" s="38"/>
      <c r="EMK103" s="8"/>
      <c r="EML103" s="18"/>
      <c r="EMM103" s="38"/>
      <c r="EMS103" s="8"/>
      <c r="EMT103" s="18"/>
      <c r="EMU103" s="38"/>
      <c r="ENA103" s="8"/>
      <c r="ENB103" s="18"/>
      <c r="ENC103" s="38"/>
      <c r="ENI103" s="8"/>
      <c r="ENJ103" s="18"/>
      <c r="ENK103" s="38"/>
      <c r="ENQ103" s="8"/>
      <c r="ENR103" s="18"/>
      <c r="ENS103" s="38"/>
      <c r="ENY103" s="8"/>
      <c r="ENZ103" s="18"/>
      <c r="EOA103" s="38"/>
      <c r="EOG103" s="8"/>
      <c r="EOH103" s="18"/>
      <c r="EOI103" s="38"/>
      <c r="EOO103" s="8"/>
      <c r="EOP103" s="18"/>
      <c r="EOQ103" s="38"/>
      <c r="EOW103" s="8"/>
      <c r="EOX103" s="18"/>
      <c r="EOY103" s="38"/>
      <c r="EPE103" s="8"/>
      <c r="EPF103" s="18"/>
      <c r="EPG103" s="38"/>
      <c r="EPM103" s="8"/>
      <c r="EPN103" s="18"/>
      <c r="EPO103" s="38"/>
      <c r="EPU103" s="8"/>
      <c r="EPV103" s="18"/>
      <c r="EPW103" s="38"/>
      <c r="EQC103" s="8"/>
      <c r="EQD103" s="18"/>
      <c r="EQE103" s="38"/>
      <c r="EQK103" s="8"/>
      <c r="EQL103" s="18"/>
      <c r="EQM103" s="38"/>
      <c r="EQS103" s="8"/>
      <c r="EQT103" s="18"/>
      <c r="EQU103" s="38"/>
      <c r="ERA103" s="8"/>
      <c r="ERB103" s="18"/>
      <c r="ERC103" s="38"/>
      <c r="ERI103" s="8"/>
      <c r="ERJ103" s="18"/>
      <c r="ERK103" s="38"/>
      <c r="ERQ103" s="8"/>
      <c r="ERR103" s="18"/>
      <c r="ERS103" s="38"/>
      <c r="ERY103" s="8"/>
      <c r="ERZ103" s="18"/>
      <c r="ESA103" s="38"/>
      <c r="ESG103" s="8"/>
      <c r="ESH103" s="18"/>
      <c r="ESI103" s="38"/>
      <c r="ESO103" s="8"/>
      <c r="ESP103" s="18"/>
      <c r="ESQ103" s="38"/>
      <c r="ESW103" s="8"/>
      <c r="ESX103" s="18"/>
      <c r="ESY103" s="38"/>
      <c r="ETE103" s="8"/>
      <c r="ETF103" s="18"/>
      <c r="ETG103" s="38"/>
      <c r="ETM103" s="8"/>
      <c r="ETN103" s="18"/>
      <c r="ETO103" s="38"/>
      <c r="ETU103" s="8"/>
      <c r="ETV103" s="18"/>
      <c r="ETW103" s="38"/>
      <c r="EUC103" s="8"/>
      <c r="EUD103" s="18"/>
      <c r="EUE103" s="38"/>
      <c r="EUK103" s="8"/>
      <c r="EUL103" s="18"/>
      <c r="EUM103" s="38"/>
      <c r="EUS103" s="8"/>
      <c r="EUT103" s="18"/>
      <c r="EUU103" s="38"/>
      <c r="EVA103" s="8"/>
      <c r="EVB103" s="18"/>
      <c r="EVC103" s="38"/>
      <c r="EVI103" s="8"/>
      <c r="EVJ103" s="18"/>
      <c r="EVK103" s="38"/>
      <c r="EVQ103" s="8"/>
      <c r="EVR103" s="18"/>
      <c r="EVS103" s="38"/>
      <c r="EVY103" s="8"/>
      <c r="EVZ103" s="18"/>
      <c r="EWA103" s="38"/>
      <c r="EWG103" s="8"/>
      <c r="EWH103" s="18"/>
      <c r="EWI103" s="38"/>
      <c r="EWO103" s="8"/>
      <c r="EWP103" s="18"/>
      <c r="EWQ103" s="38"/>
      <c r="EWW103" s="8"/>
      <c r="EWX103" s="18"/>
      <c r="EWY103" s="38"/>
      <c r="EXE103" s="8"/>
      <c r="EXF103" s="18"/>
      <c r="EXG103" s="38"/>
      <c r="EXM103" s="8"/>
      <c r="EXN103" s="18"/>
      <c r="EXO103" s="38"/>
      <c r="EXU103" s="8"/>
      <c r="EXV103" s="18"/>
      <c r="EXW103" s="38"/>
      <c r="EYC103" s="8"/>
      <c r="EYD103" s="18"/>
      <c r="EYE103" s="38"/>
      <c r="EYK103" s="8"/>
      <c r="EYL103" s="18"/>
      <c r="EYM103" s="38"/>
      <c r="EYS103" s="8"/>
      <c r="EYT103" s="18"/>
      <c r="EYU103" s="38"/>
      <c r="EZA103" s="8"/>
      <c r="EZB103" s="18"/>
      <c r="EZC103" s="38"/>
      <c r="EZI103" s="8"/>
      <c r="EZJ103" s="18"/>
      <c r="EZK103" s="38"/>
      <c r="EZQ103" s="8"/>
      <c r="EZR103" s="18"/>
      <c r="EZS103" s="38"/>
      <c r="EZY103" s="8"/>
      <c r="EZZ103" s="18"/>
      <c r="FAA103" s="38"/>
      <c r="FAG103" s="8"/>
      <c r="FAH103" s="18"/>
      <c r="FAI103" s="38"/>
      <c r="FAO103" s="8"/>
      <c r="FAP103" s="18"/>
      <c r="FAQ103" s="38"/>
      <c r="FAW103" s="8"/>
      <c r="FAX103" s="18"/>
      <c r="FAY103" s="38"/>
      <c r="FBE103" s="8"/>
      <c r="FBF103" s="18"/>
      <c r="FBG103" s="38"/>
      <c r="FBM103" s="8"/>
      <c r="FBN103" s="18"/>
      <c r="FBO103" s="38"/>
      <c r="FBU103" s="8"/>
      <c r="FBV103" s="18"/>
      <c r="FBW103" s="38"/>
      <c r="FCC103" s="8"/>
      <c r="FCD103" s="18"/>
      <c r="FCE103" s="38"/>
      <c r="FCK103" s="8"/>
      <c r="FCL103" s="18"/>
      <c r="FCM103" s="38"/>
      <c r="FCS103" s="8"/>
      <c r="FCT103" s="18"/>
      <c r="FCU103" s="38"/>
      <c r="FDA103" s="8"/>
      <c r="FDB103" s="18"/>
      <c r="FDC103" s="38"/>
      <c r="FDI103" s="8"/>
      <c r="FDJ103" s="18"/>
      <c r="FDK103" s="38"/>
      <c r="FDQ103" s="8"/>
      <c r="FDR103" s="18"/>
      <c r="FDS103" s="38"/>
      <c r="FDY103" s="8"/>
      <c r="FDZ103" s="18"/>
      <c r="FEA103" s="38"/>
      <c r="FEG103" s="8"/>
      <c r="FEH103" s="18"/>
      <c r="FEI103" s="38"/>
      <c r="FEO103" s="8"/>
      <c r="FEP103" s="18"/>
      <c r="FEQ103" s="38"/>
      <c r="FEW103" s="8"/>
      <c r="FEX103" s="18"/>
      <c r="FEY103" s="38"/>
      <c r="FFE103" s="8"/>
      <c r="FFF103" s="18"/>
      <c r="FFG103" s="38"/>
      <c r="FFM103" s="8"/>
      <c r="FFN103" s="18"/>
      <c r="FFO103" s="38"/>
      <c r="FFU103" s="8"/>
      <c r="FFV103" s="18"/>
      <c r="FFW103" s="38"/>
      <c r="FGC103" s="8"/>
      <c r="FGD103" s="18"/>
      <c r="FGE103" s="38"/>
      <c r="FGK103" s="8"/>
      <c r="FGL103" s="18"/>
      <c r="FGM103" s="38"/>
      <c r="FGS103" s="8"/>
      <c r="FGT103" s="18"/>
      <c r="FGU103" s="38"/>
      <c r="FHA103" s="8"/>
      <c r="FHB103" s="18"/>
      <c r="FHC103" s="38"/>
      <c r="FHI103" s="8"/>
      <c r="FHJ103" s="18"/>
      <c r="FHK103" s="38"/>
      <c r="FHQ103" s="8"/>
      <c r="FHR103" s="18"/>
      <c r="FHS103" s="38"/>
      <c r="FHY103" s="8"/>
      <c r="FHZ103" s="18"/>
      <c r="FIA103" s="38"/>
      <c r="FIG103" s="8"/>
      <c r="FIH103" s="18"/>
      <c r="FII103" s="38"/>
      <c r="FIO103" s="8"/>
      <c r="FIP103" s="18"/>
      <c r="FIQ103" s="38"/>
      <c r="FIW103" s="8"/>
      <c r="FIX103" s="18"/>
      <c r="FIY103" s="38"/>
      <c r="FJE103" s="8"/>
      <c r="FJF103" s="18"/>
      <c r="FJG103" s="38"/>
      <c r="FJM103" s="8"/>
      <c r="FJN103" s="18"/>
      <c r="FJO103" s="38"/>
      <c r="FJU103" s="8"/>
      <c r="FJV103" s="18"/>
      <c r="FJW103" s="38"/>
      <c r="FKC103" s="8"/>
      <c r="FKD103" s="18"/>
      <c r="FKE103" s="38"/>
      <c r="FKK103" s="8"/>
      <c r="FKL103" s="18"/>
      <c r="FKM103" s="38"/>
      <c r="FKS103" s="8"/>
      <c r="FKT103" s="18"/>
      <c r="FKU103" s="38"/>
      <c r="FLA103" s="8"/>
      <c r="FLB103" s="18"/>
      <c r="FLC103" s="38"/>
      <c r="FLI103" s="8"/>
      <c r="FLJ103" s="18"/>
      <c r="FLK103" s="38"/>
      <c r="FLQ103" s="8"/>
      <c r="FLR103" s="18"/>
      <c r="FLS103" s="38"/>
      <c r="FLY103" s="8"/>
      <c r="FLZ103" s="18"/>
      <c r="FMA103" s="38"/>
      <c r="FMG103" s="8"/>
      <c r="FMH103" s="18"/>
      <c r="FMI103" s="38"/>
      <c r="FMO103" s="8"/>
      <c r="FMP103" s="18"/>
      <c r="FMQ103" s="38"/>
      <c r="FMW103" s="8"/>
      <c r="FMX103" s="18"/>
      <c r="FMY103" s="38"/>
      <c r="FNE103" s="8"/>
      <c r="FNF103" s="18"/>
      <c r="FNG103" s="38"/>
      <c r="FNM103" s="8"/>
      <c r="FNN103" s="18"/>
      <c r="FNO103" s="38"/>
      <c r="FNU103" s="8"/>
      <c r="FNV103" s="18"/>
      <c r="FNW103" s="38"/>
      <c r="FOC103" s="8"/>
      <c r="FOD103" s="18"/>
      <c r="FOE103" s="38"/>
      <c r="FOK103" s="8"/>
      <c r="FOL103" s="18"/>
      <c r="FOM103" s="38"/>
      <c r="FOS103" s="8"/>
      <c r="FOT103" s="18"/>
      <c r="FOU103" s="38"/>
      <c r="FPA103" s="8"/>
      <c r="FPB103" s="18"/>
      <c r="FPC103" s="38"/>
      <c r="FPI103" s="8"/>
      <c r="FPJ103" s="18"/>
      <c r="FPK103" s="38"/>
      <c r="FPQ103" s="8"/>
      <c r="FPR103" s="18"/>
      <c r="FPS103" s="38"/>
      <c r="FPY103" s="8"/>
      <c r="FPZ103" s="18"/>
      <c r="FQA103" s="38"/>
      <c r="FQG103" s="8"/>
      <c r="FQH103" s="18"/>
      <c r="FQI103" s="38"/>
      <c r="FQO103" s="8"/>
      <c r="FQP103" s="18"/>
      <c r="FQQ103" s="38"/>
      <c r="FQW103" s="8"/>
      <c r="FQX103" s="18"/>
      <c r="FQY103" s="38"/>
      <c r="FRE103" s="8"/>
      <c r="FRF103" s="18"/>
      <c r="FRG103" s="38"/>
      <c r="FRM103" s="8"/>
      <c r="FRN103" s="18"/>
      <c r="FRO103" s="38"/>
      <c r="FRU103" s="8"/>
      <c r="FRV103" s="18"/>
      <c r="FRW103" s="38"/>
      <c r="FSC103" s="8"/>
      <c r="FSD103" s="18"/>
      <c r="FSE103" s="38"/>
      <c r="FSK103" s="8"/>
      <c r="FSL103" s="18"/>
      <c r="FSM103" s="38"/>
      <c r="FSS103" s="8"/>
      <c r="FST103" s="18"/>
      <c r="FSU103" s="38"/>
      <c r="FTA103" s="8"/>
      <c r="FTB103" s="18"/>
      <c r="FTC103" s="38"/>
      <c r="FTI103" s="8"/>
      <c r="FTJ103" s="18"/>
      <c r="FTK103" s="38"/>
      <c r="FTQ103" s="8"/>
      <c r="FTR103" s="18"/>
      <c r="FTS103" s="38"/>
      <c r="FTY103" s="8"/>
      <c r="FTZ103" s="18"/>
      <c r="FUA103" s="38"/>
      <c r="FUG103" s="8"/>
      <c r="FUH103" s="18"/>
      <c r="FUI103" s="38"/>
      <c r="FUO103" s="8"/>
      <c r="FUP103" s="18"/>
      <c r="FUQ103" s="38"/>
      <c r="FUW103" s="8"/>
      <c r="FUX103" s="18"/>
      <c r="FUY103" s="38"/>
      <c r="FVE103" s="8"/>
      <c r="FVF103" s="18"/>
      <c r="FVG103" s="38"/>
      <c r="FVM103" s="8"/>
      <c r="FVN103" s="18"/>
      <c r="FVO103" s="38"/>
      <c r="FVU103" s="8"/>
      <c r="FVV103" s="18"/>
      <c r="FVW103" s="38"/>
      <c r="FWC103" s="8"/>
      <c r="FWD103" s="18"/>
      <c r="FWE103" s="38"/>
      <c r="FWK103" s="8"/>
      <c r="FWL103" s="18"/>
      <c r="FWM103" s="38"/>
      <c r="FWS103" s="8"/>
      <c r="FWT103" s="18"/>
      <c r="FWU103" s="38"/>
      <c r="FXA103" s="8"/>
      <c r="FXB103" s="18"/>
      <c r="FXC103" s="38"/>
      <c r="FXI103" s="8"/>
      <c r="FXJ103" s="18"/>
      <c r="FXK103" s="38"/>
      <c r="FXQ103" s="8"/>
      <c r="FXR103" s="18"/>
      <c r="FXS103" s="38"/>
      <c r="FXY103" s="8"/>
      <c r="FXZ103" s="18"/>
      <c r="FYA103" s="38"/>
      <c r="FYG103" s="8"/>
      <c r="FYH103" s="18"/>
      <c r="FYI103" s="38"/>
      <c r="FYO103" s="8"/>
      <c r="FYP103" s="18"/>
      <c r="FYQ103" s="38"/>
      <c r="FYW103" s="8"/>
      <c r="FYX103" s="18"/>
      <c r="FYY103" s="38"/>
      <c r="FZE103" s="8"/>
      <c r="FZF103" s="18"/>
      <c r="FZG103" s="38"/>
      <c r="FZM103" s="8"/>
      <c r="FZN103" s="18"/>
      <c r="FZO103" s="38"/>
      <c r="FZU103" s="8"/>
      <c r="FZV103" s="18"/>
      <c r="FZW103" s="38"/>
      <c r="GAC103" s="8"/>
      <c r="GAD103" s="18"/>
      <c r="GAE103" s="38"/>
      <c r="GAK103" s="8"/>
      <c r="GAL103" s="18"/>
      <c r="GAM103" s="38"/>
      <c r="GAS103" s="8"/>
      <c r="GAT103" s="18"/>
      <c r="GAU103" s="38"/>
      <c r="GBA103" s="8"/>
      <c r="GBB103" s="18"/>
      <c r="GBC103" s="38"/>
      <c r="GBI103" s="8"/>
      <c r="GBJ103" s="18"/>
      <c r="GBK103" s="38"/>
      <c r="GBQ103" s="8"/>
      <c r="GBR103" s="18"/>
      <c r="GBS103" s="38"/>
      <c r="GBY103" s="8"/>
      <c r="GBZ103" s="18"/>
      <c r="GCA103" s="38"/>
      <c r="GCG103" s="8"/>
      <c r="GCH103" s="18"/>
      <c r="GCI103" s="38"/>
      <c r="GCO103" s="8"/>
      <c r="GCP103" s="18"/>
      <c r="GCQ103" s="38"/>
      <c r="GCW103" s="8"/>
      <c r="GCX103" s="18"/>
      <c r="GCY103" s="38"/>
      <c r="GDE103" s="8"/>
      <c r="GDF103" s="18"/>
      <c r="GDG103" s="38"/>
      <c r="GDM103" s="8"/>
      <c r="GDN103" s="18"/>
      <c r="GDO103" s="38"/>
      <c r="GDU103" s="8"/>
      <c r="GDV103" s="18"/>
      <c r="GDW103" s="38"/>
      <c r="GEC103" s="8"/>
      <c r="GED103" s="18"/>
      <c r="GEE103" s="38"/>
      <c r="GEK103" s="8"/>
      <c r="GEL103" s="18"/>
      <c r="GEM103" s="38"/>
      <c r="GES103" s="8"/>
      <c r="GET103" s="18"/>
      <c r="GEU103" s="38"/>
      <c r="GFA103" s="8"/>
      <c r="GFB103" s="18"/>
      <c r="GFC103" s="38"/>
      <c r="GFI103" s="8"/>
      <c r="GFJ103" s="18"/>
      <c r="GFK103" s="38"/>
      <c r="GFQ103" s="8"/>
      <c r="GFR103" s="18"/>
      <c r="GFS103" s="38"/>
      <c r="GFY103" s="8"/>
      <c r="GFZ103" s="18"/>
      <c r="GGA103" s="38"/>
      <c r="GGG103" s="8"/>
      <c r="GGH103" s="18"/>
      <c r="GGI103" s="38"/>
      <c r="GGO103" s="8"/>
      <c r="GGP103" s="18"/>
      <c r="GGQ103" s="38"/>
      <c r="GGW103" s="8"/>
      <c r="GGX103" s="18"/>
      <c r="GGY103" s="38"/>
      <c r="GHE103" s="8"/>
      <c r="GHF103" s="18"/>
      <c r="GHG103" s="38"/>
      <c r="GHM103" s="8"/>
      <c r="GHN103" s="18"/>
      <c r="GHO103" s="38"/>
      <c r="GHU103" s="8"/>
      <c r="GHV103" s="18"/>
      <c r="GHW103" s="38"/>
      <c r="GIC103" s="8"/>
      <c r="GID103" s="18"/>
      <c r="GIE103" s="38"/>
      <c r="GIK103" s="8"/>
      <c r="GIL103" s="18"/>
      <c r="GIM103" s="38"/>
      <c r="GIS103" s="8"/>
      <c r="GIT103" s="18"/>
      <c r="GIU103" s="38"/>
      <c r="GJA103" s="8"/>
      <c r="GJB103" s="18"/>
      <c r="GJC103" s="38"/>
      <c r="GJI103" s="8"/>
      <c r="GJJ103" s="18"/>
      <c r="GJK103" s="38"/>
      <c r="GJQ103" s="8"/>
      <c r="GJR103" s="18"/>
      <c r="GJS103" s="38"/>
      <c r="GJY103" s="8"/>
      <c r="GJZ103" s="18"/>
      <c r="GKA103" s="38"/>
      <c r="GKG103" s="8"/>
      <c r="GKH103" s="18"/>
      <c r="GKI103" s="38"/>
      <c r="GKO103" s="8"/>
      <c r="GKP103" s="18"/>
      <c r="GKQ103" s="38"/>
      <c r="GKW103" s="8"/>
      <c r="GKX103" s="18"/>
      <c r="GKY103" s="38"/>
      <c r="GLE103" s="8"/>
      <c r="GLF103" s="18"/>
      <c r="GLG103" s="38"/>
      <c r="GLM103" s="8"/>
      <c r="GLN103" s="18"/>
      <c r="GLO103" s="38"/>
      <c r="GLU103" s="8"/>
      <c r="GLV103" s="18"/>
      <c r="GLW103" s="38"/>
      <c r="GMC103" s="8"/>
      <c r="GMD103" s="18"/>
      <c r="GME103" s="38"/>
      <c r="GMK103" s="8"/>
      <c r="GML103" s="18"/>
      <c r="GMM103" s="38"/>
      <c r="GMS103" s="8"/>
      <c r="GMT103" s="18"/>
      <c r="GMU103" s="38"/>
      <c r="GNA103" s="8"/>
      <c r="GNB103" s="18"/>
      <c r="GNC103" s="38"/>
      <c r="GNI103" s="8"/>
      <c r="GNJ103" s="18"/>
      <c r="GNK103" s="38"/>
      <c r="GNQ103" s="8"/>
      <c r="GNR103" s="18"/>
      <c r="GNS103" s="38"/>
      <c r="GNY103" s="8"/>
      <c r="GNZ103" s="18"/>
      <c r="GOA103" s="38"/>
      <c r="GOG103" s="8"/>
      <c r="GOH103" s="18"/>
      <c r="GOI103" s="38"/>
      <c r="GOO103" s="8"/>
      <c r="GOP103" s="18"/>
      <c r="GOQ103" s="38"/>
      <c r="GOW103" s="8"/>
      <c r="GOX103" s="18"/>
      <c r="GOY103" s="38"/>
      <c r="GPE103" s="8"/>
      <c r="GPF103" s="18"/>
      <c r="GPG103" s="38"/>
      <c r="GPM103" s="8"/>
      <c r="GPN103" s="18"/>
      <c r="GPO103" s="38"/>
      <c r="GPU103" s="8"/>
      <c r="GPV103" s="18"/>
      <c r="GPW103" s="38"/>
      <c r="GQC103" s="8"/>
      <c r="GQD103" s="18"/>
      <c r="GQE103" s="38"/>
      <c r="GQK103" s="8"/>
      <c r="GQL103" s="18"/>
      <c r="GQM103" s="38"/>
      <c r="GQS103" s="8"/>
      <c r="GQT103" s="18"/>
      <c r="GQU103" s="38"/>
      <c r="GRA103" s="8"/>
      <c r="GRB103" s="18"/>
      <c r="GRC103" s="38"/>
      <c r="GRI103" s="8"/>
      <c r="GRJ103" s="18"/>
      <c r="GRK103" s="38"/>
      <c r="GRQ103" s="8"/>
      <c r="GRR103" s="18"/>
      <c r="GRS103" s="38"/>
      <c r="GRY103" s="8"/>
      <c r="GRZ103" s="18"/>
      <c r="GSA103" s="38"/>
      <c r="GSG103" s="8"/>
      <c r="GSH103" s="18"/>
      <c r="GSI103" s="38"/>
      <c r="GSO103" s="8"/>
      <c r="GSP103" s="18"/>
      <c r="GSQ103" s="38"/>
      <c r="GSW103" s="8"/>
      <c r="GSX103" s="18"/>
      <c r="GSY103" s="38"/>
      <c r="GTE103" s="8"/>
      <c r="GTF103" s="18"/>
      <c r="GTG103" s="38"/>
      <c r="GTM103" s="8"/>
      <c r="GTN103" s="18"/>
      <c r="GTO103" s="38"/>
      <c r="GTU103" s="8"/>
      <c r="GTV103" s="18"/>
      <c r="GTW103" s="38"/>
      <c r="GUC103" s="8"/>
      <c r="GUD103" s="18"/>
      <c r="GUE103" s="38"/>
      <c r="GUK103" s="8"/>
      <c r="GUL103" s="18"/>
      <c r="GUM103" s="38"/>
      <c r="GUS103" s="8"/>
      <c r="GUT103" s="18"/>
      <c r="GUU103" s="38"/>
      <c r="GVA103" s="8"/>
      <c r="GVB103" s="18"/>
      <c r="GVC103" s="38"/>
      <c r="GVI103" s="8"/>
      <c r="GVJ103" s="18"/>
      <c r="GVK103" s="38"/>
      <c r="GVQ103" s="8"/>
      <c r="GVR103" s="18"/>
      <c r="GVS103" s="38"/>
      <c r="GVY103" s="8"/>
      <c r="GVZ103" s="18"/>
      <c r="GWA103" s="38"/>
      <c r="GWG103" s="8"/>
      <c r="GWH103" s="18"/>
      <c r="GWI103" s="38"/>
      <c r="GWO103" s="8"/>
      <c r="GWP103" s="18"/>
      <c r="GWQ103" s="38"/>
      <c r="GWW103" s="8"/>
      <c r="GWX103" s="18"/>
      <c r="GWY103" s="38"/>
      <c r="GXE103" s="8"/>
      <c r="GXF103" s="18"/>
      <c r="GXG103" s="38"/>
      <c r="GXM103" s="8"/>
      <c r="GXN103" s="18"/>
      <c r="GXO103" s="38"/>
      <c r="GXU103" s="8"/>
      <c r="GXV103" s="18"/>
      <c r="GXW103" s="38"/>
      <c r="GYC103" s="8"/>
      <c r="GYD103" s="18"/>
      <c r="GYE103" s="38"/>
      <c r="GYK103" s="8"/>
      <c r="GYL103" s="18"/>
      <c r="GYM103" s="38"/>
      <c r="GYS103" s="8"/>
      <c r="GYT103" s="18"/>
      <c r="GYU103" s="38"/>
      <c r="GZA103" s="8"/>
      <c r="GZB103" s="18"/>
      <c r="GZC103" s="38"/>
      <c r="GZI103" s="8"/>
      <c r="GZJ103" s="18"/>
      <c r="GZK103" s="38"/>
      <c r="GZQ103" s="8"/>
      <c r="GZR103" s="18"/>
      <c r="GZS103" s="38"/>
      <c r="GZY103" s="8"/>
      <c r="GZZ103" s="18"/>
      <c r="HAA103" s="38"/>
      <c r="HAG103" s="8"/>
      <c r="HAH103" s="18"/>
      <c r="HAI103" s="38"/>
      <c r="HAO103" s="8"/>
      <c r="HAP103" s="18"/>
      <c r="HAQ103" s="38"/>
      <c r="HAW103" s="8"/>
      <c r="HAX103" s="18"/>
      <c r="HAY103" s="38"/>
      <c r="HBE103" s="8"/>
      <c r="HBF103" s="18"/>
      <c r="HBG103" s="38"/>
      <c r="HBM103" s="8"/>
      <c r="HBN103" s="18"/>
      <c r="HBO103" s="38"/>
      <c r="HBU103" s="8"/>
      <c r="HBV103" s="18"/>
      <c r="HBW103" s="38"/>
      <c r="HCC103" s="8"/>
      <c r="HCD103" s="18"/>
      <c r="HCE103" s="38"/>
      <c r="HCK103" s="8"/>
      <c r="HCL103" s="18"/>
      <c r="HCM103" s="38"/>
      <c r="HCS103" s="8"/>
      <c r="HCT103" s="18"/>
      <c r="HCU103" s="38"/>
      <c r="HDA103" s="8"/>
      <c r="HDB103" s="18"/>
      <c r="HDC103" s="38"/>
      <c r="HDI103" s="8"/>
      <c r="HDJ103" s="18"/>
      <c r="HDK103" s="38"/>
      <c r="HDQ103" s="8"/>
      <c r="HDR103" s="18"/>
      <c r="HDS103" s="38"/>
      <c r="HDY103" s="8"/>
      <c r="HDZ103" s="18"/>
      <c r="HEA103" s="38"/>
      <c r="HEG103" s="8"/>
      <c r="HEH103" s="18"/>
      <c r="HEI103" s="38"/>
      <c r="HEO103" s="8"/>
      <c r="HEP103" s="18"/>
      <c r="HEQ103" s="38"/>
      <c r="HEW103" s="8"/>
      <c r="HEX103" s="18"/>
      <c r="HEY103" s="38"/>
      <c r="HFE103" s="8"/>
      <c r="HFF103" s="18"/>
      <c r="HFG103" s="38"/>
      <c r="HFM103" s="8"/>
      <c r="HFN103" s="18"/>
      <c r="HFO103" s="38"/>
      <c r="HFU103" s="8"/>
      <c r="HFV103" s="18"/>
      <c r="HFW103" s="38"/>
      <c r="HGC103" s="8"/>
      <c r="HGD103" s="18"/>
      <c r="HGE103" s="38"/>
      <c r="HGK103" s="8"/>
      <c r="HGL103" s="18"/>
      <c r="HGM103" s="38"/>
      <c r="HGS103" s="8"/>
      <c r="HGT103" s="18"/>
      <c r="HGU103" s="38"/>
      <c r="HHA103" s="8"/>
      <c r="HHB103" s="18"/>
      <c r="HHC103" s="38"/>
      <c r="HHI103" s="8"/>
      <c r="HHJ103" s="18"/>
      <c r="HHK103" s="38"/>
      <c r="HHQ103" s="8"/>
      <c r="HHR103" s="18"/>
      <c r="HHS103" s="38"/>
      <c r="HHY103" s="8"/>
      <c r="HHZ103" s="18"/>
      <c r="HIA103" s="38"/>
      <c r="HIG103" s="8"/>
      <c r="HIH103" s="18"/>
      <c r="HII103" s="38"/>
      <c r="HIO103" s="8"/>
      <c r="HIP103" s="18"/>
      <c r="HIQ103" s="38"/>
      <c r="HIW103" s="8"/>
      <c r="HIX103" s="18"/>
      <c r="HIY103" s="38"/>
      <c r="HJE103" s="8"/>
      <c r="HJF103" s="18"/>
      <c r="HJG103" s="38"/>
      <c r="HJM103" s="8"/>
      <c r="HJN103" s="18"/>
      <c r="HJO103" s="38"/>
      <c r="HJU103" s="8"/>
      <c r="HJV103" s="18"/>
      <c r="HJW103" s="38"/>
      <c r="HKC103" s="8"/>
      <c r="HKD103" s="18"/>
      <c r="HKE103" s="38"/>
      <c r="HKK103" s="8"/>
      <c r="HKL103" s="18"/>
      <c r="HKM103" s="38"/>
      <c r="HKS103" s="8"/>
      <c r="HKT103" s="18"/>
      <c r="HKU103" s="38"/>
      <c r="HLA103" s="8"/>
      <c r="HLB103" s="18"/>
      <c r="HLC103" s="38"/>
      <c r="HLI103" s="8"/>
      <c r="HLJ103" s="18"/>
      <c r="HLK103" s="38"/>
      <c r="HLQ103" s="8"/>
      <c r="HLR103" s="18"/>
      <c r="HLS103" s="38"/>
      <c r="HLY103" s="8"/>
      <c r="HLZ103" s="18"/>
      <c r="HMA103" s="38"/>
      <c r="HMG103" s="8"/>
      <c r="HMH103" s="18"/>
      <c r="HMI103" s="38"/>
      <c r="HMO103" s="8"/>
      <c r="HMP103" s="18"/>
      <c r="HMQ103" s="38"/>
      <c r="HMW103" s="8"/>
      <c r="HMX103" s="18"/>
      <c r="HMY103" s="38"/>
      <c r="HNE103" s="8"/>
      <c r="HNF103" s="18"/>
      <c r="HNG103" s="38"/>
      <c r="HNM103" s="8"/>
      <c r="HNN103" s="18"/>
      <c r="HNO103" s="38"/>
      <c r="HNU103" s="8"/>
      <c r="HNV103" s="18"/>
      <c r="HNW103" s="38"/>
      <c r="HOC103" s="8"/>
      <c r="HOD103" s="18"/>
      <c r="HOE103" s="38"/>
      <c r="HOK103" s="8"/>
      <c r="HOL103" s="18"/>
      <c r="HOM103" s="38"/>
      <c r="HOS103" s="8"/>
      <c r="HOT103" s="18"/>
      <c r="HOU103" s="38"/>
      <c r="HPA103" s="8"/>
      <c r="HPB103" s="18"/>
      <c r="HPC103" s="38"/>
      <c r="HPI103" s="8"/>
      <c r="HPJ103" s="18"/>
      <c r="HPK103" s="38"/>
      <c r="HPQ103" s="8"/>
      <c r="HPR103" s="18"/>
      <c r="HPS103" s="38"/>
      <c r="HPY103" s="8"/>
      <c r="HPZ103" s="18"/>
      <c r="HQA103" s="38"/>
      <c r="HQG103" s="8"/>
      <c r="HQH103" s="18"/>
      <c r="HQI103" s="38"/>
      <c r="HQO103" s="8"/>
      <c r="HQP103" s="18"/>
      <c r="HQQ103" s="38"/>
      <c r="HQW103" s="8"/>
      <c r="HQX103" s="18"/>
      <c r="HQY103" s="38"/>
      <c r="HRE103" s="8"/>
      <c r="HRF103" s="18"/>
      <c r="HRG103" s="38"/>
      <c r="HRM103" s="8"/>
      <c r="HRN103" s="18"/>
      <c r="HRO103" s="38"/>
      <c r="HRU103" s="8"/>
      <c r="HRV103" s="18"/>
      <c r="HRW103" s="38"/>
      <c r="HSC103" s="8"/>
      <c r="HSD103" s="18"/>
      <c r="HSE103" s="38"/>
      <c r="HSK103" s="8"/>
      <c r="HSL103" s="18"/>
      <c r="HSM103" s="38"/>
      <c r="HSS103" s="8"/>
      <c r="HST103" s="18"/>
      <c r="HSU103" s="38"/>
      <c r="HTA103" s="8"/>
      <c r="HTB103" s="18"/>
      <c r="HTC103" s="38"/>
      <c r="HTI103" s="8"/>
      <c r="HTJ103" s="18"/>
      <c r="HTK103" s="38"/>
      <c r="HTQ103" s="8"/>
      <c r="HTR103" s="18"/>
      <c r="HTS103" s="38"/>
      <c r="HTY103" s="8"/>
      <c r="HTZ103" s="18"/>
      <c r="HUA103" s="38"/>
      <c r="HUG103" s="8"/>
      <c r="HUH103" s="18"/>
      <c r="HUI103" s="38"/>
      <c r="HUO103" s="8"/>
      <c r="HUP103" s="18"/>
      <c r="HUQ103" s="38"/>
      <c r="HUW103" s="8"/>
      <c r="HUX103" s="18"/>
      <c r="HUY103" s="38"/>
      <c r="HVE103" s="8"/>
      <c r="HVF103" s="18"/>
      <c r="HVG103" s="38"/>
      <c r="HVM103" s="8"/>
      <c r="HVN103" s="18"/>
      <c r="HVO103" s="38"/>
      <c r="HVU103" s="8"/>
      <c r="HVV103" s="18"/>
      <c r="HVW103" s="38"/>
      <c r="HWC103" s="8"/>
      <c r="HWD103" s="18"/>
      <c r="HWE103" s="38"/>
      <c r="HWK103" s="8"/>
      <c r="HWL103" s="18"/>
      <c r="HWM103" s="38"/>
      <c r="HWS103" s="8"/>
      <c r="HWT103" s="18"/>
      <c r="HWU103" s="38"/>
      <c r="HXA103" s="8"/>
      <c r="HXB103" s="18"/>
      <c r="HXC103" s="38"/>
      <c r="HXI103" s="8"/>
      <c r="HXJ103" s="18"/>
      <c r="HXK103" s="38"/>
      <c r="HXQ103" s="8"/>
      <c r="HXR103" s="18"/>
      <c r="HXS103" s="38"/>
      <c r="HXY103" s="8"/>
      <c r="HXZ103" s="18"/>
      <c r="HYA103" s="38"/>
      <c r="HYG103" s="8"/>
      <c r="HYH103" s="18"/>
      <c r="HYI103" s="38"/>
      <c r="HYO103" s="8"/>
      <c r="HYP103" s="18"/>
      <c r="HYQ103" s="38"/>
      <c r="HYW103" s="8"/>
      <c r="HYX103" s="18"/>
      <c r="HYY103" s="38"/>
      <c r="HZE103" s="8"/>
      <c r="HZF103" s="18"/>
      <c r="HZG103" s="38"/>
      <c r="HZM103" s="8"/>
      <c r="HZN103" s="18"/>
      <c r="HZO103" s="38"/>
      <c r="HZU103" s="8"/>
      <c r="HZV103" s="18"/>
      <c r="HZW103" s="38"/>
      <c r="IAC103" s="8"/>
      <c r="IAD103" s="18"/>
      <c r="IAE103" s="38"/>
      <c r="IAK103" s="8"/>
      <c r="IAL103" s="18"/>
      <c r="IAM103" s="38"/>
      <c r="IAS103" s="8"/>
      <c r="IAT103" s="18"/>
      <c r="IAU103" s="38"/>
      <c r="IBA103" s="8"/>
      <c r="IBB103" s="18"/>
      <c r="IBC103" s="38"/>
      <c r="IBI103" s="8"/>
      <c r="IBJ103" s="18"/>
      <c r="IBK103" s="38"/>
      <c r="IBQ103" s="8"/>
      <c r="IBR103" s="18"/>
      <c r="IBS103" s="38"/>
      <c r="IBY103" s="8"/>
      <c r="IBZ103" s="18"/>
      <c r="ICA103" s="38"/>
      <c r="ICG103" s="8"/>
      <c r="ICH103" s="18"/>
      <c r="ICI103" s="38"/>
      <c r="ICO103" s="8"/>
      <c r="ICP103" s="18"/>
      <c r="ICQ103" s="38"/>
      <c r="ICW103" s="8"/>
      <c r="ICX103" s="18"/>
      <c r="ICY103" s="38"/>
      <c r="IDE103" s="8"/>
      <c r="IDF103" s="18"/>
      <c r="IDG103" s="38"/>
      <c r="IDM103" s="8"/>
      <c r="IDN103" s="18"/>
      <c r="IDO103" s="38"/>
      <c r="IDU103" s="8"/>
      <c r="IDV103" s="18"/>
      <c r="IDW103" s="38"/>
      <c r="IEC103" s="8"/>
      <c r="IED103" s="18"/>
      <c r="IEE103" s="38"/>
      <c r="IEK103" s="8"/>
      <c r="IEL103" s="18"/>
      <c r="IEM103" s="38"/>
      <c r="IES103" s="8"/>
      <c r="IET103" s="18"/>
      <c r="IEU103" s="38"/>
      <c r="IFA103" s="8"/>
      <c r="IFB103" s="18"/>
      <c r="IFC103" s="38"/>
      <c r="IFI103" s="8"/>
      <c r="IFJ103" s="18"/>
      <c r="IFK103" s="38"/>
      <c r="IFQ103" s="8"/>
      <c r="IFR103" s="18"/>
      <c r="IFS103" s="38"/>
      <c r="IFY103" s="8"/>
      <c r="IFZ103" s="18"/>
      <c r="IGA103" s="38"/>
      <c r="IGG103" s="8"/>
      <c r="IGH103" s="18"/>
      <c r="IGI103" s="38"/>
      <c r="IGO103" s="8"/>
      <c r="IGP103" s="18"/>
      <c r="IGQ103" s="38"/>
      <c r="IGW103" s="8"/>
      <c r="IGX103" s="18"/>
      <c r="IGY103" s="38"/>
      <c r="IHE103" s="8"/>
      <c r="IHF103" s="18"/>
      <c r="IHG103" s="38"/>
      <c r="IHM103" s="8"/>
      <c r="IHN103" s="18"/>
      <c r="IHO103" s="38"/>
      <c r="IHU103" s="8"/>
      <c r="IHV103" s="18"/>
      <c r="IHW103" s="38"/>
      <c r="IIC103" s="8"/>
      <c r="IID103" s="18"/>
      <c r="IIE103" s="38"/>
      <c r="IIK103" s="8"/>
      <c r="IIL103" s="18"/>
      <c r="IIM103" s="38"/>
      <c r="IIS103" s="8"/>
      <c r="IIT103" s="18"/>
      <c r="IIU103" s="38"/>
      <c r="IJA103" s="8"/>
      <c r="IJB103" s="18"/>
      <c r="IJC103" s="38"/>
      <c r="IJI103" s="8"/>
      <c r="IJJ103" s="18"/>
      <c r="IJK103" s="38"/>
      <c r="IJQ103" s="8"/>
      <c r="IJR103" s="18"/>
      <c r="IJS103" s="38"/>
      <c r="IJY103" s="8"/>
      <c r="IJZ103" s="18"/>
      <c r="IKA103" s="38"/>
      <c r="IKG103" s="8"/>
      <c r="IKH103" s="18"/>
      <c r="IKI103" s="38"/>
      <c r="IKO103" s="8"/>
      <c r="IKP103" s="18"/>
      <c r="IKQ103" s="38"/>
      <c r="IKW103" s="8"/>
      <c r="IKX103" s="18"/>
      <c r="IKY103" s="38"/>
      <c r="ILE103" s="8"/>
      <c r="ILF103" s="18"/>
      <c r="ILG103" s="38"/>
      <c r="ILM103" s="8"/>
      <c r="ILN103" s="18"/>
      <c r="ILO103" s="38"/>
      <c r="ILU103" s="8"/>
      <c r="ILV103" s="18"/>
      <c r="ILW103" s="38"/>
      <c r="IMC103" s="8"/>
      <c r="IMD103" s="18"/>
      <c r="IME103" s="38"/>
      <c r="IMK103" s="8"/>
      <c r="IML103" s="18"/>
      <c r="IMM103" s="38"/>
      <c r="IMS103" s="8"/>
      <c r="IMT103" s="18"/>
      <c r="IMU103" s="38"/>
      <c r="INA103" s="8"/>
      <c r="INB103" s="18"/>
      <c r="INC103" s="38"/>
      <c r="INI103" s="8"/>
      <c r="INJ103" s="18"/>
      <c r="INK103" s="38"/>
      <c r="INQ103" s="8"/>
      <c r="INR103" s="18"/>
      <c r="INS103" s="38"/>
      <c r="INY103" s="8"/>
      <c r="INZ103" s="18"/>
      <c r="IOA103" s="38"/>
      <c r="IOG103" s="8"/>
      <c r="IOH103" s="18"/>
      <c r="IOI103" s="38"/>
      <c r="IOO103" s="8"/>
      <c r="IOP103" s="18"/>
      <c r="IOQ103" s="38"/>
      <c r="IOW103" s="8"/>
      <c r="IOX103" s="18"/>
      <c r="IOY103" s="38"/>
      <c r="IPE103" s="8"/>
      <c r="IPF103" s="18"/>
      <c r="IPG103" s="38"/>
      <c r="IPM103" s="8"/>
      <c r="IPN103" s="18"/>
      <c r="IPO103" s="38"/>
      <c r="IPU103" s="8"/>
      <c r="IPV103" s="18"/>
      <c r="IPW103" s="38"/>
      <c r="IQC103" s="8"/>
      <c r="IQD103" s="18"/>
      <c r="IQE103" s="38"/>
      <c r="IQK103" s="8"/>
      <c r="IQL103" s="18"/>
      <c r="IQM103" s="38"/>
      <c r="IQS103" s="8"/>
      <c r="IQT103" s="18"/>
      <c r="IQU103" s="38"/>
      <c r="IRA103" s="8"/>
      <c r="IRB103" s="18"/>
      <c r="IRC103" s="38"/>
      <c r="IRI103" s="8"/>
      <c r="IRJ103" s="18"/>
      <c r="IRK103" s="38"/>
      <c r="IRQ103" s="8"/>
      <c r="IRR103" s="18"/>
      <c r="IRS103" s="38"/>
      <c r="IRY103" s="8"/>
      <c r="IRZ103" s="18"/>
      <c r="ISA103" s="38"/>
      <c r="ISG103" s="8"/>
      <c r="ISH103" s="18"/>
      <c r="ISI103" s="38"/>
      <c r="ISO103" s="8"/>
      <c r="ISP103" s="18"/>
      <c r="ISQ103" s="38"/>
      <c r="ISW103" s="8"/>
      <c r="ISX103" s="18"/>
      <c r="ISY103" s="38"/>
      <c r="ITE103" s="8"/>
      <c r="ITF103" s="18"/>
      <c r="ITG103" s="38"/>
      <c r="ITM103" s="8"/>
      <c r="ITN103" s="18"/>
      <c r="ITO103" s="38"/>
      <c r="ITU103" s="8"/>
      <c r="ITV103" s="18"/>
      <c r="ITW103" s="38"/>
      <c r="IUC103" s="8"/>
      <c r="IUD103" s="18"/>
      <c r="IUE103" s="38"/>
      <c r="IUK103" s="8"/>
      <c r="IUL103" s="18"/>
      <c r="IUM103" s="38"/>
      <c r="IUS103" s="8"/>
      <c r="IUT103" s="18"/>
      <c r="IUU103" s="38"/>
      <c r="IVA103" s="8"/>
      <c r="IVB103" s="18"/>
      <c r="IVC103" s="38"/>
      <c r="IVI103" s="8"/>
      <c r="IVJ103" s="18"/>
      <c r="IVK103" s="38"/>
      <c r="IVQ103" s="8"/>
      <c r="IVR103" s="18"/>
      <c r="IVS103" s="38"/>
      <c r="IVY103" s="8"/>
      <c r="IVZ103" s="18"/>
      <c r="IWA103" s="38"/>
      <c r="IWG103" s="8"/>
      <c r="IWH103" s="18"/>
      <c r="IWI103" s="38"/>
      <c r="IWO103" s="8"/>
      <c r="IWP103" s="18"/>
      <c r="IWQ103" s="38"/>
      <c r="IWW103" s="8"/>
      <c r="IWX103" s="18"/>
      <c r="IWY103" s="38"/>
      <c r="IXE103" s="8"/>
      <c r="IXF103" s="18"/>
      <c r="IXG103" s="38"/>
      <c r="IXM103" s="8"/>
      <c r="IXN103" s="18"/>
      <c r="IXO103" s="38"/>
      <c r="IXU103" s="8"/>
      <c r="IXV103" s="18"/>
      <c r="IXW103" s="38"/>
      <c r="IYC103" s="8"/>
      <c r="IYD103" s="18"/>
      <c r="IYE103" s="38"/>
      <c r="IYK103" s="8"/>
      <c r="IYL103" s="18"/>
      <c r="IYM103" s="38"/>
      <c r="IYS103" s="8"/>
      <c r="IYT103" s="18"/>
      <c r="IYU103" s="38"/>
      <c r="IZA103" s="8"/>
      <c r="IZB103" s="18"/>
      <c r="IZC103" s="38"/>
      <c r="IZI103" s="8"/>
      <c r="IZJ103" s="18"/>
      <c r="IZK103" s="38"/>
      <c r="IZQ103" s="8"/>
      <c r="IZR103" s="18"/>
      <c r="IZS103" s="38"/>
      <c r="IZY103" s="8"/>
      <c r="IZZ103" s="18"/>
      <c r="JAA103" s="38"/>
      <c r="JAG103" s="8"/>
      <c r="JAH103" s="18"/>
      <c r="JAI103" s="38"/>
      <c r="JAO103" s="8"/>
      <c r="JAP103" s="18"/>
      <c r="JAQ103" s="38"/>
      <c r="JAW103" s="8"/>
      <c r="JAX103" s="18"/>
      <c r="JAY103" s="38"/>
      <c r="JBE103" s="8"/>
      <c r="JBF103" s="18"/>
      <c r="JBG103" s="38"/>
      <c r="JBM103" s="8"/>
      <c r="JBN103" s="18"/>
      <c r="JBO103" s="38"/>
      <c r="JBU103" s="8"/>
      <c r="JBV103" s="18"/>
      <c r="JBW103" s="38"/>
      <c r="JCC103" s="8"/>
      <c r="JCD103" s="18"/>
      <c r="JCE103" s="38"/>
      <c r="JCK103" s="8"/>
      <c r="JCL103" s="18"/>
      <c r="JCM103" s="38"/>
      <c r="JCS103" s="8"/>
      <c r="JCT103" s="18"/>
      <c r="JCU103" s="38"/>
      <c r="JDA103" s="8"/>
      <c r="JDB103" s="18"/>
      <c r="JDC103" s="38"/>
      <c r="JDI103" s="8"/>
      <c r="JDJ103" s="18"/>
      <c r="JDK103" s="38"/>
      <c r="JDQ103" s="8"/>
      <c r="JDR103" s="18"/>
      <c r="JDS103" s="38"/>
      <c r="JDY103" s="8"/>
      <c r="JDZ103" s="18"/>
      <c r="JEA103" s="38"/>
      <c r="JEG103" s="8"/>
      <c r="JEH103" s="18"/>
      <c r="JEI103" s="38"/>
      <c r="JEO103" s="8"/>
      <c r="JEP103" s="18"/>
      <c r="JEQ103" s="38"/>
      <c r="JEW103" s="8"/>
      <c r="JEX103" s="18"/>
      <c r="JEY103" s="38"/>
      <c r="JFE103" s="8"/>
      <c r="JFF103" s="18"/>
      <c r="JFG103" s="38"/>
      <c r="JFM103" s="8"/>
      <c r="JFN103" s="18"/>
      <c r="JFO103" s="38"/>
      <c r="JFU103" s="8"/>
      <c r="JFV103" s="18"/>
      <c r="JFW103" s="38"/>
      <c r="JGC103" s="8"/>
      <c r="JGD103" s="18"/>
      <c r="JGE103" s="38"/>
      <c r="JGK103" s="8"/>
      <c r="JGL103" s="18"/>
      <c r="JGM103" s="38"/>
      <c r="JGS103" s="8"/>
      <c r="JGT103" s="18"/>
      <c r="JGU103" s="38"/>
      <c r="JHA103" s="8"/>
      <c r="JHB103" s="18"/>
      <c r="JHC103" s="38"/>
      <c r="JHI103" s="8"/>
      <c r="JHJ103" s="18"/>
      <c r="JHK103" s="38"/>
      <c r="JHQ103" s="8"/>
      <c r="JHR103" s="18"/>
      <c r="JHS103" s="38"/>
      <c r="JHY103" s="8"/>
      <c r="JHZ103" s="18"/>
      <c r="JIA103" s="38"/>
      <c r="JIG103" s="8"/>
      <c r="JIH103" s="18"/>
      <c r="JII103" s="38"/>
      <c r="JIO103" s="8"/>
      <c r="JIP103" s="18"/>
      <c r="JIQ103" s="38"/>
      <c r="JIW103" s="8"/>
      <c r="JIX103" s="18"/>
      <c r="JIY103" s="38"/>
      <c r="JJE103" s="8"/>
      <c r="JJF103" s="18"/>
      <c r="JJG103" s="38"/>
      <c r="JJM103" s="8"/>
      <c r="JJN103" s="18"/>
      <c r="JJO103" s="38"/>
      <c r="JJU103" s="8"/>
      <c r="JJV103" s="18"/>
      <c r="JJW103" s="38"/>
      <c r="JKC103" s="8"/>
      <c r="JKD103" s="18"/>
      <c r="JKE103" s="38"/>
      <c r="JKK103" s="8"/>
      <c r="JKL103" s="18"/>
      <c r="JKM103" s="38"/>
      <c r="JKS103" s="8"/>
      <c r="JKT103" s="18"/>
      <c r="JKU103" s="38"/>
      <c r="JLA103" s="8"/>
      <c r="JLB103" s="18"/>
      <c r="JLC103" s="38"/>
      <c r="JLI103" s="8"/>
      <c r="JLJ103" s="18"/>
      <c r="JLK103" s="38"/>
      <c r="JLQ103" s="8"/>
      <c r="JLR103" s="18"/>
      <c r="JLS103" s="38"/>
      <c r="JLY103" s="8"/>
      <c r="JLZ103" s="18"/>
      <c r="JMA103" s="38"/>
      <c r="JMG103" s="8"/>
      <c r="JMH103" s="18"/>
      <c r="JMI103" s="38"/>
      <c r="JMO103" s="8"/>
      <c r="JMP103" s="18"/>
      <c r="JMQ103" s="38"/>
      <c r="JMW103" s="8"/>
      <c r="JMX103" s="18"/>
      <c r="JMY103" s="38"/>
      <c r="JNE103" s="8"/>
      <c r="JNF103" s="18"/>
      <c r="JNG103" s="38"/>
      <c r="JNM103" s="8"/>
      <c r="JNN103" s="18"/>
      <c r="JNO103" s="38"/>
      <c r="JNU103" s="8"/>
      <c r="JNV103" s="18"/>
      <c r="JNW103" s="38"/>
      <c r="JOC103" s="8"/>
      <c r="JOD103" s="18"/>
      <c r="JOE103" s="38"/>
      <c r="JOK103" s="8"/>
      <c r="JOL103" s="18"/>
      <c r="JOM103" s="38"/>
      <c r="JOS103" s="8"/>
      <c r="JOT103" s="18"/>
      <c r="JOU103" s="38"/>
      <c r="JPA103" s="8"/>
      <c r="JPB103" s="18"/>
      <c r="JPC103" s="38"/>
      <c r="JPI103" s="8"/>
      <c r="JPJ103" s="18"/>
      <c r="JPK103" s="38"/>
      <c r="JPQ103" s="8"/>
      <c r="JPR103" s="18"/>
      <c r="JPS103" s="38"/>
      <c r="JPY103" s="8"/>
      <c r="JPZ103" s="18"/>
      <c r="JQA103" s="38"/>
      <c r="JQG103" s="8"/>
      <c r="JQH103" s="18"/>
      <c r="JQI103" s="38"/>
      <c r="JQO103" s="8"/>
      <c r="JQP103" s="18"/>
      <c r="JQQ103" s="38"/>
      <c r="JQW103" s="8"/>
      <c r="JQX103" s="18"/>
      <c r="JQY103" s="38"/>
      <c r="JRE103" s="8"/>
      <c r="JRF103" s="18"/>
      <c r="JRG103" s="38"/>
      <c r="JRM103" s="8"/>
      <c r="JRN103" s="18"/>
      <c r="JRO103" s="38"/>
      <c r="JRU103" s="8"/>
      <c r="JRV103" s="18"/>
      <c r="JRW103" s="38"/>
      <c r="JSC103" s="8"/>
      <c r="JSD103" s="18"/>
      <c r="JSE103" s="38"/>
      <c r="JSK103" s="8"/>
      <c r="JSL103" s="18"/>
      <c r="JSM103" s="38"/>
      <c r="JSS103" s="8"/>
      <c r="JST103" s="18"/>
      <c r="JSU103" s="38"/>
      <c r="JTA103" s="8"/>
      <c r="JTB103" s="18"/>
      <c r="JTC103" s="38"/>
      <c r="JTI103" s="8"/>
      <c r="JTJ103" s="18"/>
      <c r="JTK103" s="38"/>
      <c r="JTQ103" s="8"/>
      <c r="JTR103" s="18"/>
      <c r="JTS103" s="38"/>
      <c r="JTY103" s="8"/>
      <c r="JTZ103" s="18"/>
      <c r="JUA103" s="38"/>
      <c r="JUG103" s="8"/>
      <c r="JUH103" s="18"/>
      <c r="JUI103" s="38"/>
      <c r="JUO103" s="8"/>
      <c r="JUP103" s="18"/>
      <c r="JUQ103" s="38"/>
      <c r="JUW103" s="8"/>
      <c r="JUX103" s="18"/>
      <c r="JUY103" s="38"/>
      <c r="JVE103" s="8"/>
      <c r="JVF103" s="18"/>
      <c r="JVG103" s="38"/>
      <c r="JVM103" s="8"/>
      <c r="JVN103" s="18"/>
      <c r="JVO103" s="38"/>
      <c r="JVU103" s="8"/>
      <c r="JVV103" s="18"/>
      <c r="JVW103" s="38"/>
      <c r="JWC103" s="8"/>
      <c r="JWD103" s="18"/>
      <c r="JWE103" s="38"/>
      <c r="JWK103" s="8"/>
      <c r="JWL103" s="18"/>
      <c r="JWM103" s="38"/>
      <c r="JWS103" s="8"/>
      <c r="JWT103" s="18"/>
      <c r="JWU103" s="38"/>
      <c r="JXA103" s="8"/>
      <c r="JXB103" s="18"/>
      <c r="JXC103" s="38"/>
      <c r="JXI103" s="8"/>
      <c r="JXJ103" s="18"/>
      <c r="JXK103" s="38"/>
      <c r="JXQ103" s="8"/>
      <c r="JXR103" s="18"/>
      <c r="JXS103" s="38"/>
      <c r="JXY103" s="8"/>
      <c r="JXZ103" s="18"/>
      <c r="JYA103" s="38"/>
      <c r="JYG103" s="8"/>
      <c r="JYH103" s="18"/>
      <c r="JYI103" s="38"/>
      <c r="JYO103" s="8"/>
      <c r="JYP103" s="18"/>
      <c r="JYQ103" s="38"/>
      <c r="JYW103" s="8"/>
      <c r="JYX103" s="18"/>
      <c r="JYY103" s="38"/>
      <c r="JZE103" s="8"/>
      <c r="JZF103" s="18"/>
      <c r="JZG103" s="38"/>
      <c r="JZM103" s="8"/>
      <c r="JZN103" s="18"/>
      <c r="JZO103" s="38"/>
      <c r="JZU103" s="8"/>
      <c r="JZV103" s="18"/>
      <c r="JZW103" s="38"/>
      <c r="KAC103" s="8"/>
      <c r="KAD103" s="18"/>
      <c r="KAE103" s="38"/>
      <c r="KAK103" s="8"/>
      <c r="KAL103" s="18"/>
      <c r="KAM103" s="38"/>
      <c r="KAS103" s="8"/>
      <c r="KAT103" s="18"/>
      <c r="KAU103" s="38"/>
      <c r="KBA103" s="8"/>
      <c r="KBB103" s="18"/>
      <c r="KBC103" s="38"/>
      <c r="KBI103" s="8"/>
      <c r="KBJ103" s="18"/>
      <c r="KBK103" s="38"/>
      <c r="KBQ103" s="8"/>
      <c r="KBR103" s="18"/>
      <c r="KBS103" s="38"/>
      <c r="KBY103" s="8"/>
      <c r="KBZ103" s="18"/>
      <c r="KCA103" s="38"/>
      <c r="KCG103" s="8"/>
      <c r="KCH103" s="18"/>
      <c r="KCI103" s="38"/>
      <c r="KCO103" s="8"/>
      <c r="KCP103" s="18"/>
      <c r="KCQ103" s="38"/>
      <c r="KCW103" s="8"/>
      <c r="KCX103" s="18"/>
      <c r="KCY103" s="38"/>
      <c r="KDE103" s="8"/>
      <c r="KDF103" s="18"/>
      <c r="KDG103" s="38"/>
      <c r="KDM103" s="8"/>
      <c r="KDN103" s="18"/>
      <c r="KDO103" s="38"/>
      <c r="KDU103" s="8"/>
      <c r="KDV103" s="18"/>
      <c r="KDW103" s="38"/>
      <c r="KEC103" s="8"/>
      <c r="KED103" s="18"/>
      <c r="KEE103" s="38"/>
      <c r="KEK103" s="8"/>
      <c r="KEL103" s="18"/>
      <c r="KEM103" s="38"/>
      <c r="KES103" s="8"/>
      <c r="KET103" s="18"/>
      <c r="KEU103" s="38"/>
      <c r="KFA103" s="8"/>
      <c r="KFB103" s="18"/>
      <c r="KFC103" s="38"/>
      <c r="KFI103" s="8"/>
      <c r="KFJ103" s="18"/>
      <c r="KFK103" s="38"/>
      <c r="KFQ103" s="8"/>
      <c r="KFR103" s="18"/>
      <c r="KFS103" s="38"/>
      <c r="KFY103" s="8"/>
      <c r="KFZ103" s="18"/>
      <c r="KGA103" s="38"/>
      <c r="KGG103" s="8"/>
      <c r="KGH103" s="18"/>
      <c r="KGI103" s="38"/>
      <c r="KGO103" s="8"/>
      <c r="KGP103" s="18"/>
      <c r="KGQ103" s="38"/>
      <c r="KGW103" s="8"/>
      <c r="KGX103" s="18"/>
      <c r="KGY103" s="38"/>
      <c r="KHE103" s="8"/>
      <c r="KHF103" s="18"/>
      <c r="KHG103" s="38"/>
      <c r="KHM103" s="8"/>
      <c r="KHN103" s="18"/>
      <c r="KHO103" s="38"/>
      <c r="KHU103" s="8"/>
      <c r="KHV103" s="18"/>
      <c r="KHW103" s="38"/>
      <c r="KIC103" s="8"/>
      <c r="KID103" s="18"/>
      <c r="KIE103" s="38"/>
      <c r="KIK103" s="8"/>
      <c r="KIL103" s="18"/>
      <c r="KIM103" s="38"/>
      <c r="KIS103" s="8"/>
      <c r="KIT103" s="18"/>
      <c r="KIU103" s="38"/>
      <c r="KJA103" s="8"/>
      <c r="KJB103" s="18"/>
      <c r="KJC103" s="38"/>
      <c r="KJI103" s="8"/>
      <c r="KJJ103" s="18"/>
      <c r="KJK103" s="38"/>
      <c r="KJQ103" s="8"/>
      <c r="KJR103" s="18"/>
      <c r="KJS103" s="38"/>
      <c r="KJY103" s="8"/>
      <c r="KJZ103" s="18"/>
      <c r="KKA103" s="38"/>
      <c r="KKG103" s="8"/>
      <c r="KKH103" s="18"/>
      <c r="KKI103" s="38"/>
      <c r="KKO103" s="8"/>
      <c r="KKP103" s="18"/>
      <c r="KKQ103" s="38"/>
      <c r="KKW103" s="8"/>
      <c r="KKX103" s="18"/>
      <c r="KKY103" s="38"/>
      <c r="KLE103" s="8"/>
      <c r="KLF103" s="18"/>
      <c r="KLG103" s="38"/>
      <c r="KLM103" s="8"/>
      <c r="KLN103" s="18"/>
      <c r="KLO103" s="38"/>
      <c r="KLU103" s="8"/>
      <c r="KLV103" s="18"/>
      <c r="KLW103" s="38"/>
      <c r="KMC103" s="8"/>
      <c r="KMD103" s="18"/>
      <c r="KME103" s="38"/>
      <c r="KMK103" s="8"/>
      <c r="KML103" s="18"/>
      <c r="KMM103" s="38"/>
      <c r="KMS103" s="8"/>
      <c r="KMT103" s="18"/>
      <c r="KMU103" s="38"/>
      <c r="KNA103" s="8"/>
      <c r="KNB103" s="18"/>
      <c r="KNC103" s="38"/>
      <c r="KNI103" s="8"/>
      <c r="KNJ103" s="18"/>
      <c r="KNK103" s="38"/>
      <c r="KNQ103" s="8"/>
      <c r="KNR103" s="18"/>
      <c r="KNS103" s="38"/>
      <c r="KNY103" s="8"/>
      <c r="KNZ103" s="18"/>
      <c r="KOA103" s="38"/>
      <c r="KOG103" s="8"/>
      <c r="KOH103" s="18"/>
      <c r="KOI103" s="38"/>
      <c r="KOO103" s="8"/>
      <c r="KOP103" s="18"/>
      <c r="KOQ103" s="38"/>
      <c r="KOW103" s="8"/>
      <c r="KOX103" s="18"/>
      <c r="KOY103" s="38"/>
      <c r="KPE103" s="8"/>
      <c r="KPF103" s="18"/>
      <c r="KPG103" s="38"/>
      <c r="KPM103" s="8"/>
      <c r="KPN103" s="18"/>
      <c r="KPO103" s="38"/>
      <c r="KPU103" s="8"/>
      <c r="KPV103" s="18"/>
      <c r="KPW103" s="38"/>
      <c r="KQC103" s="8"/>
      <c r="KQD103" s="18"/>
      <c r="KQE103" s="38"/>
      <c r="KQK103" s="8"/>
      <c r="KQL103" s="18"/>
      <c r="KQM103" s="38"/>
      <c r="KQS103" s="8"/>
      <c r="KQT103" s="18"/>
      <c r="KQU103" s="38"/>
      <c r="KRA103" s="8"/>
      <c r="KRB103" s="18"/>
      <c r="KRC103" s="38"/>
      <c r="KRI103" s="8"/>
      <c r="KRJ103" s="18"/>
      <c r="KRK103" s="38"/>
      <c r="KRQ103" s="8"/>
      <c r="KRR103" s="18"/>
      <c r="KRS103" s="38"/>
      <c r="KRY103" s="8"/>
      <c r="KRZ103" s="18"/>
      <c r="KSA103" s="38"/>
      <c r="KSG103" s="8"/>
      <c r="KSH103" s="18"/>
      <c r="KSI103" s="38"/>
      <c r="KSO103" s="8"/>
      <c r="KSP103" s="18"/>
      <c r="KSQ103" s="38"/>
      <c r="KSW103" s="8"/>
      <c r="KSX103" s="18"/>
      <c r="KSY103" s="38"/>
      <c r="KTE103" s="8"/>
      <c r="KTF103" s="18"/>
      <c r="KTG103" s="38"/>
      <c r="KTM103" s="8"/>
      <c r="KTN103" s="18"/>
      <c r="KTO103" s="38"/>
      <c r="KTU103" s="8"/>
      <c r="KTV103" s="18"/>
      <c r="KTW103" s="38"/>
      <c r="KUC103" s="8"/>
      <c r="KUD103" s="18"/>
      <c r="KUE103" s="38"/>
      <c r="KUK103" s="8"/>
      <c r="KUL103" s="18"/>
      <c r="KUM103" s="38"/>
      <c r="KUS103" s="8"/>
      <c r="KUT103" s="18"/>
      <c r="KUU103" s="38"/>
      <c r="KVA103" s="8"/>
      <c r="KVB103" s="18"/>
      <c r="KVC103" s="38"/>
      <c r="KVI103" s="8"/>
      <c r="KVJ103" s="18"/>
      <c r="KVK103" s="38"/>
      <c r="KVQ103" s="8"/>
      <c r="KVR103" s="18"/>
      <c r="KVS103" s="38"/>
      <c r="KVY103" s="8"/>
      <c r="KVZ103" s="18"/>
      <c r="KWA103" s="38"/>
      <c r="KWG103" s="8"/>
      <c r="KWH103" s="18"/>
      <c r="KWI103" s="38"/>
      <c r="KWO103" s="8"/>
      <c r="KWP103" s="18"/>
      <c r="KWQ103" s="38"/>
      <c r="KWW103" s="8"/>
      <c r="KWX103" s="18"/>
      <c r="KWY103" s="38"/>
      <c r="KXE103" s="8"/>
      <c r="KXF103" s="18"/>
      <c r="KXG103" s="38"/>
      <c r="KXM103" s="8"/>
      <c r="KXN103" s="18"/>
      <c r="KXO103" s="38"/>
      <c r="KXU103" s="8"/>
      <c r="KXV103" s="18"/>
      <c r="KXW103" s="38"/>
      <c r="KYC103" s="8"/>
      <c r="KYD103" s="18"/>
      <c r="KYE103" s="38"/>
      <c r="KYK103" s="8"/>
      <c r="KYL103" s="18"/>
      <c r="KYM103" s="38"/>
      <c r="KYS103" s="8"/>
      <c r="KYT103" s="18"/>
      <c r="KYU103" s="38"/>
      <c r="KZA103" s="8"/>
      <c r="KZB103" s="18"/>
      <c r="KZC103" s="38"/>
      <c r="KZI103" s="8"/>
      <c r="KZJ103" s="18"/>
      <c r="KZK103" s="38"/>
      <c r="KZQ103" s="8"/>
      <c r="KZR103" s="18"/>
      <c r="KZS103" s="38"/>
      <c r="KZY103" s="8"/>
      <c r="KZZ103" s="18"/>
      <c r="LAA103" s="38"/>
      <c r="LAG103" s="8"/>
      <c r="LAH103" s="18"/>
      <c r="LAI103" s="38"/>
      <c r="LAO103" s="8"/>
      <c r="LAP103" s="18"/>
      <c r="LAQ103" s="38"/>
      <c r="LAW103" s="8"/>
      <c r="LAX103" s="18"/>
      <c r="LAY103" s="38"/>
      <c r="LBE103" s="8"/>
      <c r="LBF103" s="18"/>
      <c r="LBG103" s="38"/>
      <c r="LBM103" s="8"/>
      <c r="LBN103" s="18"/>
      <c r="LBO103" s="38"/>
      <c r="LBU103" s="8"/>
      <c r="LBV103" s="18"/>
      <c r="LBW103" s="38"/>
      <c r="LCC103" s="8"/>
      <c r="LCD103" s="18"/>
      <c r="LCE103" s="38"/>
      <c r="LCK103" s="8"/>
      <c r="LCL103" s="18"/>
      <c r="LCM103" s="38"/>
      <c r="LCS103" s="8"/>
      <c r="LCT103" s="18"/>
      <c r="LCU103" s="38"/>
      <c r="LDA103" s="8"/>
      <c r="LDB103" s="18"/>
      <c r="LDC103" s="38"/>
      <c r="LDI103" s="8"/>
      <c r="LDJ103" s="18"/>
      <c r="LDK103" s="38"/>
      <c r="LDQ103" s="8"/>
      <c r="LDR103" s="18"/>
      <c r="LDS103" s="38"/>
      <c r="LDY103" s="8"/>
      <c r="LDZ103" s="18"/>
      <c r="LEA103" s="38"/>
      <c r="LEG103" s="8"/>
      <c r="LEH103" s="18"/>
      <c r="LEI103" s="38"/>
      <c r="LEO103" s="8"/>
      <c r="LEP103" s="18"/>
      <c r="LEQ103" s="38"/>
      <c r="LEW103" s="8"/>
      <c r="LEX103" s="18"/>
      <c r="LEY103" s="38"/>
      <c r="LFE103" s="8"/>
      <c r="LFF103" s="18"/>
      <c r="LFG103" s="38"/>
      <c r="LFM103" s="8"/>
      <c r="LFN103" s="18"/>
      <c r="LFO103" s="38"/>
      <c r="LFU103" s="8"/>
      <c r="LFV103" s="18"/>
      <c r="LFW103" s="38"/>
      <c r="LGC103" s="8"/>
      <c r="LGD103" s="18"/>
      <c r="LGE103" s="38"/>
      <c r="LGK103" s="8"/>
      <c r="LGL103" s="18"/>
      <c r="LGM103" s="38"/>
      <c r="LGS103" s="8"/>
      <c r="LGT103" s="18"/>
      <c r="LGU103" s="38"/>
      <c r="LHA103" s="8"/>
      <c r="LHB103" s="18"/>
      <c r="LHC103" s="38"/>
      <c r="LHI103" s="8"/>
      <c r="LHJ103" s="18"/>
      <c r="LHK103" s="38"/>
      <c r="LHQ103" s="8"/>
      <c r="LHR103" s="18"/>
      <c r="LHS103" s="38"/>
      <c r="LHY103" s="8"/>
      <c r="LHZ103" s="18"/>
      <c r="LIA103" s="38"/>
      <c r="LIG103" s="8"/>
      <c r="LIH103" s="18"/>
      <c r="LII103" s="38"/>
      <c r="LIO103" s="8"/>
      <c r="LIP103" s="18"/>
      <c r="LIQ103" s="38"/>
      <c r="LIW103" s="8"/>
      <c r="LIX103" s="18"/>
      <c r="LIY103" s="38"/>
      <c r="LJE103" s="8"/>
      <c r="LJF103" s="18"/>
      <c r="LJG103" s="38"/>
      <c r="LJM103" s="8"/>
      <c r="LJN103" s="18"/>
      <c r="LJO103" s="38"/>
      <c r="LJU103" s="8"/>
      <c r="LJV103" s="18"/>
      <c r="LJW103" s="38"/>
      <c r="LKC103" s="8"/>
      <c r="LKD103" s="18"/>
      <c r="LKE103" s="38"/>
      <c r="LKK103" s="8"/>
      <c r="LKL103" s="18"/>
      <c r="LKM103" s="38"/>
      <c r="LKS103" s="8"/>
      <c r="LKT103" s="18"/>
      <c r="LKU103" s="38"/>
      <c r="LLA103" s="8"/>
      <c r="LLB103" s="18"/>
      <c r="LLC103" s="38"/>
      <c r="LLI103" s="8"/>
      <c r="LLJ103" s="18"/>
      <c r="LLK103" s="38"/>
      <c r="LLQ103" s="8"/>
      <c r="LLR103" s="18"/>
      <c r="LLS103" s="38"/>
      <c r="LLY103" s="8"/>
      <c r="LLZ103" s="18"/>
      <c r="LMA103" s="38"/>
      <c r="LMG103" s="8"/>
      <c r="LMH103" s="18"/>
      <c r="LMI103" s="38"/>
      <c r="LMO103" s="8"/>
      <c r="LMP103" s="18"/>
      <c r="LMQ103" s="38"/>
      <c r="LMW103" s="8"/>
      <c r="LMX103" s="18"/>
      <c r="LMY103" s="38"/>
      <c r="LNE103" s="8"/>
      <c r="LNF103" s="18"/>
      <c r="LNG103" s="38"/>
      <c r="LNM103" s="8"/>
      <c r="LNN103" s="18"/>
      <c r="LNO103" s="38"/>
      <c r="LNU103" s="8"/>
      <c r="LNV103" s="18"/>
      <c r="LNW103" s="38"/>
      <c r="LOC103" s="8"/>
      <c r="LOD103" s="18"/>
      <c r="LOE103" s="38"/>
      <c r="LOK103" s="8"/>
      <c r="LOL103" s="18"/>
      <c r="LOM103" s="38"/>
      <c r="LOS103" s="8"/>
      <c r="LOT103" s="18"/>
      <c r="LOU103" s="38"/>
      <c r="LPA103" s="8"/>
      <c r="LPB103" s="18"/>
      <c r="LPC103" s="38"/>
      <c r="LPI103" s="8"/>
      <c r="LPJ103" s="18"/>
      <c r="LPK103" s="38"/>
      <c r="LPQ103" s="8"/>
      <c r="LPR103" s="18"/>
      <c r="LPS103" s="38"/>
      <c r="LPY103" s="8"/>
      <c r="LPZ103" s="18"/>
      <c r="LQA103" s="38"/>
      <c r="LQG103" s="8"/>
      <c r="LQH103" s="18"/>
      <c r="LQI103" s="38"/>
      <c r="LQO103" s="8"/>
      <c r="LQP103" s="18"/>
      <c r="LQQ103" s="38"/>
      <c r="LQW103" s="8"/>
      <c r="LQX103" s="18"/>
      <c r="LQY103" s="38"/>
      <c r="LRE103" s="8"/>
      <c r="LRF103" s="18"/>
      <c r="LRG103" s="38"/>
      <c r="LRM103" s="8"/>
      <c r="LRN103" s="18"/>
      <c r="LRO103" s="38"/>
      <c r="LRU103" s="8"/>
      <c r="LRV103" s="18"/>
      <c r="LRW103" s="38"/>
      <c r="LSC103" s="8"/>
      <c r="LSD103" s="18"/>
      <c r="LSE103" s="38"/>
      <c r="LSK103" s="8"/>
      <c r="LSL103" s="18"/>
      <c r="LSM103" s="38"/>
      <c r="LSS103" s="8"/>
      <c r="LST103" s="18"/>
      <c r="LSU103" s="38"/>
      <c r="LTA103" s="8"/>
      <c r="LTB103" s="18"/>
      <c r="LTC103" s="38"/>
      <c r="LTI103" s="8"/>
      <c r="LTJ103" s="18"/>
      <c r="LTK103" s="38"/>
      <c r="LTQ103" s="8"/>
      <c r="LTR103" s="18"/>
      <c r="LTS103" s="38"/>
      <c r="LTY103" s="8"/>
      <c r="LTZ103" s="18"/>
      <c r="LUA103" s="38"/>
      <c r="LUG103" s="8"/>
      <c r="LUH103" s="18"/>
      <c r="LUI103" s="38"/>
      <c r="LUO103" s="8"/>
      <c r="LUP103" s="18"/>
      <c r="LUQ103" s="38"/>
      <c r="LUW103" s="8"/>
      <c r="LUX103" s="18"/>
      <c r="LUY103" s="38"/>
      <c r="LVE103" s="8"/>
      <c r="LVF103" s="18"/>
      <c r="LVG103" s="38"/>
      <c r="LVM103" s="8"/>
      <c r="LVN103" s="18"/>
      <c r="LVO103" s="38"/>
      <c r="LVU103" s="8"/>
      <c r="LVV103" s="18"/>
      <c r="LVW103" s="38"/>
      <c r="LWC103" s="8"/>
      <c r="LWD103" s="18"/>
      <c r="LWE103" s="38"/>
      <c r="LWK103" s="8"/>
      <c r="LWL103" s="18"/>
      <c r="LWM103" s="38"/>
      <c r="LWS103" s="8"/>
      <c r="LWT103" s="18"/>
      <c r="LWU103" s="38"/>
      <c r="LXA103" s="8"/>
      <c r="LXB103" s="18"/>
      <c r="LXC103" s="38"/>
      <c r="LXI103" s="8"/>
      <c r="LXJ103" s="18"/>
      <c r="LXK103" s="38"/>
      <c r="LXQ103" s="8"/>
      <c r="LXR103" s="18"/>
      <c r="LXS103" s="38"/>
      <c r="LXY103" s="8"/>
      <c r="LXZ103" s="18"/>
      <c r="LYA103" s="38"/>
      <c r="LYG103" s="8"/>
      <c r="LYH103" s="18"/>
      <c r="LYI103" s="38"/>
      <c r="LYO103" s="8"/>
      <c r="LYP103" s="18"/>
      <c r="LYQ103" s="38"/>
      <c r="LYW103" s="8"/>
      <c r="LYX103" s="18"/>
      <c r="LYY103" s="38"/>
      <c r="LZE103" s="8"/>
      <c r="LZF103" s="18"/>
      <c r="LZG103" s="38"/>
      <c r="LZM103" s="8"/>
      <c r="LZN103" s="18"/>
      <c r="LZO103" s="38"/>
      <c r="LZU103" s="8"/>
      <c r="LZV103" s="18"/>
      <c r="LZW103" s="38"/>
      <c r="MAC103" s="8"/>
      <c r="MAD103" s="18"/>
      <c r="MAE103" s="38"/>
      <c r="MAK103" s="8"/>
      <c r="MAL103" s="18"/>
      <c r="MAM103" s="38"/>
      <c r="MAS103" s="8"/>
      <c r="MAT103" s="18"/>
      <c r="MAU103" s="38"/>
      <c r="MBA103" s="8"/>
      <c r="MBB103" s="18"/>
      <c r="MBC103" s="38"/>
      <c r="MBI103" s="8"/>
      <c r="MBJ103" s="18"/>
      <c r="MBK103" s="38"/>
      <c r="MBQ103" s="8"/>
      <c r="MBR103" s="18"/>
      <c r="MBS103" s="38"/>
      <c r="MBY103" s="8"/>
      <c r="MBZ103" s="18"/>
      <c r="MCA103" s="38"/>
      <c r="MCG103" s="8"/>
      <c r="MCH103" s="18"/>
      <c r="MCI103" s="38"/>
      <c r="MCO103" s="8"/>
      <c r="MCP103" s="18"/>
      <c r="MCQ103" s="38"/>
      <c r="MCW103" s="8"/>
      <c r="MCX103" s="18"/>
      <c r="MCY103" s="38"/>
      <c r="MDE103" s="8"/>
      <c r="MDF103" s="18"/>
      <c r="MDG103" s="38"/>
      <c r="MDM103" s="8"/>
      <c r="MDN103" s="18"/>
      <c r="MDO103" s="38"/>
      <c r="MDU103" s="8"/>
      <c r="MDV103" s="18"/>
      <c r="MDW103" s="38"/>
      <c r="MEC103" s="8"/>
      <c r="MED103" s="18"/>
      <c r="MEE103" s="38"/>
      <c r="MEK103" s="8"/>
      <c r="MEL103" s="18"/>
      <c r="MEM103" s="38"/>
      <c r="MES103" s="8"/>
      <c r="MET103" s="18"/>
      <c r="MEU103" s="38"/>
      <c r="MFA103" s="8"/>
      <c r="MFB103" s="18"/>
      <c r="MFC103" s="38"/>
      <c r="MFI103" s="8"/>
      <c r="MFJ103" s="18"/>
      <c r="MFK103" s="38"/>
      <c r="MFQ103" s="8"/>
      <c r="MFR103" s="18"/>
      <c r="MFS103" s="38"/>
      <c r="MFY103" s="8"/>
      <c r="MFZ103" s="18"/>
      <c r="MGA103" s="38"/>
      <c r="MGG103" s="8"/>
      <c r="MGH103" s="18"/>
      <c r="MGI103" s="38"/>
      <c r="MGO103" s="8"/>
      <c r="MGP103" s="18"/>
      <c r="MGQ103" s="38"/>
      <c r="MGW103" s="8"/>
      <c r="MGX103" s="18"/>
      <c r="MGY103" s="38"/>
      <c r="MHE103" s="8"/>
      <c r="MHF103" s="18"/>
      <c r="MHG103" s="38"/>
      <c r="MHM103" s="8"/>
      <c r="MHN103" s="18"/>
      <c r="MHO103" s="38"/>
      <c r="MHU103" s="8"/>
      <c r="MHV103" s="18"/>
      <c r="MHW103" s="38"/>
      <c r="MIC103" s="8"/>
      <c r="MID103" s="18"/>
      <c r="MIE103" s="38"/>
      <c r="MIK103" s="8"/>
      <c r="MIL103" s="18"/>
      <c r="MIM103" s="38"/>
      <c r="MIS103" s="8"/>
      <c r="MIT103" s="18"/>
      <c r="MIU103" s="38"/>
      <c r="MJA103" s="8"/>
      <c r="MJB103" s="18"/>
      <c r="MJC103" s="38"/>
      <c r="MJI103" s="8"/>
      <c r="MJJ103" s="18"/>
      <c r="MJK103" s="38"/>
      <c r="MJQ103" s="8"/>
      <c r="MJR103" s="18"/>
      <c r="MJS103" s="38"/>
      <c r="MJY103" s="8"/>
      <c r="MJZ103" s="18"/>
      <c r="MKA103" s="38"/>
      <c r="MKG103" s="8"/>
      <c r="MKH103" s="18"/>
      <c r="MKI103" s="38"/>
      <c r="MKO103" s="8"/>
      <c r="MKP103" s="18"/>
      <c r="MKQ103" s="38"/>
      <c r="MKW103" s="8"/>
      <c r="MKX103" s="18"/>
      <c r="MKY103" s="38"/>
      <c r="MLE103" s="8"/>
      <c r="MLF103" s="18"/>
      <c r="MLG103" s="38"/>
      <c r="MLM103" s="8"/>
      <c r="MLN103" s="18"/>
      <c r="MLO103" s="38"/>
      <c r="MLU103" s="8"/>
      <c r="MLV103" s="18"/>
      <c r="MLW103" s="38"/>
      <c r="MMC103" s="8"/>
      <c r="MMD103" s="18"/>
      <c r="MME103" s="38"/>
      <c r="MMK103" s="8"/>
      <c r="MML103" s="18"/>
      <c r="MMM103" s="38"/>
      <c r="MMS103" s="8"/>
      <c r="MMT103" s="18"/>
      <c r="MMU103" s="38"/>
      <c r="MNA103" s="8"/>
      <c r="MNB103" s="18"/>
      <c r="MNC103" s="38"/>
      <c r="MNI103" s="8"/>
      <c r="MNJ103" s="18"/>
      <c r="MNK103" s="38"/>
      <c r="MNQ103" s="8"/>
      <c r="MNR103" s="18"/>
      <c r="MNS103" s="38"/>
      <c r="MNY103" s="8"/>
      <c r="MNZ103" s="18"/>
      <c r="MOA103" s="38"/>
      <c r="MOG103" s="8"/>
      <c r="MOH103" s="18"/>
      <c r="MOI103" s="38"/>
      <c r="MOO103" s="8"/>
      <c r="MOP103" s="18"/>
      <c r="MOQ103" s="38"/>
      <c r="MOW103" s="8"/>
      <c r="MOX103" s="18"/>
      <c r="MOY103" s="38"/>
      <c r="MPE103" s="8"/>
      <c r="MPF103" s="18"/>
      <c r="MPG103" s="38"/>
      <c r="MPM103" s="8"/>
      <c r="MPN103" s="18"/>
      <c r="MPO103" s="38"/>
      <c r="MPU103" s="8"/>
      <c r="MPV103" s="18"/>
      <c r="MPW103" s="38"/>
      <c r="MQC103" s="8"/>
      <c r="MQD103" s="18"/>
      <c r="MQE103" s="38"/>
      <c r="MQK103" s="8"/>
      <c r="MQL103" s="18"/>
      <c r="MQM103" s="38"/>
      <c r="MQS103" s="8"/>
      <c r="MQT103" s="18"/>
      <c r="MQU103" s="38"/>
      <c r="MRA103" s="8"/>
      <c r="MRB103" s="18"/>
      <c r="MRC103" s="38"/>
      <c r="MRI103" s="8"/>
      <c r="MRJ103" s="18"/>
      <c r="MRK103" s="38"/>
      <c r="MRQ103" s="8"/>
      <c r="MRR103" s="18"/>
      <c r="MRS103" s="38"/>
      <c r="MRY103" s="8"/>
      <c r="MRZ103" s="18"/>
      <c r="MSA103" s="38"/>
      <c r="MSG103" s="8"/>
      <c r="MSH103" s="18"/>
      <c r="MSI103" s="38"/>
      <c r="MSO103" s="8"/>
      <c r="MSP103" s="18"/>
      <c r="MSQ103" s="38"/>
      <c r="MSW103" s="8"/>
      <c r="MSX103" s="18"/>
      <c r="MSY103" s="38"/>
      <c r="MTE103" s="8"/>
      <c r="MTF103" s="18"/>
      <c r="MTG103" s="38"/>
      <c r="MTM103" s="8"/>
      <c r="MTN103" s="18"/>
      <c r="MTO103" s="38"/>
      <c r="MTU103" s="8"/>
      <c r="MTV103" s="18"/>
      <c r="MTW103" s="38"/>
      <c r="MUC103" s="8"/>
      <c r="MUD103" s="18"/>
      <c r="MUE103" s="38"/>
      <c r="MUK103" s="8"/>
      <c r="MUL103" s="18"/>
      <c r="MUM103" s="38"/>
      <c r="MUS103" s="8"/>
      <c r="MUT103" s="18"/>
      <c r="MUU103" s="38"/>
      <c r="MVA103" s="8"/>
      <c r="MVB103" s="18"/>
      <c r="MVC103" s="38"/>
      <c r="MVI103" s="8"/>
      <c r="MVJ103" s="18"/>
      <c r="MVK103" s="38"/>
      <c r="MVQ103" s="8"/>
      <c r="MVR103" s="18"/>
      <c r="MVS103" s="38"/>
      <c r="MVY103" s="8"/>
      <c r="MVZ103" s="18"/>
      <c r="MWA103" s="38"/>
      <c r="MWG103" s="8"/>
      <c r="MWH103" s="18"/>
      <c r="MWI103" s="38"/>
      <c r="MWO103" s="8"/>
      <c r="MWP103" s="18"/>
      <c r="MWQ103" s="38"/>
      <c r="MWW103" s="8"/>
      <c r="MWX103" s="18"/>
      <c r="MWY103" s="38"/>
      <c r="MXE103" s="8"/>
      <c r="MXF103" s="18"/>
      <c r="MXG103" s="38"/>
      <c r="MXM103" s="8"/>
      <c r="MXN103" s="18"/>
      <c r="MXO103" s="38"/>
      <c r="MXU103" s="8"/>
      <c r="MXV103" s="18"/>
      <c r="MXW103" s="38"/>
      <c r="MYC103" s="8"/>
      <c r="MYD103" s="18"/>
      <c r="MYE103" s="38"/>
      <c r="MYK103" s="8"/>
      <c r="MYL103" s="18"/>
      <c r="MYM103" s="38"/>
      <c r="MYS103" s="8"/>
      <c r="MYT103" s="18"/>
      <c r="MYU103" s="38"/>
      <c r="MZA103" s="8"/>
      <c r="MZB103" s="18"/>
      <c r="MZC103" s="38"/>
      <c r="MZI103" s="8"/>
      <c r="MZJ103" s="18"/>
      <c r="MZK103" s="38"/>
      <c r="MZQ103" s="8"/>
      <c r="MZR103" s="18"/>
      <c r="MZS103" s="38"/>
      <c r="MZY103" s="8"/>
      <c r="MZZ103" s="18"/>
      <c r="NAA103" s="38"/>
      <c r="NAG103" s="8"/>
      <c r="NAH103" s="18"/>
      <c r="NAI103" s="38"/>
      <c r="NAO103" s="8"/>
      <c r="NAP103" s="18"/>
      <c r="NAQ103" s="38"/>
      <c r="NAW103" s="8"/>
      <c r="NAX103" s="18"/>
      <c r="NAY103" s="38"/>
      <c r="NBE103" s="8"/>
      <c r="NBF103" s="18"/>
      <c r="NBG103" s="38"/>
      <c r="NBM103" s="8"/>
      <c r="NBN103" s="18"/>
      <c r="NBO103" s="38"/>
      <c r="NBU103" s="8"/>
      <c r="NBV103" s="18"/>
      <c r="NBW103" s="38"/>
      <c r="NCC103" s="8"/>
      <c r="NCD103" s="18"/>
      <c r="NCE103" s="38"/>
      <c r="NCK103" s="8"/>
      <c r="NCL103" s="18"/>
      <c r="NCM103" s="38"/>
      <c r="NCS103" s="8"/>
      <c r="NCT103" s="18"/>
      <c r="NCU103" s="38"/>
      <c r="NDA103" s="8"/>
      <c r="NDB103" s="18"/>
      <c r="NDC103" s="38"/>
      <c r="NDI103" s="8"/>
      <c r="NDJ103" s="18"/>
      <c r="NDK103" s="38"/>
      <c r="NDQ103" s="8"/>
      <c r="NDR103" s="18"/>
      <c r="NDS103" s="38"/>
      <c r="NDY103" s="8"/>
      <c r="NDZ103" s="18"/>
      <c r="NEA103" s="38"/>
      <c r="NEG103" s="8"/>
      <c r="NEH103" s="18"/>
      <c r="NEI103" s="38"/>
      <c r="NEO103" s="8"/>
      <c r="NEP103" s="18"/>
      <c r="NEQ103" s="38"/>
      <c r="NEW103" s="8"/>
      <c r="NEX103" s="18"/>
      <c r="NEY103" s="38"/>
      <c r="NFE103" s="8"/>
      <c r="NFF103" s="18"/>
      <c r="NFG103" s="38"/>
      <c r="NFM103" s="8"/>
      <c r="NFN103" s="18"/>
      <c r="NFO103" s="38"/>
      <c r="NFU103" s="8"/>
      <c r="NFV103" s="18"/>
      <c r="NFW103" s="38"/>
      <c r="NGC103" s="8"/>
      <c r="NGD103" s="18"/>
      <c r="NGE103" s="38"/>
      <c r="NGK103" s="8"/>
      <c r="NGL103" s="18"/>
      <c r="NGM103" s="38"/>
      <c r="NGS103" s="8"/>
      <c r="NGT103" s="18"/>
      <c r="NGU103" s="38"/>
      <c r="NHA103" s="8"/>
      <c r="NHB103" s="18"/>
      <c r="NHC103" s="38"/>
      <c r="NHI103" s="8"/>
      <c r="NHJ103" s="18"/>
      <c r="NHK103" s="38"/>
      <c r="NHQ103" s="8"/>
      <c r="NHR103" s="18"/>
      <c r="NHS103" s="38"/>
      <c r="NHY103" s="8"/>
      <c r="NHZ103" s="18"/>
      <c r="NIA103" s="38"/>
      <c r="NIG103" s="8"/>
      <c r="NIH103" s="18"/>
      <c r="NII103" s="38"/>
      <c r="NIO103" s="8"/>
      <c r="NIP103" s="18"/>
      <c r="NIQ103" s="38"/>
      <c r="NIW103" s="8"/>
      <c r="NIX103" s="18"/>
      <c r="NIY103" s="38"/>
      <c r="NJE103" s="8"/>
      <c r="NJF103" s="18"/>
      <c r="NJG103" s="38"/>
      <c r="NJM103" s="8"/>
      <c r="NJN103" s="18"/>
      <c r="NJO103" s="38"/>
      <c r="NJU103" s="8"/>
      <c r="NJV103" s="18"/>
      <c r="NJW103" s="38"/>
      <c r="NKC103" s="8"/>
      <c r="NKD103" s="18"/>
      <c r="NKE103" s="38"/>
      <c r="NKK103" s="8"/>
      <c r="NKL103" s="18"/>
      <c r="NKM103" s="38"/>
      <c r="NKS103" s="8"/>
      <c r="NKT103" s="18"/>
      <c r="NKU103" s="38"/>
      <c r="NLA103" s="8"/>
      <c r="NLB103" s="18"/>
      <c r="NLC103" s="38"/>
      <c r="NLI103" s="8"/>
      <c r="NLJ103" s="18"/>
      <c r="NLK103" s="38"/>
      <c r="NLQ103" s="8"/>
      <c r="NLR103" s="18"/>
      <c r="NLS103" s="38"/>
      <c r="NLY103" s="8"/>
      <c r="NLZ103" s="18"/>
      <c r="NMA103" s="38"/>
      <c r="NMG103" s="8"/>
      <c r="NMH103" s="18"/>
      <c r="NMI103" s="38"/>
      <c r="NMO103" s="8"/>
      <c r="NMP103" s="18"/>
      <c r="NMQ103" s="38"/>
      <c r="NMW103" s="8"/>
      <c r="NMX103" s="18"/>
      <c r="NMY103" s="38"/>
      <c r="NNE103" s="8"/>
      <c r="NNF103" s="18"/>
      <c r="NNG103" s="38"/>
      <c r="NNM103" s="8"/>
      <c r="NNN103" s="18"/>
      <c r="NNO103" s="38"/>
      <c r="NNU103" s="8"/>
      <c r="NNV103" s="18"/>
      <c r="NNW103" s="38"/>
      <c r="NOC103" s="8"/>
      <c r="NOD103" s="18"/>
      <c r="NOE103" s="38"/>
      <c r="NOK103" s="8"/>
      <c r="NOL103" s="18"/>
      <c r="NOM103" s="38"/>
      <c r="NOS103" s="8"/>
      <c r="NOT103" s="18"/>
      <c r="NOU103" s="38"/>
      <c r="NPA103" s="8"/>
      <c r="NPB103" s="18"/>
      <c r="NPC103" s="38"/>
      <c r="NPI103" s="8"/>
      <c r="NPJ103" s="18"/>
      <c r="NPK103" s="38"/>
      <c r="NPQ103" s="8"/>
      <c r="NPR103" s="18"/>
      <c r="NPS103" s="38"/>
      <c r="NPY103" s="8"/>
      <c r="NPZ103" s="18"/>
      <c r="NQA103" s="38"/>
      <c r="NQG103" s="8"/>
      <c r="NQH103" s="18"/>
      <c r="NQI103" s="38"/>
      <c r="NQO103" s="8"/>
      <c r="NQP103" s="18"/>
      <c r="NQQ103" s="38"/>
      <c r="NQW103" s="8"/>
      <c r="NQX103" s="18"/>
      <c r="NQY103" s="38"/>
      <c r="NRE103" s="8"/>
      <c r="NRF103" s="18"/>
      <c r="NRG103" s="38"/>
      <c r="NRM103" s="8"/>
      <c r="NRN103" s="18"/>
      <c r="NRO103" s="38"/>
      <c r="NRU103" s="8"/>
      <c r="NRV103" s="18"/>
      <c r="NRW103" s="38"/>
      <c r="NSC103" s="8"/>
      <c r="NSD103" s="18"/>
      <c r="NSE103" s="38"/>
      <c r="NSK103" s="8"/>
      <c r="NSL103" s="18"/>
      <c r="NSM103" s="38"/>
      <c r="NSS103" s="8"/>
      <c r="NST103" s="18"/>
      <c r="NSU103" s="38"/>
      <c r="NTA103" s="8"/>
      <c r="NTB103" s="18"/>
      <c r="NTC103" s="38"/>
      <c r="NTI103" s="8"/>
      <c r="NTJ103" s="18"/>
      <c r="NTK103" s="38"/>
      <c r="NTQ103" s="8"/>
      <c r="NTR103" s="18"/>
      <c r="NTS103" s="38"/>
      <c r="NTY103" s="8"/>
      <c r="NTZ103" s="18"/>
      <c r="NUA103" s="38"/>
      <c r="NUG103" s="8"/>
      <c r="NUH103" s="18"/>
      <c r="NUI103" s="38"/>
      <c r="NUO103" s="8"/>
      <c r="NUP103" s="18"/>
      <c r="NUQ103" s="38"/>
      <c r="NUW103" s="8"/>
      <c r="NUX103" s="18"/>
      <c r="NUY103" s="38"/>
      <c r="NVE103" s="8"/>
      <c r="NVF103" s="18"/>
      <c r="NVG103" s="38"/>
      <c r="NVM103" s="8"/>
      <c r="NVN103" s="18"/>
      <c r="NVO103" s="38"/>
      <c r="NVU103" s="8"/>
      <c r="NVV103" s="18"/>
      <c r="NVW103" s="38"/>
      <c r="NWC103" s="8"/>
      <c r="NWD103" s="18"/>
      <c r="NWE103" s="38"/>
      <c r="NWK103" s="8"/>
      <c r="NWL103" s="18"/>
      <c r="NWM103" s="38"/>
      <c r="NWS103" s="8"/>
      <c r="NWT103" s="18"/>
      <c r="NWU103" s="38"/>
      <c r="NXA103" s="8"/>
      <c r="NXB103" s="18"/>
      <c r="NXC103" s="38"/>
      <c r="NXI103" s="8"/>
      <c r="NXJ103" s="18"/>
      <c r="NXK103" s="38"/>
      <c r="NXQ103" s="8"/>
      <c r="NXR103" s="18"/>
      <c r="NXS103" s="38"/>
      <c r="NXY103" s="8"/>
      <c r="NXZ103" s="18"/>
      <c r="NYA103" s="38"/>
      <c r="NYG103" s="8"/>
      <c r="NYH103" s="18"/>
      <c r="NYI103" s="38"/>
      <c r="NYO103" s="8"/>
      <c r="NYP103" s="18"/>
      <c r="NYQ103" s="38"/>
      <c r="NYW103" s="8"/>
      <c r="NYX103" s="18"/>
      <c r="NYY103" s="38"/>
      <c r="NZE103" s="8"/>
      <c r="NZF103" s="18"/>
      <c r="NZG103" s="38"/>
      <c r="NZM103" s="8"/>
      <c r="NZN103" s="18"/>
      <c r="NZO103" s="38"/>
      <c r="NZU103" s="8"/>
      <c r="NZV103" s="18"/>
      <c r="NZW103" s="38"/>
      <c r="OAC103" s="8"/>
      <c r="OAD103" s="18"/>
      <c r="OAE103" s="38"/>
      <c r="OAK103" s="8"/>
      <c r="OAL103" s="18"/>
      <c r="OAM103" s="38"/>
      <c r="OAS103" s="8"/>
      <c r="OAT103" s="18"/>
      <c r="OAU103" s="38"/>
      <c r="OBA103" s="8"/>
      <c r="OBB103" s="18"/>
      <c r="OBC103" s="38"/>
      <c r="OBI103" s="8"/>
      <c r="OBJ103" s="18"/>
      <c r="OBK103" s="38"/>
      <c r="OBQ103" s="8"/>
      <c r="OBR103" s="18"/>
      <c r="OBS103" s="38"/>
      <c r="OBY103" s="8"/>
      <c r="OBZ103" s="18"/>
      <c r="OCA103" s="38"/>
      <c r="OCG103" s="8"/>
      <c r="OCH103" s="18"/>
      <c r="OCI103" s="38"/>
      <c r="OCO103" s="8"/>
      <c r="OCP103" s="18"/>
      <c r="OCQ103" s="38"/>
      <c r="OCW103" s="8"/>
      <c r="OCX103" s="18"/>
      <c r="OCY103" s="38"/>
      <c r="ODE103" s="8"/>
      <c r="ODF103" s="18"/>
      <c r="ODG103" s="38"/>
      <c r="ODM103" s="8"/>
      <c r="ODN103" s="18"/>
      <c r="ODO103" s="38"/>
      <c r="ODU103" s="8"/>
      <c r="ODV103" s="18"/>
      <c r="ODW103" s="38"/>
      <c r="OEC103" s="8"/>
      <c r="OED103" s="18"/>
      <c r="OEE103" s="38"/>
      <c r="OEK103" s="8"/>
      <c r="OEL103" s="18"/>
      <c r="OEM103" s="38"/>
      <c r="OES103" s="8"/>
      <c r="OET103" s="18"/>
      <c r="OEU103" s="38"/>
      <c r="OFA103" s="8"/>
      <c r="OFB103" s="18"/>
      <c r="OFC103" s="38"/>
      <c r="OFI103" s="8"/>
      <c r="OFJ103" s="18"/>
      <c r="OFK103" s="38"/>
      <c r="OFQ103" s="8"/>
      <c r="OFR103" s="18"/>
      <c r="OFS103" s="38"/>
      <c r="OFY103" s="8"/>
      <c r="OFZ103" s="18"/>
      <c r="OGA103" s="38"/>
      <c r="OGG103" s="8"/>
      <c r="OGH103" s="18"/>
      <c r="OGI103" s="38"/>
      <c r="OGO103" s="8"/>
      <c r="OGP103" s="18"/>
      <c r="OGQ103" s="38"/>
      <c r="OGW103" s="8"/>
      <c r="OGX103" s="18"/>
      <c r="OGY103" s="38"/>
      <c r="OHE103" s="8"/>
      <c r="OHF103" s="18"/>
      <c r="OHG103" s="38"/>
      <c r="OHM103" s="8"/>
      <c r="OHN103" s="18"/>
      <c r="OHO103" s="38"/>
      <c r="OHU103" s="8"/>
      <c r="OHV103" s="18"/>
      <c r="OHW103" s="38"/>
      <c r="OIC103" s="8"/>
      <c r="OID103" s="18"/>
      <c r="OIE103" s="38"/>
      <c r="OIK103" s="8"/>
      <c r="OIL103" s="18"/>
      <c r="OIM103" s="38"/>
      <c r="OIS103" s="8"/>
      <c r="OIT103" s="18"/>
      <c r="OIU103" s="38"/>
      <c r="OJA103" s="8"/>
      <c r="OJB103" s="18"/>
      <c r="OJC103" s="38"/>
      <c r="OJI103" s="8"/>
      <c r="OJJ103" s="18"/>
      <c r="OJK103" s="38"/>
      <c r="OJQ103" s="8"/>
      <c r="OJR103" s="18"/>
      <c r="OJS103" s="38"/>
      <c r="OJY103" s="8"/>
      <c r="OJZ103" s="18"/>
      <c r="OKA103" s="38"/>
      <c r="OKG103" s="8"/>
      <c r="OKH103" s="18"/>
      <c r="OKI103" s="38"/>
      <c r="OKO103" s="8"/>
      <c r="OKP103" s="18"/>
      <c r="OKQ103" s="38"/>
      <c r="OKW103" s="8"/>
      <c r="OKX103" s="18"/>
      <c r="OKY103" s="38"/>
      <c r="OLE103" s="8"/>
      <c r="OLF103" s="18"/>
      <c r="OLG103" s="38"/>
      <c r="OLM103" s="8"/>
      <c r="OLN103" s="18"/>
      <c r="OLO103" s="38"/>
      <c r="OLU103" s="8"/>
      <c r="OLV103" s="18"/>
      <c r="OLW103" s="38"/>
      <c r="OMC103" s="8"/>
      <c r="OMD103" s="18"/>
      <c r="OME103" s="38"/>
      <c r="OMK103" s="8"/>
      <c r="OML103" s="18"/>
      <c r="OMM103" s="38"/>
      <c r="OMS103" s="8"/>
      <c r="OMT103" s="18"/>
      <c r="OMU103" s="38"/>
      <c r="ONA103" s="8"/>
      <c r="ONB103" s="18"/>
      <c r="ONC103" s="38"/>
      <c r="ONI103" s="8"/>
      <c r="ONJ103" s="18"/>
      <c r="ONK103" s="38"/>
      <c r="ONQ103" s="8"/>
      <c r="ONR103" s="18"/>
      <c r="ONS103" s="38"/>
      <c r="ONY103" s="8"/>
      <c r="ONZ103" s="18"/>
      <c r="OOA103" s="38"/>
      <c r="OOG103" s="8"/>
      <c r="OOH103" s="18"/>
      <c r="OOI103" s="38"/>
      <c r="OOO103" s="8"/>
      <c r="OOP103" s="18"/>
      <c r="OOQ103" s="38"/>
      <c r="OOW103" s="8"/>
      <c r="OOX103" s="18"/>
      <c r="OOY103" s="38"/>
      <c r="OPE103" s="8"/>
      <c r="OPF103" s="18"/>
      <c r="OPG103" s="38"/>
      <c r="OPM103" s="8"/>
      <c r="OPN103" s="18"/>
      <c r="OPO103" s="38"/>
      <c r="OPU103" s="8"/>
      <c r="OPV103" s="18"/>
      <c r="OPW103" s="38"/>
      <c r="OQC103" s="8"/>
      <c r="OQD103" s="18"/>
      <c r="OQE103" s="38"/>
      <c r="OQK103" s="8"/>
      <c r="OQL103" s="18"/>
      <c r="OQM103" s="38"/>
      <c r="OQS103" s="8"/>
      <c r="OQT103" s="18"/>
      <c r="OQU103" s="38"/>
      <c r="ORA103" s="8"/>
      <c r="ORB103" s="18"/>
      <c r="ORC103" s="38"/>
      <c r="ORI103" s="8"/>
      <c r="ORJ103" s="18"/>
      <c r="ORK103" s="38"/>
      <c r="ORQ103" s="8"/>
      <c r="ORR103" s="18"/>
      <c r="ORS103" s="38"/>
      <c r="ORY103" s="8"/>
      <c r="ORZ103" s="18"/>
      <c r="OSA103" s="38"/>
      <c r="OSG103" s="8"/>
      <c r="OSH103" s="18"/>
      <c r="OSI103" s="38"/>
      <c r="OSO103" s="8"/>
      <c r="OSP103" s="18"/>
      <c r="OSQ103" s="38"/>
      <c r="OSW103" s="8"/>
      <c r="OSX103" s="18"/>
      <c r="OSY103" s="38"/>
      <c r="OTE103" s="8"/>
      <c r="OTF103" s="18"/>
      <c r="OTG103" s="38"/>
      <c r="OTM103" s="8"/>
      <c r="OTN103" s="18"/>
      <c r="OTO103" s="38"/>
      <c r="OTU103" s="8"/>
      <c r="OTV103" s="18"/>
      <c r="OTW103" s="38"/>
      <c r="OUC103" s="8"/>
      <c r="OUD103" s="18"/>
      <c r="OUE103" s="38"/>
      <c r="OUK103" s="8"/>
      <c r="OUL103" s="18"/>
      <c r="OUM103" s="38"/>
      <c r="OUS103" s="8"/>
      <c r="OUT103" s="18"/>
      <c r="OUU103" s="38"/>
      <c r="OVA103" s="8"/>
      <c r="OVB103" s="18"/>
      <c r="OVC103" s="38"/>
      <c r="OVI103" s="8"/>
      <c r="OVJ103" s="18"/>
      <c r="OVK103" s="38"/>
      <c r="OVQ103" s="8"/>
      <c r="OVR103" s="18"/>
      <c r="OVS103" s="38"/>
      <c r="OVY103" s="8"/>
      <c r="OVZ103" s="18"/>
      <c r="OWA103" s="38"/>
      <c r="OWG103" s="8"/>
      <c r="OWH103" s="18"/>
      <c r="OWI103" s="38"/>
      <c r="OWO103" s="8"/>
      <c r="OWP103" s="18"/>
      <c r="OWQ103" s="38"/>
      <c r="OWW103" s="8"/>
      <c r="OWX103" s="18"/>
      <c r="OWY103" s="38"/>
      <c r="OXE103" s="8"/>
      <c r="OXF103" s="18"/>
      <c r="OXG103" s="38"/>
      <c r="OXM103" s="8"/>
      <c r="OXN103" s="18"/>
      <c r="OXO103" s="38"/>
      <c r="OXU103" s="8"/>
      <c r="OXV103" s="18"/>
      <c r="OXW103" s="38"/>
      <c r="OYC103" s="8"/>
      <c r="OYD103" s="18"/>
      <c r="OYE103" s="38"/>
      <c r="OYK103" s="8"/>
      <c r="OYL103" s="18"/>
      <c r="OYM103" s="38"/>
      <c r="OYS103" s="8"/>
      <c r="OYT103" s="18"/>
      <c r="OYU103" s="38"/>
      <c r="OZA103" s="8"/>
      <c r="OZB103" s="18"/>
      <c r="OZC103" s="38"/>
      <c r="OZI103" s="8"/>
      <c r="OZJ103" s="18"/>
      <c r="OZK103" s="38"/>
      <c r="OZQ103" s="8"/>
      <c r="OZR103" s="18"/>
      <c r="OZS103" s="38"/>
      <c r="OZY103" s="8"/>
      <c r="OZZ103" s="18"/>
      <c r="PAA103" s="38"/>
      <c r="PAG103" s="8"/>
      <c r="PAH103" s="18"/>
      <c r="PAI103" s="38"/>
      <c r="PAO103" s="8"/>
      <c r="PAP103" s="18"/>
      <c r="PAQ103" s="38"/>
      <c r="PAW103" s="8"/>
      <c r="PAX103" s="18"/>
      <c r="PAY103" s="38"/>
      <c r="PBE103" s="8"/>
      <c r="PBF103" s="18"/>
      <c r="PBG103" s="38"/>
      <c r="PBM103" s="8"/>
      <c r="PBN103" s="18"/>
      <c r="PBO103" s="38"/>
      <c r="PBU103" s="8"/>
      <c r="PBV103" s="18"/>
      <c r="PBW103" s="38"/>
      <c r="PCC103" s="8"/>
      <c r="PCD103" s="18"/>
      <c r="PCE103" s="38"/>
      <c r="PCK103" s="8"/>
      <c r="PCL103" s="18"/>
      <c r="PCM103" s="38"/>
      <c r="PCS103" s="8"/>
      <c r="PCT103" s="18"/>
      <c r="PCU103" s="38"/>
      <c r="PDA103" s="8"/>
      <c r="PDB103" s="18"/>
      <c r="PDC103" s="38"/>
      <c r="PDI103" s="8"/>
      <c r="PDJ103" s="18"/>
      <c r="PDK103" s="38"/>
      <c r="PDQ103" s="8"/>
      <c r="PDR103" s="18"/>
      <c r="PDS103" s="38"/>
      <c r="PDY103" s="8"/>
      <c r="PDZ103" s="18"/>
      <c r="PEA103" s="38"/>
      <c r="PEG103" s="8"/>
      <c r="PEH103" s="18"/>
      <c r="PEI103" s="38"/>
      <c r="PEO103" s="8"/>
      <c r="PEP103" s="18"/>
      <c r="PEQ103" s="38"/>
      <c r="PEW103" s="8"/>
      <c r="PEX103" s="18"/>
      <c r="PEY103" s="38"/>
      <c r="PFE103" s="8"/>
      <c r="PFF103" s="18"/>
      <c r="PFG103" s="38"/>
      <c r="PFM103" s="8"/>
      <c r="PFN103" s="18"/>
      <c r="PFO103" s="38"/>
      <c r="PFU103" s="8"/>
      <c r="PFV103" s="18"/>
      <c r="PFW103" s="38"/>
      <c r="PGC103" s="8"/>
      <c r="PGD103" s="18"/>
      <c r="PGE103" s="38"/>
      <c r="PGK103" s="8"/>
      <c r="PGL103" s="18"/>
      <c r="PGM103" s="38"/>
      <c r="PGS103" s="8"/>
      <c r="PGT103" s="18"/>
      <c r="PGU103" s="38"/>
      <c r="PHA103" s="8"/>
      <c r="PHB103" s="18"/>
      <c r="PHC103" s="38"/>
      <c r="PHI103" s="8"/>
      <c r="PHJ103" s="18"/>
      <c r="PHK103" s="38"/>
      <c r="PHQ103" s="8"/>
      <c r="PHR103" s="18"/>
      <c r="PHS103" s="38"/>
      <c r="PHY103" s="8"/>
      <c r="PHZ103" s="18"/>
      <c r="PIA103" s="38"/>
      <c r="PIG103" s="8"/>
      <c r="PIH103" s="18"/>
      <c r="PII103" s="38"/>
      <c r="PIO103" s="8"/>
      <c r="PIP103" s="18"/>
      <c r="PIQ103" s="38"/>
      <c r="PIW103" s="8"/>
      <c r="PIX103" s="18"/>
      <c r="PIY103" s="38"/>
      <c r="PJE103" s="8"/>
      <c r="PJF103" s="18"/>
      <c r="PJG103" s="38"/>
      <c r="PJM103" s="8"/>
      <c r="PJN103" s="18"/>
      <c r="PJO103" s="38"/>
      <c r="PJU103" s="8"/>
      <c r="PJV103" s="18"/>
      <c r="PJW103" s="38"/>
      <c r="PKC103" s="8"/>
      <c r="PKD103" s="18"/>
      <c r="PKE103" s="38"/>
      <c r="PKK103" s="8"/>
      <c r="PKL103" s="18"/>
      <c r="PKM103" s="38"/>
      <c r="PKS103" s="8"/>
      <c r="PKT103" s="18"/>
      <c r="PKU103" s="38"/>
      <c r="PLA103" s="8"/>
      <c r="PLB103" s="18"/>
      <c r="PLC103" s="38"/>
      <c r="PLI103" s="8"/>
      <c r="PLJ103" s="18"/>
      <c r="PLK103" s="38"/>
      <c r="PLQ103" s="8"/>
      <c r="PLR103" s="18"/>
      <c r="PLS103" s="38"/>
      <c r="PLY103" s="8"/>
      <c r="PLZ103" s="18"/>
      <c r="PMA103" s="38"/>
      <c r="PMG103" s="8"/>
      <c r="PMH103" s="18"/>
      <c r="PMI103" s="38"/>
      <c r="PMO103" s="8"/>
      <c r="PMP103" s="18"/>
      <c r="PMQ103" s="38"/>
      <c r="PMW103" s="8"/>
      <c r="PMX103" s="18"/>
      <c r="PMY103" s="38"/>
      <c r="PNE103" s="8"/>
      <c r="PNF103" s="18"/>
      <c r="PNG103" s="38"/>
      <c r="PNM103" s="8"/>
      <c r="PNN103" s="18"/>
      <c r="PNO103" s="38"/>
      <c r="PNU103" s="8"/>
      <c r="PNV103" s="18"/>
      <c r="PNW103" s="38"/>
      <c r="POC103" s="8"/>
      <c r="POD103" s="18"/>
      <c r="POE103" s="38"/>
      <c r="POK103" s="8"/>
      <c r="POL103" s="18"/>
      <c r="POM103" s="38"/>
      <c r="POS103" s="8"/>
      <c r="POT103" s="18"/>
      <c r="POU103" s="38"/>
      <c r="PPA103" s="8"/>
      <c r="PPB103" s="18"/>
      <c r="PPC103" s="38"/>
      <c r="PPI103" s="8"/>
      <c r="PPJ103" s="18"/>
      <c r="PPK103" s="38"/>
      <c r="PPQ103" s="8"/>
      <c r="PPR103" s="18"/>
      <c r="PPS103" s="38"/>
      <c r="PPY103" s="8"/>
      <c r="PPZ103" s="18"/>
      <c r="PQA103" s="38"/>
      <c r="PQG103" s="8"/>
      <c r="PQH103" s="18"/>
      <c r="PQI103" s="38"/>
      <c r="PQO103" s="8"/>
      <c r="PQP103" s="18"/>
      <c r="PQQ103" s="38"/>
      <c r="PQW103" s="8"/>
      <c r="PQX103" s="18"/>
      <c r="PQY103" s="38"/>
      <c r="PRE103" s="8"/>
      <c r="PRF103" s="18"/>
      <c r="PRG103" s="38"/>
      <c r="PRM103" s="8"/>
      <c r="PRN103" s="18"/>
      <c r="PRO103" s="38"/>
      <c r="PRU103" s="8"/>
      <c r="PRV103" s="18"/>
      <c r="PRW103" s="38"/>
      <c r="PSC103" s="8"/>
      <c r="PSD103" s="18"/>
      <c r="PSE103" s="38"/>
      <c r="PSK103" s="8"/>
      <c r="PSL103" s="18"/>
      <c r="PSM103" s="38"/>
      <c r="PSS103" s="8"/>
      <c r="PST103" s="18"/>
      <c r="PSU103" s="38"/>
      <c r="PTA103" s="8"/>
      <c r="PTB103" s="18"/>
      <c r="PTC103" s="38"/>
      <c r="PTI103" s="8"/>
      <c r="PTJ103" s="18"/>
      <c r="PTK103" s="38"/>
      <c r="PTQ103" s="8"/>
      <c r="PTR103" s="18"/>
      <c r="PTS103" s="38"/>
      <c r="PTY103" s="8"/>
      <c r="PTZ103" s="18"/>
      <c r="PUA103" s="38"/>
      <c r="PUG103" s="8"/>
      <c r="PUH103" s="18"/>
      <c r="PUI103" s="38"/>
      <c r="PUO103" s="8"/>
      <c r="PUP103" s="18"/>
      <c r="PUQ103" s="38"/>
      <c r="PUW103" s="8"/>
      <c r="PUX103" s="18"/>
      <c r="PUY103" s="38"/>
      <c r="PVE103" s="8"/>
      <c r="PVF103" s="18"/>
      <c r="PVG103" s="38"/>
      <c r="PVM103" s="8"/>
      <c r="PVN103" s="18"/>
      <c r="PVO103" s="38"/>
      <c r="PVU103" s="8"/>
      <c r="PVV103" s="18"/>
      <c r="PVW103" s="38"/>
      <c r="PWC103" s="8"/>
      <c r="PWD103" s="18"/>
      <c r="PWE103" s="38"/>
      <c r="PWK103" s="8"/>
      <c r="PWL103" s="18"/>
      <c r="PWM103" s="38"/>
      <c r="PWS103" s="8"/>
      <c r="PWT103" s="18"/>
      <c r="PWU103" s="38"/>
      <c r="PXA103" s="8"/>
      <c r="PXB103" s="18"/>
      <c r="PXC103" s="38"/>
      <c r="PXI103" s="8"/>
      <c r="PXJ103" s="18"/>
      <c r="PXK103" s="38"/>
      <c r="PXQ103" s="8"/>
      <c r="PXR103" s="18"/>
      <c r="PXS103" s="38"/>
      <c r="PXY103" s="8"/>
      <c r="PXZ103" s="18"/>
      <c r="PYA103" s="38"/>
      <c r="PYG103" s="8"/>
      <c r="PYH103" s="18"/>
      <c r="PYI103" s="38"/>
      <c r="PYO103" s="8"/>
      <c r="PYP103" s="18"/>
      <c r="PYQ103" s="38"/>
      <c r="PYW103" s="8"/>
      <c r="PYX103" s="18"/>
      <c r="PYY103" s="38"/>
      <c r="PZE103" s="8"/>
      <c r="PZF103" s="18"/>
      <c r="PZG103" s="38"/>
      <c r="PZM103" s="8"/>
      <c r="PZN103" s="18"/>
      <c r="PZO103" s="38"/>
      <c r="PZU103" s="8"/>
      <c r="PZV103" s="18"/>
      <c r="PZW103" s="38"/>
      <c r="QAC103" s="8"/>
      <c r="QAD103" s="18"/>
      <c r="QAE103" s="38"/>
      <c r="QAK103" s="8"/>
      <c r="QAL103" s="18"/>
      <c r="QAM103" s="38"/>
      <c r="QAS103" s="8"/>
      <c r="QAT103" s="18"/>
      <c r="QAU103" s="38"/>
      <c r="QBA103" s="8"/>
      <c r="QBB103" s="18"/>
      <c r="QBC103" s="38"/>
      <c r="QBI103" s="8"/>
      <c r="QBJ103" s="18"/>
      <c r="QBK103" s="38"/>
      <c r="QBQ103" s="8"/>
      <c r="QBR103" s="18"/>
      <c r="QBS103" s="38"/>
      <c r="QBY103" s="8"/>
      <c r="QBZ103" s="18"/>
      <c r="QCA103" s="38"/>
      <c r="QCG103" s="8"/>
      <c r="QCH103" s="18"/>
      <c r="QCI103" s="38"/>
      <c r="QCO103" s="8"/>
      <c r="QCP103" s="18"/>
      <c r="QCQ103" s="38"/>
      <c r="QCW103" s="8"/>
      <c r="QCX103" s="18"/>
      <c r="QCY103" s="38"/>
      <c r="QDE103" s="8"/>
      <c r="QDF103" s="18"/>
      <c r="QDG103" s="38"/>
      <c r="QDM103" s="8"/>
      <c r="QDN103" s="18"/>
      <c r="QDO103" s="38"/>
      <c r="QDU103" s="8"/>
      <c r="QDV103" s="18"/>
      <c r="QDW103" s="38"/>
      <c r="QEC103" s="8"/>
      <c r="QED103" s="18"/>
      <c r="QEE103" s="38"/>
      <c r="QEK103" s="8"/>
      <c r="QEL103" s="18"/>
      <c r="QEM103" s="38"/>
      <c r="QES103" s="8"/>
      <c r="QET103" s="18"/>
      <c r="QEU103" s="38"/>
      <c r="QFA103" s="8"/>
      <c r="QFB103" s="18"/>
      <c r="QFC103" s="38"/>
      <c r="QFI103" s="8"/>
      <c r="QFJ103" s="18"/>
      <c r="QFK103" s="38"/>
      <c r="QFQ103" s="8"/>
      <c r="QFR103" s="18"/>
      <c r="QFS103" s="38"/>
      <c r="QFY103" s="8"/>
      <c r="QFZ103" s="18"/>
      <c r="QGA103" s="38"/>
      <c r="QGG103" s="8"/>
      <c r="QGH103" s="18"/>
      <c r="QGI103" s="38"/>
      <c r="QGO103" s="8"/>
      <c r="QGP103" s="18"/>
      <c r="QGQ103" s="38"/>
      <c r="QGW103" s="8"/>
      <c r="QGX103" s="18"/>
      <c r="QGY103" s="38"/>
      <c r="QHE103" s="8"/>
      <c r="QHF103" s="18"/>
      <c r="QHG103" s="38"/>
      <c r="QHM103" s="8"/>
      <c r="QHN103" s="18"/>
      <c r="QHO103" s="38"/>
      <c r="QHU103" s="8"/>
      <c r="QHV103" s="18"/>
      <c r="QHW103" s="38"/>
      <c r="QIC103" s="8"/>
      <c r="QID103" s="18"/>
      <c r="QIE103" s="38"/>
      <c r="QIK103" s="8"/>
      <c r="QIL103" s="18"/>
      <c r="QIM103" s="38"/>
      <c r="QIS103" s="8"/>
      <c r="QIT103" s="18"/>
      <c r="QIU103" s="38"/>
      <c r="QJA103" s="8"/>
      <c r="QJB103" s="18"/>
      <c r="QJC103" s="38"/>
      <c r="QJI103" s="8"/>
      <c r="QJJ103" s="18"/>
      <c r="QJK103" s="38"/>
      <c r="QJQ103" s="8"/>
      <c r="QJR103" s="18"/>
      <c r="QJS103" s="38"/>
      <c r="QJY103" s="8"/>
      <c r="QJZ103" s="18"/>
      <c r="QKA103" s="38"/>
      <c r="QKG103" s="8"/>
      <c r="QKH103" s="18"/>
      <c r="QKI103" s="38"/>
      <c r="QKO103" s="8"/>
      <c r="QKP103" s="18"/>
      <c r="QKQ103" s="38"/>
      <c r="QKW103" s="8"/>
      <c r="QKX103" s="18"/>
      <c r="QKY103" s="38"/>
      <c r="QLE103" s="8"/>
      <c r="QLF103" s="18"/>
      <c r="QLG103" s="38"/>
      <c r="QLM103" s="8"/>
      <c r="QLN103" s="18"/>
      <c r="QLO103" s="38"/>
      <c r="QLU103" s="8"/>
      <c r="QLV103" s="18"/>
      <c r="QLW103" s="38"/>
      <c r="QMC103" s="8"/>
      <c r="QMD103" s="18"/>
      <c r="QME103" s="38"/>
      <c r="QMK103" s="8"/>
      <c r="QML103" s="18"/>
      <c r="QMM103" s="38"/>
      <c r="QMS103" s="8"/>
      <c r="QMT103" s="18"/>
      <c r="QMU103" s="38"/>
      <c r="QNA103" s="8"/>
      <c r="QNB103" s="18"/>
      <c r="QNC103" s="38"/>
      <c r="QNI103" s="8"/>
      <c r="QNJ103" s="18"/>
      <c r="QNK103" s="38"/>
      <c r="QNQ103" s="8"/>
      <c r="QNR103" s="18"/>
      <c r="QNS103" s="38"/>
      <c r="QNY103" s="8"/>
      <c r="QNZ103" s="18"/>
      <c r="QOA103" s="38"/>
      <c r="QOG103" s="8"/>
      <c r="QOH103" s="18"/>
      <c r="QOI103" s="38"/>
      <c r="QOO103" s="8"/>
      <c r="QOP103" s="18"/>
      <c r="QOQ103" s="38"/>
      <c r="QOW103" s="8"/>
      <c r="QOX103" s="18"/>
      <c r="QOY103" s="38"/>
      <c r="QPE103" s="8"/>
      <c r="QPF103" s="18"/>
      <c r="QPG103" s="38"/>
      <c r="QPM103" s="8"/>
      <c r="QPN103" s="18"/>
      <c r="QPO103" s="38"/>
      <c r="QPU103" s="8"/>
      <c r="QPV103" s="18"/>
      <c r="QPW103" s="38"/>
      <c r="QQC103" s="8"/>
      <c r="QQD103" s="18"/>
      <c r="QQE103" s="38"/>
      <c r="QQK103" s="8"/>
      <c r="QQL103" s="18"/>
      <c r="QQM103" s="38"/>
      <c r="QQS103" s="8"/>
      <c r="QQT103" s="18"/>
      <c r="QQU103" s="38"/>
      <c r="QRA103" s="8"/>
      <c r="QRB103" s="18"/>
      <c r="QRC103" s="38"/>
      <c r="QRI103" s="8"/>
      <c r="QRJ103" s="18"/>
      <c r="QRK103" s="38"/>
      <c r="QRQ103" s="8"/>
      <c r="QRR103" s="18"/>
      <c r="QRS103" s="38"/>
      <c r="QRY103" s="8"/>
      <c r="QRZ103" s="18"/>
      <c r="QSA103" s="38"/>
      <c r="QSG103" s="8"/>
      <c r="QSH103" s="18"/>
      <c r="QSI103" s="38"/>
      <c r="QSO103" s="8"/>
      <c r="QSP103" s="18"/>
      <c r="QSQ103" s="38"/>
      <c r="QSW103" s="8"/>
      <c r="QSX103" s="18"/>
      <c r="QSY103" s="38"/>
      <c r="QTE103" s="8"/>
      <c r="QTF103" s="18"/>
      <c r="QTG103" s="38"/>
      <c r="QTM103" s="8"/>
      <c r="QTN103" s="18"/>
      <c r="QTO103" s="38"/>
      <c r="QTU103" s="8"/>
      <c r="QTV103" s="18"/>
      <c r="QTW103" s="38"/>
      <c r="QUC103" s="8"/>
      <c r="QUD103" s="18"/>
      <c r="QUE103" s="38"/>
      <c r="QUK103" s="8"/>
      <c r="QUL103" s="18"/>
      <c r="QUM103" s="38"/>
      <c r="QUS103" s="8"/>
      <c r="QUT103" s="18"/>
      <c r="QUU103" s="38"/>
      <c r="QVA103" s="8"/>
      <c r="QVB103" s="18"/>
      <c r="QVC103" s="38"/>
      <c r="QVI103" s="8"/>
      <c r="QVJ103" s="18"/>
      <c r="QVK103" s="38"/>
      <c r="QVQ103" s="8"/>
      <c r="QVR103" s="18"/>
      <c r="QVS103" s="38"/>
      <c r="QVY103" s="8"/>
      <c r="QVZ103" s="18"/>
      <c r="QWA103" s="38"/>
      <c r="QWG103" s="8"/>
      <c r="QWH103" s="18"/>
      <c r="QWI103" s="38"/>
      <c r="QWO103" s="8"/>
      <c r="QWP103" s="18"/>
      <c r="QWQ103" s="38"/>
      <c r="QWW103" s="8"/>
      <c r="QWX103" s="18"/>
      <c r="QWY103" s="38"/>
      <c r="QXE103" s="8"/>
      <c r="QXF103" s="18"/>
      <c r="QXG103" s="38"/>
      <c r="QXM103" s="8"/>
      <c r="QXN103" s="18"/>
      <c r="QXO103" s="38"/>
      <c r="QXU103" s="8"/>
      <c r="QXV103" s="18"/>
      <c r="QXW103" s="38"/>
      <c r="QYC103" s="8"/>
      <c r="QYD103" s="18"/>
      <c r="QYE103" s="38"/>
      <c r="QYK103" s="8"/>
      <c r="QYL103" s="18"/>
      <c r="QYM103" s="38"/>
      <c r="QYS103" s="8"/>
      <c r="QYT103" s="18"/>
      <c r="QYU103" s="38"/>
      <c r="QZA103" s="8"/>
      <c r="QZB103" s="18"/>
      <c r="QZC103" s="38"/>
      <c r="QZI103" s="8"/>
      <c r="QZJ103" s="18"/>
      <c r="QZK103" s="38"/>
      <c r="QZQ103" s="8"/>
      <c r="QZR103" s="18"/>
      <c r="QZS103" s="38"/>
      <c r="QZY103" s="8"/>
      <c r="QZZ103" s="18"/>
      <c r="RAA103" s="38"/>
      <c r="RAG103" s="8"/>
      <c r="RAH103" s="18"/>
      <c r="RAI103" s="38"/>
      <c r="RAO103" s="8"/>
      <c r="RAP103" s="18"/>
      <c r="RAQ103" s="38"/>
      <c r="RAW103" s="8"/>
      <c r="RAX103" s="18"/>
      <c r="RAY103" s="38"/>
      <c r="RBE103" s="8"/>
      <c r="RBF103" s="18"/>
      <c r="RBG103" s="38"/>
      <c r="RBM103" s="8"/>
      <c r="RBN103" s="18"/>
      <c r="RBO103" s="38"/>
      <c r="RBU103" s="8"/>
      <c r="RBV103" s="18"/>
      <c r="RBW103" s="38"/>
      <c r="RCC103" s="8"/>
      <c r="RCD103" s="18"/>
      <c r="RCE103" s="38"/>
      <c r="RCK103" s="8"/>
      <c r="RCL103" s="18"/>
      <c r="RCM103" s="38"/>
      <c r="RCS103" s="8"/>
      <c r="RCT103" s="18"/>
      <c r="RCU103" s="38"/>
      <c r="RDA103" s="8"/>
      <c r="RDB103" s="18"/>
      <c r="RDC103" s="38"/>
      <c r="RDI103" s="8"/>
      <c r="RDJ103" s="18"/>
      <c r="RDK103" s="38"/>
      <c r="RDQ103" s="8"/>
      <c r="RDR103" s="18"/>
      <c r="RDS103" s="38"/>
      <c r="RDY103" s="8"/>
      <c r="RDZ103" s="18"/>
      <c r="REA103" s="38"/>
      <c r="REG103" s="8"/>
      <c r="REH103" s="18"/>
      <c r="REI103" s="38"/>
      <c r="REO103" s="8"/>
      <c r="REP103" s="18"/>
      <c r="REQ103" s="38"/>
      <c r="REW103" s="8"/>
      <c r="REX103" s="18"/>
      <c r="REY103" s="38"/>
      <c r="RFE103" s="8"/>
      <c r="RFF103" s="18"/>
      <c r="RFG103" s="38"/>
      <c r="RFM103" s="8"/>
      <c r="RFN103" s="18"/>
      <c r="RFO103" s="38"/>
      <c r="RFU103" s="8"/>
      <c r="RFV103" s="18"/>
      <c r="RFW103" s="38"/>
      <c r="RGC103" s="8"/>
      <c r="RGD103" s="18"/>
      <c r="RGE103" s="38"/>
      <c r="RGK103" s="8"/>
      <c r="RGL103" s="18"/>
      <c r="RGM103" s="38"/>
      <c r="RGS103" s="8"/>
      <c r="RGT103" s="18"/>
      <c r="RGU103" s="38"/>
      <c r="RHA103" s="8"/>
      <c r="RHB103" s="18"/>
      <c r="RHC103" s="38"/>
      <c r="RHI103" s="8"/>
      <c r="RHJ103" s="18"/>
      <c r="RHK103" s="38"/>
      <c r="RHQ103" s="8"/>
      <c r="RHR103" s="18"/>
      <c r="RHS103" s="38"/>
      <c r="RHY103" s="8"/>
      <c r="RHZ103" s="18"/>
      <c r="RIA103" s="38"/>
      <c r="RIG103" s="8"/>
      <c r="RIH103" s="18"/>
      <c r="RII103" s="38"/>
      <c r="RIO103" s="8"/>
      <c r="RIP103" s="18"/>
      <c r="RIQ103" s="38"/>
      <c r="RIW103" s="8"/>
      <c r="RIX103" s="18"/>
      <c r="RIY103" s="38"/>
      <c r="RJE103" s="8"/>
      <c r="RJF103" s="18"/>
      <c r="RJG103" s="38"/>
      <c r="RJM103" s="8"/>
      <c r="RJN103" s="18"/>
      <c r="RJO103" s="38"/>
      <c r="RJU103" s="8"/>
      <c r="RJV103" s="18"/>
      <c r="RJW103" s="38"/>
      <c r="RKC103" s="8"/>
      <c r="RKD103" s="18"/>
      <c r="RKE103" s="38"/>
      <c r="RKK103" s="8"/>
      <c r="RKL103" s="18"/>
      <c r="RKM103" s="38"/>
      <c r="RKS103" s="8"/>
      <c r="RKT103" s="18"/>
      <c r="RKU103" s="38"/>
      <c r="RLA103" s="8"/>
      <c r="RLB103" s="18"/>
      <c r="RLC103" s="38"/>
      <c r="RLI103" s="8"/>
      <c r="RLJ103" s="18"/>
      <c r="RLK103" s="38"/>
      <c r="RLQ103" s="8"/>
      <c r="RLR103" s="18"/>
      <c r="RLS103" s="38"/>
      <c r="RLY103" s="8"/>
      <c r="RLZ103" s="18"/>
      <c r="RMA103" s="38"/>
      <c r="RMG103" s="8"/>
      <c r="RMH103" s="18"/>
      <c r="RMI103" s="38"/>
      <c r="RMO103" s="8"/>
      <c r="RMP103" s="18"/>
      <c r="RMQ103" s="38"/>
      <c r="RMW103" s="8"/>
      <c r="RMX103" s="18"/>
      <c r="RMY103" s="38"/>
      <c r="RNE103" s="8"/>
      <c r="RNF103" s="18"/>
      <c r="RNG103" s="38"/>
      <c r="RNM103" s="8"/>
      <c r="RNN103" s="18"/>
      <c r="RNO103" s="38"/>
      <c r="RNU103" s="8"/>
      <c r="RNV103" s="18"/>
      <c r="RNW103" s="38"/>
      <c r="ROC103" s="8"/>
      <c r="ROD103" s="18"/>
      <c r="ROE103" s="38"/>
      <c r="ROK103" s="8"/>
      <c r="ROL103" s="18"/>
      <c r="ROM103" s="38"/>
      <c r="ROS103" s="8"/>
      <c r="ROT103" s="18"/>
      <c r="ROU103" s="38"/>
      <c r="RPA103" s="8"/>
      <c r="RPB103" s="18"/>
      <c r="RPC103" s="38"/>
      <c r="RPI103" s="8"/>
      <c r="RPJ103" s="18"/>
      <c r="RPK103" s="38"/>
      <c r="RPQ103" s="8"/>
      <c r="RPR103" s="18"/>
      <c r="RPS103" s="38"/>
      <c r="RPY103" s="8"/>
      <c r="RPZ103" s="18"/>
      <c r="RQA103" s="38"/>
      <c r="RQG103" s="8"/>
      <c r="RQH103" s="18"/>
      <c r="RQI103" s="38"/>
      <c r="RQO103" s="8"/>
      <c r="RQP103" s="18"/>
      <c r="RQQ103" s="38"/>
      <c r="RQW103" s="8"/>
      <c r="RQX103" s="18"/>
      <c r="RQY103" s="38"/>
      <c r="RRE103" s="8"/>
      <c r="RRF103" s="18"/>
      <c r="RRG103" s="38"/>
      <c r="RRM103" s="8"/>
      <c r="RRN103" s="18"/>
      <c r="RRO103" s="38"/>
      <c r="RRU103" s="8"/>
      <c r="RRV103" s="18"/>
      <c r="RRW103" s="38"/>
      <c r="RSC103" s="8"/>
      <c r="RSD103" s="18"/>
      <c r="RSE103" s="38"/>
      <c r="RSK103" s="8"/>
      <c r="RSL103" s="18"/>
      <c r="RSM103" s="38"/>
      <c r="RSS103" s="8"/>
      <c r="RST103" s="18"/>
      <c r="RSU103" s="38"/>
      <c r="RTA103" s="8"/>
      <c r="RTB103" s="18"/>
      <c r="RTC103" s="38"/>
      <c r="RTI103" s="8"/>
      <c r="RTJ103" s="18"/>
      <c r="RTK103" s="38"/>
      <c r="RTQ103" s="8"/>
      <c r="RTR103" s="18"/>
      <c r="RTS103" s="38"/>
      <c r="RTY103" s="8"/>
      <c r="RTZ103" s="18"/>
      <c r="RUA103" s="38"/>
      <c r="RUG103" s="8"/>
      <c r="RUH103" s="18"/>
      <c r="RUI103" s="38"/>
      <c r="RUO103" s="8"/>
      <c r="RUP103" s="18"/>
      <c r="RUQ103" s="38"/>
      <c r="RUW103" s="8"/>
      <c r="RUX103" s="18"/>
      <c r="RUY103" s="38"/>
      <c r="RVE103" s="8"/>
      <c r="RVF103" s="18"/>
      <c r="RVG103" s="38"/>
      <c r="RVM103" s="8"/>
      <c r="RVN103" s="18"/>
      <c r="RVO103" s="38"/>
      <c r="RVU103" s="8"/>
      <c r="RVV103" s="18"/>
      <c r="RVW103" s="38"/>
      <c r="RWC103" s="8"/>
      <c r="RWD103" s="18"/>
      <c r="RWE103" s="38"/>
      <c r="RWK103" s="8"/>
      <c r="RWL103" s="18"/>
      <c r="RWM103" s="38"/>
      <c r="RWS103" s="8"/>
      <c r="RWT103" s="18"/>
      <c r="RWU103" s="38"/>
      <c r="RXA103" s="8"/>
      <c r="RXB103" s="18"/>
      <c r="RXC103" s="38"/>
      <c r="RXI103" s="8"/>
      <c r="RXJ103" s="18"/>
      <c r="RXK103" s="38"/>
      <c r="RXQ103" s="8"/>
      <c r="RXR103" s="18"/>
      <c r="RXS103" s="38"/>
      <c r="RXY103" s="8"/>
      <c r="RXZ103" s="18"/>
      <c r="RYA103" s="38"/>
      <c r="RYG103" s="8"/>
      <c r="RYH103" s="18"/>
      <c r="RYI103" s="38"/>
      <c r="RYO103" s="8"/>
      <c r="RYP103" s="18"/>
      <c r="RYQ103" s="38"/>
      <c r="RYW103" s="8"/>
      <c r="RYX103" s="18"/>
      <c r="RYY103" s="38"/>
      <c r="RZE103" s="8"/>
      <c r="RZF103" s="18"/>
      <c r="RZG103" s="38"/>
      <c r="RZM103" s="8"/>
      <c r="RZN103" s="18"/>
      <c r="RZO103" s="38"/>
      <c r="RZU103" s="8"/>
      <c r="RZV103" s="18"/>
      <c r="RZW103" s="38"/>
      <c r="SAC103" s="8"/>
      <c r="SAD103" s="18"/>
      <c r="SAE103" s="38"/>
      <c r="SAK103" s="8"/>
      <c r="SAL103" s="18"/>
      <c r="SAM103" s="38"/>
      <c r="SAS103" s="8"/>
      <c r="SAT103" s="18"/>
      <c r="SAU103" s="38"/>
      <c r="SBA103" s="8"/>
      <c r="SBB103" s="18"/>
      <c r="SBC103" s="38"/>
      <c r="SBI103" s="8"/>
      <c r="SBJ103" s="18"/>
      <c r="SBK103" s="38"/>
      <c r="SBQ103" s="8"/>
      <c r="SBR103" s="18"/>
      <c r="SBS103" s="38"/>
      <c r="SBY103" s="8"/>
      <c r="SBZ103" s="18"/>
      <c r="SCA103" s="38"/>
      <c r="SCG103" s="8"/>
      <c r="SCH103" s="18"/>
      <c r="SCI103" s="38"/>
      <c r="SCO103" s="8"/>
      <c r="SCP103" s="18"/>
      <c r="SCQ103" s="38"/>
      <c r="SCW103" s="8"/>
      <c r="SCX103" s="18"/>
      <c r="SCY103" s="38"/>
      <c r="SDE103" s="8"/>
      <c r="SDF103" s="18"/>
      <c r="SDG103" s="38"/>
      <c r="SDM103" s="8"/>
      <c r="SDN103" s="18"/>
      <c r="SDO103" s="38"/>
      <c r="SDU103" s="8"/>
      <c r="SDV103" s="18"/>
      <c r="SDW103" s="38"/>
      <c r="SEC103" s="8"/>
      <c r="SED103" s="18"/>
      <c r="SEE103" s="38"/>
      <c r="SEK103" s="8"/>
      <c r="SEL103" s="18"/>
      <c r="SEM103" s="38"/>
      <c r="SES103" s="8"/>
      <c r="SET103" s="18"/>
      <c r="SEU103" s="38"/>
      <c r="SFA103" s="8"/>
      <c r="SFB103" s="18"/>
      <c r="SFC103" s="38"/>
      <c r="SFI103" s="8"/>
      <c r="SFJ103" s="18"/>
      <c r="SFK103" s="38"/>
      <c r="SFQ103" s="8"/>
      <c r="SFR103" s="18"/>
      <c r="SFS103" s="38"/>
      <c r="SFY103" s="8"/>
      <c r="SFZ103" s="18"/>
      <c r="SGA103" s="38"/>
      <c r="SGG103" s="8"/>
      <c r="SGH103" s="18"/>
      <c r="SGI103" s="38"/>
      <c r="SGO103" s="8"/>
      <c r="SGP103" s="18"/>
      <c r="SGQ103" s="38"/>
      <c r="SGW103" s="8"/>
      <c r="SGX103" s="18"/>
      <c r="SGY103" s="38"/>
      <c r="SHE103" s="8"/>
      <c r="SHF103" s="18"/>
      <c r="SHG103" s="38"/>
      <c r="SHM103" s="8"/>
      <c r="SHN103" s="18"/>
      <c r="SHO103" s="38"/>
      <c r="SHU103" s="8"/>
      <c r="SHV103" s="18"/>
      <c r="SHW103" s="38"/>
      <c r="SIC103" s="8"/>
      <c r="SID103" s="18"/>
      <c r="SIE103" s="38"/>
      <c r="SIK103" s="8"/>
      <c r="SIL103" s="18"/>
      <c r="SIM103" s="38"/>
      <c r="SIS103" s="8"/>
      <c r="SIT103" s="18"/>
      <c r="SIU103" s="38"/>
      <c r="SJA103" s="8"/>
      <c r="SJB103" s="18"/>
      <c r="SJC103" s="38"/>
      <c r="SJI103" s="8"/>
      <c r="SJJ103" s="18"/>
      <c r="SJK103" s="38"/>
      <c r="SJQ103" s="8"/>
      <c r="SJR103" s="18"/>
      <c r="SJS103" s="38"/>
      <c r="SJY103" s="8"/>
      <c r="SJZ103" s="18"/>
      <c r="SKA103" s="38"/>
      <c r="SKG103" s="8"/>
      <c r="SKH103" s="18"/>
      <c r="SKI103" s="38"/>
      <c r="SKO103" s="8"/>
      <c r="SKP103" s="18"/>
      <c r="SKQ103" s="38"/>
      <c r="SKW103" s="8"/>
      <c r="SKX103" s="18"/>
      <c r="SKY103" s="38"/>
      <c r="SLE103" s="8"/>
      <c r="SLF103" s="18"/>
      <c r="SLG103" s="38"/>
      <c r="SLM103" s="8"/>
      <c r="SLN103" s="18"/>
      <c r="SLO103" s="38"/>
      <c r="SLU103" s="8"/>
      <c r="SLV103" s="18"/>
      <c r="SLW103" s="38"/>
      <c r="SMC103" s="8"/>
      <c r="SMD103" s="18"/>
      <c r="SME103" s="38"/>
      <c r="SMK103" s="8"/>
      <c r="SML103" s="18"/>
      <c r="SMM103" s="38"/>
      <c r="SMS103" s="8"/>
      <c r="SMT103" s="18"/>
      <c r="SMU103" s="38"/>
      <c r="SNA103" s="8"/>
      <c r="SNB103" s="18"/>
      <c r="SNC103" s="38"/>
      <c r="SNI103" s="8"/>
      <c r="SNJ103" s="18"/>
      <c r="SNK103" s="38"/>
      <c r="SNQ103" s="8"/>
      <c r="SNR103" s="18"/>
      <c r="SNS103" s="38"/>
      <c r="SNY103" s="8"/>
      <c r="SNZ103" s="18"/>
      <c r="SOA103" s="38"/>
      <c r="SOG103" s="8"/>
      <c r="SOH103" s="18"/>
      <c r="SOI103" s="38"/>
      <c r="SOO103" s="8"/>
      <c r="SOP103" s="18"/>
      <c r="SOQ103" s="38"/>
      <c r="SOW103" s="8"/>
      <c r="SOX103" s="18"/>
      <c r="SOY103" s="38"/>
      <c r="SPE103" s="8"/>
      <c r="SPF103" s="18"/>
      <c r="SPG103" s="38"/>
      <c r="SPM103" s="8"/>
      <c r="SPN103" s="18"/>
      <c r="SPO103" s="38"/>
      <c r="SPU103" s="8"/>
      <c r="SPV103" s="18"/>
      <c r="SPW103" s="38"/>
      <c r="SQC103" s="8"/>
      <c r="SQD103" s="18"/>
      <c r="SQE103" s="38"/>
      <c r="SQK103" s="8"/>
      <c r="SQL103" s="18"/>
      <c r="SQM103" s="38"/>
      <c r="SQS103" s="8"/>
      <c r="SQT103" s="18"/>
      <c r="SQU103" s="38"/>
      <c r="SRA103" s="8"/>
      <c r="SRB103" s="18"/>
      <c r="SRC103" s="38"/>
      <c r="SRI103" s="8"/>
      <c r="SRJ103" s="18"/>
      <c r="SRK103" s="38"/>
      <c r="SRQ103" s="8"/>
      <c r="SRR103" s="18"/>
      <c r="SRS103" s="38"/>
      <c r="SRY103" s="8"/>
      <c r="SRZ103" s="18"/>
      <c r="SSA103" s="38"/>
      <c r="SSG103" s="8"/>
      <c r="SSH103" s="18"/>
      <c r="SSI103" s="38"/>
      <c r="SSO103" s="8"/>
      <c r="SSP103" s="18"/>
      <c r="SSQ103" s="38"/>
      <c r="SSW103" s="8"/>
      <c r="SSX103" s="18"/>
      <c r="SSY103" s="38"/>
      <c r="STE103" s="8"/>
      <c r="STF103" s="18"/>
      <c r="STG103" s="38"/>
      <c r="STM103" s="8"/>
      <c r="STN103" s="18"/>
      <c r="STO103" s="38"/>
      <c r="STU103" s="8"/>
      <c r="STV103" s="18"/>
      <c r="STW103" s="38"/>
      <c r="SUC103" s="8"/>
      <c r="SUD103" s="18"/>
      <c r="SUE103" s="38"/>
      <c r="SUK103" s="8"/>
      <c r="SUL103" s="18"/>
      <c r="SUM103" s="38"/>
      <c r="SUS103" s="8"/>
      <c r="SUT103" s="18"/>
      <c r="SUU103" s="38"/>
      <c r="SVA103" s="8"/>
      <c r="SVB103" s="18"/>
      <c r="SVC103" s="38"/>
      <c r="SVI103" s="8"/>
      <c r="SVJ103" s="18"/>
      <c r="SVK103" s="38"/>
      <c r="SVQ103" s="8"/>
      <c r="SVR103" s="18"/>
      <c r="SVS103" s="38"/>
      <c r="SVY103" s="8"/>
      <c r="SVZ103" s="18"/>
      <c r="SWA103" s="38"/>
      <c r="SWG103" s="8"/>
      <c r="SWH103" s="18"/>
      <c r="SWI103" s="38"/>
      <c r="SWO103" s="8"/>
      <c r="SWP103" s="18"/>
      <c r="SWQ103" s="38"/>
      <c r="SWW103" s="8"/>
      <c r="SWX103" s="18"/>
      <c r="SWY103" s="38"/>
      <c r="SXE103" s="8"/>
      <c r="SXF103" s="18"/>
      <c r="SXG103" s="38"/>
      <c r="SXM103" s="8"/>
      <c r="SXN103" s="18"/>
      <c r="SXO103" s="38"/>
      <c r="SXU103" s="8"/>
      <c r="SXV103" s="18"/>
      <c r="SXW103" s="38"/>
      <c r="SYC103" s="8"/>
      <c r="SYD103" s="18"/>
      <c r="SYE103" s="38"/>
      <c r="SYK103" s="8"/>
      <c r="SYL103" s="18"/>
      <c r="SYM103" s="38"/>
      <c r="SYS103" s="8"/>
      <c r="SYT103" s="18"/>
      <c r="SYU103" s="38"/>
      <c r="SZA103" s="8"/>
      <c r="SZB103" s="18"/>
      <c r="SZC103" s="38"/>
      <c r="SZI103" s="8"/>
      <c r="SZJ103" s="18"/>
      <c r="SZK103" s="38"/>
      <c r="SZQ103" s="8"/>
      <c r="SZR103" s="18"/>
      <c r="SZS103" s="38"/>
      <c r="SZY103" s="8"/>
      <c r="SZZ103" s="18"/>
      <c r="TAA103" s="38"/>
      <c r="TAG103" s="8"/>
      <c r="TAH103" s="18"/>
      <c r="TAI103" s="38"/>
      <c r="TAO103" s="8"/>
      <c r="TAP103" s="18"/>
      <c r="TAQ103" s="38"/>
      <c r="TAW103" s="8"/>
      <c r="TAX103" s="18"/>
      <c r="TAY103" s="38"/>
      <c r="TBE103" s="8"/>
      <c r="TBF103" s="18"/>
      <c r="TBG103" s="38"/>
      <c r="TBM103" s="8"/>
      <c r="TBN103" s="18"/>
      <c r="TBO103" s="38"/>
      <c r="TBU103" s="8"/>
      <c r="TBV103" s="18"/>
      <c r="TBW103" s="38"/>
      <c r="TCC103" s="8"/>
      <c r="TCD103" s="18"/>
      <c r="TCE103" s="38"/>
      <c r="TCK103" s="8"/>
      <c r="TCL103" s="18"/>
      <c r="TCM103" s="38"/>
      <c r="TCS103" s="8"/>
      <c r="TCT103" s="18"/>
      <c r="TCU103" s="38"/>
      <c r="TDA103" s="8"/>
      <c r="TDB103" s="18"/>
      <c r="TDC103" s="38"/>
      <c r="TDI103" s="8"/>
      <c r="TDJ103" s="18"/>
      <c r="TDK103" s="38"/>
      <c r="TDQ103" s="8"/>
      <c r="TDR103" s="18"/>
      <c r="TDS103" s="38"/>
      <c r="TDY103" s="8"/>
      <c r="TDZ103" s="18"/>
      <c r="TEA103" s="38"/>
      <c r="TEG103" s="8"/>
      <c r="TEH103" s="18"/>
      <c r="TEI103" s="38"/>
      <c r="TEO103" s="8"/>
      <c r="TEP103" s="18"/>
      <c r="TEQ103" s="38"/>
      <c r="TEW103" s="8"/>
      <c r="TEX103" s="18"/>
      <c r="TEY103" s="38"/>
      <c r="TFE103" s="8"/>
      <c r="TFF103" s="18"/>
      <c r="TFG103" s="38"/>
      <c r="TFM103" s="8"/>
      <c r="TFN103" s="18"/>
      <c r="TFO103" s="38"/>
      <c r="TFU103" s="8"/>
      <c r="TFV103" s="18"/>
      <c r="TFW103" s="38"/>
      <c r="TGC103" s="8"/>
      <c r="TGD103" s="18"/>
      <c r="TGE103" s="38"/>
      <c r="TGK103" s="8"/>
      <c r="TGL103" s="18"/>
      <c r="TGM103" s="38"/>
      <c r="TGS103" s="8"/>
      <c r="TGT103" s="18"/>
      <c r="TGU103" s="38"/>
      <c r="THA103" s="8"/>
      <c r="THB103" s="18"/>
      <c r="THC103" s="38"/>
      <c r="THI103" s="8"/>
      <c r="THJ103" s="18"/>
      <c r="THK103" s="38"/>
      <c r="THQ103" s="8"/>
      <c r="THR103" s="18"/>
      <c r="THS103" s="38"/>
      <c r="THY103" s="8"/>
      <c r="THZ103" s="18"/>
      <c r="TIA103" s="38"/>
      <c r="TIG103" s="8"/>
      <c r="TIH103" s="18"/>
      <c r="TII103" s="38"/>
      <c r="TIO103" s="8"/>
      <c r="TIP103" s="18"/>
      <c r="TIQ103" s="38"/>
      <c r="TIW103" s="8"/>
      <c r="TIX103" s="18"/>
      <c r="TIY103" s="38"/>
      <c r="TJE103" s="8"/>
      <c r="TJF103" s="18"/>
      <c r="TJG103" s="38"/>
      <c r="TJM103" s="8"/>
      <c r="TJN103" s="18"/>
      <c r="TJO103" s="38"/>
      <c r="TJU103" s="8"/>
      <c r="TJV103" s="18"/>
      <c r="TJW103" s="38"/>
      <c r="TKC103" s="8"/>
      <c r="TKD103" s="18"/>
      <c r="TKE103" s="38"/>
      <c r="TKK103" s="8"/>
      <c r="TKL103" s="18"/>
      <c r="TKM103" s="38"/>
      <c r="TKS103" s="8"/>
      <c r="TKT103" s="18"/>
      <c r="TKU103" s="38"/>
      <c r="TLA103" s="8"/>
      <c r="TLB103" s="18"/>
      <c r="TLC103" s="38"/>
      <c r="TLI103" s="8"/>
      <c r="TLJ103" s="18"/>
      <c r="TLK103" s="38"/>
      <c r="TLQ103" s="8"/>
      <c r="TLR103" s="18"/>
      <c r="TLS103" s="38"/>
      <c r="TLY103" s="8"/>
      <c r="TLZ103" s="18"/>
      <c r="TMA103" s="38"/>
      <c r="TMG103" s="8"/>
      <c r="TMH103" s="18"/>
      <c r="TMI103" s="38"/>
      <c r="TMO103" s="8"/>
      <c r="TMP103" s="18"/>
      <c r="TMQ103" s="38"/>
      <c r="TMW103" s="8"/>
      <c r="TMX103" s="18"/>
      <c r="TMY103" s="38"/>
      <c r="TNE103" s="8"/>
      <c r="TNF103" s="18"/>
      <c r="TNG103" s="38"/>
      <c r="TNM103" s="8"/>
      <c r="TNN103" s="18"/>
      <c r="TNO103" s="38"/>
      <c r="TNU103" s="8"/>
      <c r="TNV103" s="18"/>
      <c r="TNW103" s="38"/>
      <c r="TOC103" s="8"/>
      <c r="TOD103" s="18"/>
      <c r="TOE103" s="38"/>
      <c r="TOK103" s="8"/>
      <c r="TOL103" s="18"/>
      <c r="TOM103" s="38"/>
      <c r="TOS103" s="8"/>
      <c r="TOT103" s="18"/>
      <c r="TOU103" s="38"/>
      <c r="TPA103" s="8"/>
      <c r="TPB103" s="18"/>
      <c r="TPC103" s="38"/>
      <c r="TPI103" s="8"/>
      <c r="TPJ103" s="18"/>
      <c r="TPK103" s="38"/>
      <c r="TPQ103" s="8"/>
      <c r="TPR103" s="18"/>
      <c r="TPS103" s="38"/>
      <c r="TPY103" s="8"/>
      <c r="TPZ103" s="18"/>
      <c r="TQA103" s="38"/>
      <c r="TQG103" s="8"/>
      <c r="TQH103" s="18"/>
      <c r="TQI103" s="38"/>
      <c r="TQO103" s="8"/>
      <c r="TQP103" s="18"/>
      <c r="TQQ103" s="38"/>
      <c r="TQW103" s="8"/>
      <c r="TQX103" s="18"/>
      <c r="TQY103" s="38"/>
      <c r="TRE103" s="8"/>
      <c r="TRF103" s="18"/>
      <c r="TRG103" s="38"/>
      <c r="TRM103" s="8"/>
      <c r="TRN103" s="18"/>
      <c r="TRO103" s="38"/>
      <c r="TRU103" s="8"/>
      <c r="TRV103" s="18"/>
      <c r="TRW103" s="38"/>
      <c r="TSC103" s="8"/>
      <c r="TSD103" s="18"/>
      <c r="TSE103" s="38"/>
      <c r="TSK103" s="8"/>
      <c r="TSL103" s="18"/>
      <c r="TSM103" s="38"/>
      <c r="TSS103" s="8"/>
      <c r="TST103" s="18"/>
      <c r="TSU103" s="38"/>
      <c r="TTA103" s="8"/>
      <c r="TTB103" s="18"/>
      <c r="TTC103" s="38"/>
      <c r="TTI103" s="8"/>
      <c r="TTJ103" s="18"/>
      <c r="TTK103" s="38"/>
      <c r="TTQ103" s="8"/>
      <c r="TTR103" s="18"/>
      <c r="TTS103" s="38"/>
      <c r="TTY103" s="8"/>
      <c r="TTZ103" s="18"/>
      <c r="TUA103" s="38"/>
      <c r="TUG103" s="8"/>
      <c r="TUH103" s="18"/>
      <c r="TUI103" s="38"/>
      <c r="TUO103" s="8"/>
      <c r="TUP103" s="18"/>
      <c r="TUQ103" s="38"/>
      <c r="TUW103" s="8"/>
      <c r="TUX103" s="18"/>
      <c r="TUY103" s="38"/>
      <c r="TVE103" s="8"/>
      <c r="TVF103" s="18"/>
      <c r="TVG103" s="38"/>
      <c r="TVM103" s="8"/>
      <c r="TVN103" s="18"/>
      <c r="TVO103" s="38"/>
      <c r="TVU103" s="8"/>
      <c r="TVV103" s="18"/>
      <c r="TVW103" s="38"/>
      <c r="TWC103" s="8"/>
      <c r="TWD103" s="18"/>
      <c r="TWE103" s="38"/>
      <c r="TWK103" s="8"/>
      <c r="TWL103" s="18"/>
      <c r="TWM103" s="38"/>
      <c r="TWS103" s="8"/>
      <c r="TWT103" s="18"/>
      <c r="TWU103" s="38"/>
      <c r="TXA103" s="8"/>
      <c r="TXB103" s="18"/>
      <c r="TXC103" s="38"/>
      <c r="TXI103" s="8"/>
      <c r="TXJ103" s="18"/>
      <c r="TXK103" s="38"/>
      <c r="TXQ103" s="8"/>
      <c r="TXR103" s="18"/>
      <c r="TXS103" s="38"/>
      <c r="TXY103" s="8"/>
      <c r="TXZ103" s="18"/>
      <c r="TYA103" s="38"/>
      <c r="TYG103" s="8"/>
      <c r="TYH103" s="18"/>
      <c r="TYI103" s="38"/>
      <c r="TYO103" s="8"/>
      <c r="TYP103" s="18"/>
      <c r="TYQ103" s="38"/>
      <c r="TYW103" s="8"/>
      <c r="TYX103" s="18"/>
      <c r="TYY103" s="38"/>
      <c r="TZE103" s="8"/>
      <c r="TZF103" s="18"/>
      <c r="TZG103" s="38"/>
      <c r="TZM103" s="8"/>
      <c r="TZN103" s="18"/>
      <c r="TZO103" s="38"/>
      <c r="TZU103" s="8"/>
      <c r="TZV103" s="18"/>
      <c r="TZW103" s="38"/>
      <c r="UAC103" s="8"/>
      <c r="UAD103" s="18"/>
      <c r="UAE103" s="38"/>
      <c r="UAK103" s="8"/>
      <c r="UAL103" s="18"/>
      <c r="UAM103" s="38"/>
      <c r="UAS103" s="8"/>
      <c r="UAT103" s="18"/>
      <c r="UAU103" s="38"/>
      <c r="UBA103" s="8"/>
      <c r="UBB103" s="18"/>
      <c r="UBC103" s="38"/>
      <c r="UBI103" s="8"/>
      <c r="UBJ103" s="18"/>
      <c r="UBK103" s="38"/>
      <c r="UBQ103" s="8"/>
      <c r="UBR103" s="18"/>
      <c r="UBS103" s="38"/>
      <c r="UBY103" s="8"/>
      <c r="UBZ103" s="18"/>
      <c r="UCA103" s="38"/>
      <c r="UCG103" s="8"/>
      <c r="UCH103" s="18"/>
      <c r="UCI103" s="38"/>
      <c r="UCO103" s="8"/>
      <c r="UCP103" s="18"/>
      <c r="UCQ103" s="38"/>
      <c r="UCW103" s="8"/>
      <c r="UCX103" s="18"/>
      <c r="UCY103" s="38"/>
      <c r="UDE103" s="8"/>
      <c r="UDF103" s="18"/>
      <c r="UDG103" s="38"/>
      <c r="UDM103" s="8"/>
      <c r="UDN103" s="18"/>
      <c r="UDO103" s="38"/>
      <c r="UDU103" s="8"/>
      <c r="UDV103" s="18"/>
      <c r="UDW103" s="38"/>
      <c r="UEC103" s="8"/>
      <c r="UED103" s="18"/>
      <c r="UEE103" s="38"/>
      <c r="UEK103" s="8"/>
      <c r="UEL103" s="18"/>
      <c r="UEM103" s="38"/>
      <c r="UES103" s="8"/>
      <c r="UET103" s="18"/>
      <c r="UEU103" s="38"/>
      <c r="UFA103" s="8"/>
      <c r="UFB103" s="18"/>
      <c r="UFC103" s="38"/>
      <c r="UFI103" s="8"/>
      <c r="UFJ103" s="18"/>
      <c r="UFK103" s="38"/>
      <c r="UFQ103" s="8"/>
      <c r="UFR103" s="18"/>
      <c r="UFS103" s="38"/>
      <c r="UFY103" s="8"/>
      <c r="UFZ103" s="18"/>
      <c r="UGA103" s="38"/>
      <c r="UGG103" s="8"/>
      <c r="UGH103" s="18"/>
      <c r="UGI103" s="38"/>
      <c r="UGO103" s="8"/>
      <c r="UGP103" s="18"/>
      <c r="UGQ103" s="38"/>
      <c r="UGW103" s="8"/>
      <c r="UGX103" s="18"/>
      <c r="UGY103" s="38"/>
      <c r="UHE103" s="8"/>
      <c r="UHF103" s="18"/>
      <c r="UHG103" s="38"/>
      <c r="UHM103" s="8"/>
      <c r="UHN103" s="18"/>
      <c r="UHO103" s="38"/>
      <c r="UHU103" s="8"/>
      <c r="UHV103" s="18"/>
      <c r="UHW103" s="38"/>
      <c r="UIC103" s="8"/>
      <c r="UID103" s="18"/>
      <c r="UIE103" s="38"/>
      <c r="UIK103" s="8"/>
      <c r="UIL103" s="18"/>
      <c r="UIM103" s="38"/>
      <c r="UIS103" s="8"/>
      <c r="UIT103" s="18"/>
      <c r="UIU103" s="38"/>
      <c r="UJA103" s="8"/>
      <c r="UJB103" s="18"/>
      <c r="UJC103" s="38"/>
      <c r="UJI103" s="8"/>
      <c r="UJJ103" s="18"/>
      <c r="UJK103" s="38"/>
      <c r="UJQ103" s="8"/>
      <c r="UJR103" s="18"/>
      <c r="UJS103" s="38"/>
      <c r="UJY103" s="8"/>
      <c r="UJZ103" s="18"/>
      <c r="UKA103" s="38"/>
      <c r="UKG103" s="8"/>
      <c r="UKH103" s="18"/>
      <c r="UKI103" s="38"/>
      <c r="UKO103" s="8"/>
      <c r="UKP103" s="18"/>
      <c r="UKQ103" s="38"/>
      <c r="UKW103" s="8"/>
      <c r="UKX103" s="18"/>
      <c r="UKY103" s="38"/>
      <c r="ULE103" s="8"/>
      <c r="ULF103" s="18"/>
      <c r="ULG103" s="38"/>
      <c r="ULM103" s="8"/>
      <c r="ULN103" s="18"/>
      <c r="ULO103" s="38"/>
      <c r="ULU103" s="8"/>
      <c r="ULV103" s="18"/>
      <c r="ULW103" s="38"/>
      <c r="UMC103" s="8"/>
      <c r="UMD103" s="18"/>
      <c r="UME103" s="38"/>
      <c r="UMK103" s="8"/>
      <c r="UML103" s="18"/>
      <c r="UMM103" s="38"/>
      <c r="UMS103" s="8"/>
      <c r="UMT103" s="18"/>
      <c r="UMU103" s="38"/>
      <c r="UNA103" s="8"/>
      <c r="UNB103" s="18"/>
      <c r="UNC103" s="38"/>
      <c r="UNI103" s="8"/>
      <c r="UNJ103" s="18"/>
      <c r="UNK103" s="38"/>
      <c r="UNQ103" s="8"/>
      <c r="UNR103" s="18"/>
      <c r="UNS103" s="38"/>
      <c r="UNY103" s="8"/>
      <c r="UNZ103" s="18"/>
      <c r="UOA103" s="38"/>
      <c r="UOG103" s="8"/>
      <c r="UOH103" s="18"/>
      <c r="UOI103" s="38"/>
      <c r="UOO103" s="8"/>
      <c r="UOP103" s="18"/>
      <c r="UOQ103" s="38"/>
      <c r="UOW103" s="8"/>
      <c r="UOX103" s="18"/>
      <c r="UOY103" s="38"/>
      <c r="UPE103" s="8"/>
      <c r="UPF103" s="18"/>
      <c r="UPG103" s="38"/>
      <c r="UPM103" s="8"/>
      <c r="UPN103" s="18"/>
      <c r="UPO103" s="38"/>
      <c r="UPU103" s="8"/>
      <c r="UPV103" s="18"/>
      <c r="UPW103" s="38"/>
      <c r="UQC103" s="8"/>
      <c r="UQD103" s="18"/>
      <c r="UQE103" s="38"/>
      <c r="UQK103" s="8"/>
      <c r="UQL103" s="18"/>
      <c r="UQM103" s="38"/>
      <c r="UQS103" s="8"/>
      <c r="UQT103" s="18"/>
      <c r="UQU103" s="38"/>
      <c r="URA103" s="8"/>
      <c r="URB103" s="18"/>
      <c r="URC103" s="38"/>
      <c r="URI103" s="8"/>
      <c r="URJ103" s="18"/>
      <c r="URK103" s="38"/>
      <c r="URQ103" s="8"/>
      <c r="URR103" s="18"/>
      <c r="URS103" s="38"/>
      <c r="URY103" s="8"/>
      <c r="URZ103" s="18"/>
      <c r="USA103" s="38"/>
      <c r="USG103" s="8"/>
      <c r="USH103" s="18"/>
      <c r="USI103" s="38"/>
      <c r="USO103" s="8"/>
      <c r="USP103" s="18"/>
      <c r="USQ103" s="38"/>
      <c r="USW103" s="8"/>
      <c r="USX103" s="18"/>
      <c r="USY103" s="38"/>
      <c r="UTE103" s="8"/>
      <c r="UTF103" s="18"/>
      <c r="UTG103" s="38"/>
      <c r="UTM103" s="8"/>
      <c r="UTN103" s="18"/>
      <c r="UTO103" s="38"/>
      <c r="UTU103" s="8"/>
      <c r="UTV103" s="18"/>
      <c r="UTW103" s="38"/>
      <c r="UUC103" s="8"/>
      <c r="UUD103" s="18"/>
      <c r="UUE103" s="38"/>
      <c r="UUK103" s="8"/>
      <c r="UUL103" s="18"/>
      <c r="UUM103" s="38"/>
      <c r="UUS103" s="8"/>
      <c r="UUT103" s="18"/>
      <c r="UUU103" s="38"/>
      <c r="UVA103" s="8"/>
      <c r="UVB103" s="18"/>
      <c r="UVC103" s="38"/>
      <c r="UVI103" s="8"/>
      <c r="UVJ103" s="18"/>
      <c r="UVK103" s="38"/>
      <c r="UVQ103" s="8"/>
      <c r="UVR103" s="18"/>
      <c r="UVS103" s="38"/>
      <c r="UVY103" s="8"/>
      <c r="UVZ103" s="18"/>
      <c r="UWA103" s="38"/>
      <c r="UWG103" s="8"/>
      <c r="UWH103" s="18"/>
      <c r="UWI103" s="38"/>
      <c r="UWO103" s="8"/>
      <c r="UWP103" s="18"/>
      <c r="UWQ103" s="38"/>
      <c r="UWW103" s="8"/>
      <c r="UWX103" s="18"/>
      <c r="UWY103" s="38"/>
      <c r="UXE103" s="8"/>
      <c r="UXF103" s="18"/>
      <c r="UXG103" s="38"/>
      <c r="UXM103" s="8"/>
      <c r="UXN103" s="18"/>
      <c r="UXO103" s="38"/>
      <c r="UXU103" s="8"/>
      <c r="UXV103" s="18"/>
      <c r="UXW103" s="38"/>
      <c r="UYC103" s="8"/>
      <c r="UYD103" s="18"/>
      <c r="UYE103" s="38"/>
      <c r="UYK103" s="8"/>
      <c r="UYL103" s="18"/>
      <c r="UYM103" s="38"/>
      <c r="UYS103" s="8"/>
      <c r="UYT103" s="18"/>
      <c r="UYU103" s="38"/>
      <c r="UZA103" s="8"/>
      <c r="UZB103" s="18"/>
      <c r="UZC103" s="38"/>
      <c r="UZI103" s="8"/>
      <c r="UZJ103" s="18"/>
      <c r="UZK103" s="38"/>
      <c r="UZQ103" s="8"/>
      <c r="UZR103" s="18"/>
      <c r="UZS103" s="38"/>
      <c r="UZY103" s="8"/>
      <c r="UZZ103" s="18"/>
      <c r="VAA103" s="38"/>
      <c r="VAG103" s="8"/>
      <c r="VAH103" s="18"/>
      <c r="VAI103" s="38"/>
      <c r="VAO103" s="8"/>
      <c r="VAP103" s="18"/>
      <c r="VAQ103" s="38"/>
      <c r="VAW103" s="8"/>
      <c r="VAX103" s="18"/>
      <c r="VAY103" s="38"/>
      <c r="VBE103" s="8"/>
      <c r="VBF103" s="18"/>
      <c r="VBG103" s="38"/>
      <c r="VBM103" s="8"/>
      <c r="VBN103" s="18"/>
      <c r="VBO103" s="38"/>
      <c r="VBU103" s="8"/>
      <c r="VBV103" s="18"/>
      <c r="VBW103" s="38"/>
      <c r="VCC103" s="8"/>
      <c r="VCD103" s="18"/>
      <c r="VCE103" s="38"/>
      <c r="VCK103" s="8"/>
      <c r="VCL103" s="18"/>
      <c r="VCM103" s="38"/>
      <c r="VCS103" s="8"/>
      <c r="VCT103" s="18"/>
      <c r="VCU103" s="38"/>
      <c r="VDA103" s="8"/>
      <c r="VDB103" s="18"/>
      <c r="VDC103" s="38"/>
      <c r="VDI103" s="8"/>
      <c r="VDJ103" s="18"/>
      <c r="VDK103" s="38"/>
      <c r="VDQ103" s="8"/>
      <c r="VDR103" s="18"/>
      <c r="VDS103" s="38"/>
      <c r="VDY103" s="8"/>
      <c r="VDZ103" s="18"/>
      <c r="VEA103" s="38"/>
      <c r="VEG103" s="8"/>
      <c r="VEH103" s="18"/>
      <c r="VEI103" s="38"/>
      <c r="VEO103" s="8"/>
      <c r="VEP103" s="18"/>
      <c r="VEQ103" s="38"/>
      <c r="VEW103" s="8"/>
      <c r="VEX103" s="18"/>
      <c r="VEY103" s="38"/>
      <c r="VFE103" s="8"/>
      <c r="VFF103" s="18"/>
      <c r="VFG103" s="38"/>
      <c r="VFM103" s="8"/>
      <c r="VFN103" s="18"/>
      <c r="VFO103" s="38"/>
      <c r="VFU103" s="8"/>
      <c r="VFV103" s="18"/>
      <c r="VFW103" s="38"/>
      <c r="VGC103" s="8"/>
      <c r="VGD103" s="18"/>
      <c r="VGE103" s="38"/>
      <c r="VGK103" s="8"/>
      <c r="VGL103" s="18"/>
      <c r="VGM103" s="38"/>
      <c r="VGS103" s="8"/>
      <c r="VGT103" s="18"/>
      <c r="VGU103" s="38"/>
      <c r="VHA103" s="8"/>
      <c r="VHB103" s="18"/>
      <c r="VHC103" s="38"/>
      <c r="VHI103" s="8"/>
      <c r="VHJ103" s="18"/>
      <c r="VHK103" s="38"/>
      <c r="VHQ103" s="8"/>
      <c r="VHR103" s="18"/>
      <c r="VHS103" s="38"/>
      <c r="VHY103" s="8"/>
      <c r="VHZ103" s="18"/>
      <c r="VIA103" s="38"/>
      <c r="VIG103" s="8"/>
      <c r="VIH103" s="18"/>
      <c r="VII103" s="38"/>
      <c r="VIO103" s="8"/>
      <c r="VIP103" s="18"/>
      <c r="VIQ103" s="38"/>
      <c r="VIW103" s="8"/>
      <c r="VIX103" s="18"/>
      <c r="VIY103" s="38"/>
      <c r="VJE103" s="8"/>
      <c r="VJF103" s="18"/>
      <c r="VJG103" s="38"/>
      <c r="VJM103" s="8"/>
      <c r="VJN103" s="18"/>
      <c r="VJO103" s="38"/>
      <c r="VJU103" s="8"/>
      <c r="VJV103" s="18"/>
      <c r="VJW103" s="38"/>
      <c r="VKC103" s="8"/>
      <c r="VKD103" s="18"/>
      <c r="VKE103" s="38"/>
      <c r="VKK103" s="8"/>
      <c r="VKL103" s="18"/>
      <c r="VKM103" s="38"/>
      <c r="VKS103" s="8"/>
      <c r="VKT103" s="18"/>
      <c r="VKU103" s="38"/>
      <c r="VLA103" s="8"/>
      <c r="VLB103" s="18"/>
      <c r="VLC103" s="38"/>
      <c r="VLI103" s="8"/>
      <c r="VLJ103" s="18"/>
      <c r="VLK103" s="38"/>
      <c r="VLQ103" s="8"/>
      <c r="VLR103" s="18"/>
      <c r="VLS103" s="38"/>
      <c r="VLY103" s="8"/>
      <c r="VLZ103" s="18"/>
      <c r="VMA103" s="38"/>
      <c r="VMG103" s="8"/>
      <c r="VMH103" s="18"/>
      <c r="VMI103" s="38"/>
      <c r="VMO103" s="8"/>
      <c r="VMP103" s="18"/>
      <c r="VMQ103" s="38"/>
      <c r="VMW103" s="8"/>
      <c r="VMX103" s="18"/>
      <c r="VMY103" s="38"/>
      <c r="VNE103" s="8"/>
      <c r="VNF103" s="18"/>
      <c r="VNG103" s="38"/>
      <c r="VNM103" s="8"/>
      <c r="VNN103" s="18"/>
      <c r="VNO103" s="38"/>
      <c r="VNU103" s="8"/>
      <c r="VNV103" s="18"/>
      <c r="VNW103" s="38"/>
      <c r="VOC103" s="8"/>
      <c r="VOD103" s="18"/>
      <c r="VOE103" s="38"/>
      <c r="VOK103" s="8"/>
      <c r="VOL103" s="18"/>
      <c r="VOM103" s="38"/>
      <c r="VOS103" s="8"/>
      <c r="VOT103" s="18"/>
      <c r="VOU103" s="38"/>
      <c r="VPA103" s="8"/>
      <c r="VPB103" s="18"/>
      <c r="VPC103" s="38"/>
      <c r="VPI103" s="8"/>
      <c r="VPJ103" s="18"/>
      <c r="VPK103" s="38"/>
      <c r="VPQ103" s="8"/>
      <c r="VPR103" s="18"/>
      <c r="VPS103" s="38"/>
      <c r="VPY103" s="8"/>
      <c r="VPZ103" s="18"/>
      <c r="VQA103" s="38"/>
      <c r="VQG103" s="8"/>
      <c r="VQH103" s="18"/>
      <c r="VQI103" s="38"/>
      <c r="VQO103" s="8"/>
      <c r="VQP103" s="18"/>
      <c r="VQQ103" s="38"/>
      <c r="VQW103" s="8"/>
      <c r="VQX103" s="18"/>
      <c r="VQY103" s="38"/>
      <c r="VRE103" s="8"/>
      <c r="VRF103" s="18"/>
      <c r="VRG103" s="38"/>
      <c r="VRM103" s="8"/>
      <c r="VRN103" s="18"/>
      <c r="VRO103" s="38"/>
      <c r="VRU103" s="8"/>
      <c r="VRV103" s="18"/>
      <c r="VRW103" s="38"/>
      <c r="VSC103" s="8"/>
      <c r="VSD103" s="18"/>
      <c r="VSE103" s="38"/>
      <c r="VSK103" s="8"/>
      <c r="VSL103" s="18"/>
      <c r="VSM103" s="38"/>
      <c r="VSS103" s="8"/>
      <c r="VST103" s="18"/>
      <c r="VSU103" s="38"/>
      <c r="VTA103" s="8"/>
      <c r="VTB103" s="18"/>
      <c r="VTC103" s="38"/>
      <c r="VTI103" s="8"/>
      <c r="VTJ103" s="18"/>
      <c r="VTK103" s="38"/>
      <c r="VTQ103" s="8"/>
      <c r="VTR103" s="18"/>
      <c r="VTS103" s="38"/>
      <c r="VTY103" s="8"/>
      <c r="VTZ103" s="18"/>
      <c r="VUA103" s="38"/>
      <c r="VUG103" s="8"/>
      <c r="VUH103" s="18"/>
      <c r="VUI103" s="38"/>
      <c r="VUO103" s="8"/>
      <c r="VUP103" s="18"/>
      <c r="VUQ103" s="38"/>
      <c r="VUW103" s="8"/>
      <c r="VUX103" s="18"/>
      <c r="VUY103" s="38"/>
      <c r="VVE103" s="8"/>
      <c r="VVF103" s="18"/>
      <c r="VVG103" s="38"/>
      <c r="VVM103" s="8"/>
      <c r="VVN103" s="18"/>
      <c r="VVO103" s="38"/>
      <c r="VVU103" s="8"/>
      <c r="VVV103" s="18"/>
      <c r="VVW103" s="38"/>
      <c r="VWC103" s="8"/>
      <c r="VWD103" s="18"/>
      <c r="VWE103" s="38"/>
      <c r="VWK103" s="8"/>
      <c r="VWL103" s="18"/>
      <c r="VWM103" s="38"/>
      <c r="VWS103" s="8"/>
      <c r="VWT103" s="18"/>
      <c r="VWU103" s="38"/>
      <c r="VXA103" s="8"/>
      <c r="VXB103" s="18"/>
      <c r="VXC103" s="38"/>
      <c r="VXI103" s="8"/>
      <c r="VXJ103" s="18"/>
      <c r="VXK103" s="38"/>
      <c r="VXQ103" s="8"/>
      <c r="VXR103" s="18"/>
      <c r="VXS103" s="38"/>
      <c r="VXY103" s="8"/>
      <c r="VXZ103" s="18"/>
      <c r="VYA103" s="38"/>
      <c r="VYG103" s="8"/>
      <c r="VYH103" s="18"/>
      <c r="VYI103" s="38"/>
      <c r="VYO103" s="8"/>
      <c r="VYP103" s="18"/>
      <c r="VYQ103" s="38"/>
      <c r="VYW103" s="8"/>
      <c r="VYX103" s="18"/>
      <c r="VYY103" s="38"/>
      <c r="VZE103" s="8"/>
      <c r="VZF103" s="18"/>
      <c r="VZG103" s="38"/>
      <c r="VZM103" s="8"/>
      <c r="VZN103" s="18"/>
      <c r="VZO103" s="38"/>
      <c r="VZU103" s="8"/>
      <c r="VZV103" s="18"/>
      <c r="VZW103" s="38"/>
      <c r="WAC103" s="8"/>
      <c r="WAD103" s="18"/>
      <c r="WAE103" s="38"/>
      <c r="WAK103" s="8"/>
      <c r="WAL103" s="18"/>
      <c r="WAM103" s="38"/>
      <c r="WAS103" s="8"/>
      <c r="WAT103" s="18"/>
      <c r="WAU103" s="38"/>
      <c r="WBA103" s="8"/>
      <c r="WBB103" s="18"/>
      <c r="WBC103" s="38"/>
      <c r="WBI103" s="8"/>
      <c r="WBJ103" s="18"/>
      <c r="WBK103" s="38"/>
      <c r="WBQ103" s="8"/>
      <c r="WBR103" s="18"/>
      <c r="WBS103" s="38"/>
      <c r="WBY103" s="8"/>
      <c r="WBZ103" s="18"/>
      <c r="WCA103" s="38"/>
      <c r="WCG103" s="8"/>
      <c r="WCH103" s="18"/>
      <c r="WCI103" s="38"/>
      <c r="WCO103" s="8"/>
      <c r="WCP103" s="18"/>
      <c r="WCQ103" s="38"/>
      <c r="WCW103" s="8"/>
      <c r="WCX103" s="18"/>
      <c r="WCY103" s="38"/>
      <c r="WDE103" s="8"/>
      <c r="WDF103" s="18"/>
      <c r="WDG103" s="38"/>
      <c r="WDM103" s="8"/>
      <c r="WDN103" s="18"/>
      <c r="WDO103" s="38"/>
      <c r="WDU103" s="8"/>
      <c r="WDV103" s="18"/>
      <c r="WDW103" s="38"/>
      <c r="WEC103" s="8"/>
      <c r="WED103" s="18"/>
      <c r="WEE103" s="38"/>
      <c r="WEK103" s="8"/>
      <c r="WEL103" s="18"/>
      <c r="WEM103" s="38"/>
      <c r="WES103" s="8"/>
      <c r="WET103" s="18"/>
      <c r="WEU103" s="38"/>
      <c r="WFA103" s="8"/>
      <c r="WFB103" s="18"/>
      <c r="WFC103" s="38"/>
      <c r="WFI103" s="8"/>
      <c r="WFJ103" s="18"/>
      <c r="WFK103" s="38"/>
      <c r="WFQ103" s="8"/>
      <c r="WFR103" s="18"/>
      <c r="WFS103" s="38"/>
      <c r="WFY103" s="8"/>
      <c r="WFZ103" s="18"/>
      <c r="WGA103" s="38"/>
      <c r="WGG103" s="8"/>
      <c r="WGH103" s="18"/>
      <c r="WGI103" s="38"/>
      <c r="WGO103" s="8"/>
      <c r="WGP103" s="18"/>
      <c r="WGQ103" s="38"/>
      <c r="WGW103" s="8"/>
      <c r="WGX103" s="18"/>
      <c r="WGY103" s="38"/>
      <c r="WHE103" s="8"/>
      <c r="WHF103" s="18"/>
      <c r="WHG103" s="38"/>
      <c r="WHM103" s="8"/>
      <c r="WHN103" s="18"/>
      <c r="WHO103" s="38"/>
      <c r="WHU103" s="8"/>
      <c r="WHV103" s="18"/>
      <c r="WHW103" s="38"/>
      <c r="WIC103" s="8"/>
      <c r="WID103" s="18"/>
      <c r="WIE103" s="38"/>
      <c r="WIK103" s="8"/>
      <c r="WIL103" s="18"/>
      <c r="WIM103" s="38"/>
      <c r="WIS103" s="8"/>
      <c r="WIT103" s="18"/>
      <c r="WIU103" s="38"/>
      <c r="WJA103" s="8"/>
      <c r="WJB103" s="18"/>
      <c r="WJC103" s="38"/>
      <c r="WJI103" s="8"/>
      <c r="WJJ103" s="18"/>
      <c r="WJK103" s="38"/>
      <c r="WJQ103" s="8"/>
      <c r="WJR103" s="18"/>
      <c r="WJS103" s="38"/>
      <c r="WJY103" s="8"/>
      <c r="WJZ103" s="18"/>
      <c r="WKA103" s="38"/>
      <c r="WKG103" s="8"/>
      <c r="WKH103" s="18"/>
      <c r="WKI103" s="38"/>
      <c r="WKO103" s="8"/>
      <c r="WKP103" s="18"/>
      <c r="WKQ103" s="38"/>
      <c r="WKW103" s="8"/>
      <c r="WKX103" s="18"/>
      <c r="WKY103" s="38"/>
      <c r="WLE103" s="8"/>
      <c r="WLF103" s="18"/>
      <c r="WLG103" s="38"/>
      <c r="WLM103" s="8"/>
      <c r="WLN103" s="18"/>
      <c r="WLO103" s="38"/>
      <c r="WLU103" s="8"/>
      <c r="WLV103" s="18"/>
      <c r="WLW103" s="38"/>
      <c r="WMC103" s="8"/>
      <c r="WMD103" s="18"/>
      <c r="WME103" s="38"/>
      <c r="WMK103" s="8"/>
      <c r="WML103" s="18"/>
      <c r="WMM103" s="38"/>
      <c r="WMS103" s="8"/>
      <c r="WMT103" s="18"/>
      <c r="WMU103" s="38"/>
      <c r="WNA103" s="8"/>
      <c r="WNB103" s="18"/>
      <c r="WNC103" s="38"/>
      <c r="WNI103" s="8"/>
      <c r="WNJ103" s="18"/>
      <c r="WNK103" s="38"/>
      <c r="WNQ103" s="8"/>
      <c r="WNR103" s="18"/>
      <c r="WNS103" s="38"/>
      <c r="WNY103" s="8"/>
      <c r="WNZ103" s="18"/>
      <c r="WOA103" s="38"/>
      <c r="WOG103" s="8"/>
      <c r="WOH103" s="18"/>
      <c r="WOI103" s="38"/>
      <c r="WOO103" s="8"/>
      <c r="WOP103" s="18"/>
      <c r="WOQ103" s="38"/>
      <c r="WOW103" s="8"/>
      <c r="WOX103" s="18"/>
      <c r="WOY103" s="38"/>
      <c r="WPE103" s="8"/>
      <c r="WPF103" s="18"/>
      <c r="WPG103" s="38"/>
      <c r="WPM103" s="8"/>
      <c r="WPN103" s="18"/>
      <c r="WPO103" s="38"/>
      <c r="WPU103" s="8"/>
      <c r="WPV103" s="18"/>
      <c r="WPW103" s="38"/>
      <c r="WQC103" s="8"/>
      <c r="WQD103" s="18"/>
      <c r="WQE103" s="38"/>
      <c r="WQK103" s="8"/>
      <c r="WQL103" s="18"/>
      <c r="WQM103" s="38"/>
      <c r="WQS103" s="8"/>
      <c r="WQT103" s="18"/>
      <c r="WQU103" s="38"/>
      <c r="WRA103" s="8"/>
      <c r="WRB103" s="18"/>
      <c r="WRC103" s="38"/>
      <c r="WRI103" s="8"/>
      <c r="WRJ103" s="18"/>
      <c r="WRK103" s="38"/>
      <c r="WRQ103" s="8"/>
      <c r="WRR103" s="18"/>
      <c r="WRS103" s="38"/>
      <c r="WRY103" s="8"/>
      <c r="WRZ103" s="18"/>
      <c r="WSA103" s="38"/>
      <c r="WSG103" s="8"/>
      <c r="WSH103" s="18"/>
      <c r="WSI103" s="38"/>
      <c r="WSO103" s="8"/>
      <c r="WSP103" s="18"/>
      <c r="WSQ103" s="38"/>
      <c r="WSW103" s="8"/>
      <c r="WSX103" s="18"/>
      <c r="WSY103" s="38"/>
      <c r="WTE103" s="8"/>
      <c r="WTF103" s="18"/>
      <c r="WTG103" s="38"/>
      <c r="WTM103" s="8"/>
      <c r="WTN103" s="18"/>
      <c r="WTO103" s="38"/>
      <c r="WTU103" s="8"/>
      <c r="WTV103" s="18"/>
      <c r="WTW103" s="38"/>
      <c r="WUC103" s="8"/>
      <c r="WUD103" s="18"/>
      <c r="WUE103" s="38"/>
      <c r="WUK103" s="8"/>
      <c r="WUL103" s="18"/>
      <c r="WUM103" s="38"/>
      <c r="WUS103" s="8"/>
      <c r="WUT103" s="18"/>
      <c r="WUU103" s="38"/>
      <c r="WVA103" s="8"/>
      <c r="WVB103" s="18"/>
      <c r="WVC103" s="38"/>
      <c r="WVI103" s="8"/>
      <c r="WVJ103" s="18"/>
      <c r="WVK103" s="38"/>
      <c r="WVQ103" s="8"/>
      <c r="WVR103" s="18"/>
      <c r="WVS103" s="38"/>
      <c r="WVY103" s="8"/>
      <c r="WVZ103" s="18"/>
      <c r="WWA103" s="38"/>
      <c r="WWG103" s="8"/>
      <c r="WWH103" s="18"/>
      <c r="WWI103" s="38"/>
      <c r="WWO103" s="8"/>
      <c r="WWP103" s="18"/>
      <c r="WWQ103" s="38"/>
      <c r="WWW103" s="8"/>
      <c r="WWX103" s="18"/>
      <c r="WWY103" s="38"/>
      <c r="WXE103" s="8"/>
      <c r="WXF103" s="18"/>
      <c r="WXG103" s="38"/>
      <c r="WXM103" s="8"/>
      <c r="WXN103" s="18"/>
      <c r="WXO103" s="38"/>
      <c r="WXU103" s="8"/>
      <c r="WXV103" s="18"/>
      <c r="WXW103" s="38"/>
      <c r="WYC103" s="8"/>
      <c r="WYD103" s="18"/>
      <c r="WYE103" s="38"/>
      <c r="WYK103" s="8"/>
      <c r="WYL103" s="18"/>
      <c r="WYM103" s="38"/>
      <c r="WYS103" s="8"/>
      <c r="WYT103" s="18"/>
      <c r="WYU103" s="38"/>
      <c r="WZA103" s="8"/>
      <c r="WZB103" s="18"/>
      <c r="WZC103" s="38"/>
      <c r="WZI103" s="8"/>
      <c r="WZJ103" s="18"/>
      <c r="WZK103" s="38"/>
      <c r="WZQ103" s="8"/>
      <c r="WZR103" s="18"/>
      <c r="WZS103" s="38"/>
      <c r="WZY103" s="8"/>
      <c r="WZZ103" s="18"/>
      <c r="XAA103" s="38"/>
      <c r="XAG103" s="8"/>
      <c r="XAH103" s="18"/>
      <c r="XAI103" s="38"/>
      <c r="XAO103" s="8"/>
      <c r="XAP103" s="18"/>
      <c r="XAQ103" s="38"/>
      <c r="XAW103" s="8"/>
      <c r="XAX103" s="18"/>
      <c r="XAY103" s="38"/>
      <c r="XBE103" s="8"/>
      <c r="XBF103" s="18"/>
      <c r="XBG103" s="38"/>
      <c r="XBM103" s="8"/>
      <c r="XBN103" s="18"/>
      <c r="XBO103" s="38"/>
      <c r="XBU103" s="8"/>
      <c r="XBV103" s="18"/>
      <c r="XBW103" s="38"/>
      <c r="XCC103" s="8"/>
      <c r="XCD103" s="18"/>
      <c r="XCE103" s="38"/>
      <c r="XCK103" s="8"/>
      <c r="XCL103" s="18"/>
      <c r="XCM103" s="38"/>
      <c r="XCS103" s="8"/>
      <c r="XCT103" s="18"/>
      <c r="XCU103" s="38"/>
      <c r="XDA103" s="8"/>
      <c r="XDB103" s="18"/>
      <c r="XDC103" s="38"/>
      <c r="XDI103" s="8"/>
      <c r="XDJ103" s="18"/>
      <c r="XDK103" s="38"/>
      <c r="XDQ103" s="8"/>
      <c r="XDR103" s="18"/>
      <c r="XDS103" s="38"/>
      <c r="XDY103" s="8"/>
      <c r="XDZ103" s="18"/>
      <c r="XEA103" s="38"/>
      <c r="XEG103" s="8"/>
      <c r="XEH103" s="18"/>
      <c r="XEI103" s="38"/>
      <c r="XEO103" s="8"/>
      <c r="XEP103" s="18"/>
      <c r="XEQ103" s="38"/>
      <c r="XEW103" s="8"/>
      <c r="XEX103" s="18"/>
      <c r="XEY103" s="38"/>
    </row>
    <row r="104" spans="1:1019 1025:2043 2049:3067 3073:4091 4097:5115 5121:6139 6145:7163 7169:8187 8193:9211 9217:10235 10241:11259 11265:12283 12289:13307 13313:14331 14337:15355 15361:16379" s="24" customFormat="1" ht="17.100000000000001" customHeight="1">
      <c r="A104" s="36"/>
      <c r="B104" s="18" t="s">
        <v>24</v>
      </c>
      <c r="C104" s="38">
        <f>D104+E104+F104+G104+H104</f>
        <v>942906</v>
      </c>
      <c r="D104" s="24">
        <v>212060</v>
      </c>
      <c r="E104" s="24">
        <v>59125</v>
      </c>
      <c r="F104" s="24">
        <v>491285</v>
      </c>
      <c r="G104" s="24">
        <v>178373</v>
      </c>
      <c r="H104" s="24">
        <v>2063</v>
      </c>
      <c r="J104" s="23"/>
      <c r="K104" s="38"/>
      <c r="Q104" s="36"/>
      <c r="R104" s="18"/>
      <c r="S104" s="38"/>
      <c r="Y104" s="36"/>
      <c r="Z104" s="18"/>
      <c r="AA104" s="38"/>
      <c r="AG104" s="36"/>
      <c r="AH104" s="18"/>
      <c r="AI104" s="38"/>
      <c r="AO104" s="36"/>
      <c r="AP104" s="18"/>
      <c r="AQ104" s="38"/>
      <c r="AW104" s="36"/>
      <c r="AX104" s="18"/>
      <c r="AY104" s="38"/>
      <c r="BE104" s="36"/>
      <c r="BF104" s="18"/>
      <c r="BG104" s="38"/>
      <c r="BM104" s="36"/>
      <c r="BN104" s="18"/>
      <c r="BO104" s="38"/>
      <c r="BU104" s="36"/>
      <c r="BV104" s="18"/>
      <c r="BW104" s="38"/>
      <c r="CC104" s="36"/>
      <c r="CD104" s="18"/>
      <c r="CE104" s="38"/>
      <c r="CK104" s="36"/>
      <c r="CL104" s="18"/>
      <c r="CM104" s="38"/>
      <c r="CS104" s="36"/>
      <c r="CT104" s="18"/>
      <c r="CU104" s="38"/>
      <c r="DA104" s="36"/>
      <c r="DB104" s="18"/>
      <c r="DC104" s="38"/>
      <c r="DI104" s="36"/>
      <c r="DJ104" s="18"/>
      <c r="DK104" s="38"/>
      <c r="DQ104" s="36"/>
      <c r="DR104" s="18"/>
      <c r="DS104" s="38"/>
      <c r="DY104" s="36"/>
      <c r="DZ104" s="18"/>
      <c r="EA104" s="38"/>
      <c r="EG104" s="36"/>
      <c r="EH104" s="18"/>
      <c r="EI104" s="38"/>
      <c r="EO104" s="36"/>
      <c r="EP104" s="18"/>
      <c r="EQ104" s="38"/>
      <c r="EW104" s="36"/>
      <c r="EX104" s="18"/>
      <c r="EY104" s="38"/>
      <c r="FE104" s="36"/>
      <c r="FF104" s="18"/>
      <c r="FG104" s="38"/>
      <c r="FM104" s="36"/>
      <c r="FN104" s="18"/>
      <c r="FO104" s="38"/>
      <c r="FU104" s="36"/>
      <c r="FV104" s="18"/>
      <c r="FW104" s="38"/>
      <c r="GC104" s="36"/>
      <c r="GD104" s="18"/>
      <c r="GE104" s="38"/>
      <c r="GK104" s="36"/>
      <c r="GL104" s="18"/>
      <c r="GM104" s="38"/>
      <c r="GS104" s="36"/>
      <c r="GT104" s="18"/>
      <c r="GU104" s="38"/>
      <c r="HA104" s="36"/>
      <c r="HB104" s="18"/>
      <c r="HC104" s="38"/>
      <c r="HI104" s="36"/>
      <c r="HJ104" s="18"/>
      <c r="HK104" s="38"/>
      <c r="HQ104" s="36"/>
      <c r="HR104" s="18"/>
      <c r="HS104" s="38"/>
      <c r="HY104" s="36"/>
      <c r="HZ104" s="18"/>
      <c r="IA104" s="38"/>
      <c r="IG104" s="36"/>
      <c r="IH104" s="18"/>
      <c r="II104" s="38"/>
      <c r="IO104" s="36"/>
      <c r="IP104" s="18"/>
      <c r="IQ104" s="38"/>
      <c r="IW104" s="36"/>
      <c r="IX104" s="18"/>
      <c r="IY104" s="38"/>
      <c r="JE104" s="36"/>
      <c r="JF104" s="18"/>
      <c r="JG104" s="38"/>
      <c r="JM104" s="36"/>
      <c r="JN104" s="18"/>
      <c r="JO104" s="38"/>
      <c r="JU104" s="36"/>
      <c r="JV104" s="18"/>
      <c r="JW104" s="38"/>
      <c r="KC104" s="36"/>
      <c r="KD104" s="18"/>
      <c r="KE104" s="38"/>
      <c r="KK104" s="36"/>
      <c r="KL104" s="18"/>
      <c r="KM104" s="38"/>
      <c r="KS104" s="36"/>
      <c r="KT104" s="18"/>
      <c r="KU104" s="38"/>
      <c r="LA104" s="36"/>
      <c r="LB104" s="18"/>
      <c r="LC104" s="38"/>
      <c r="LI104" s="36"/>
      <c r="LJ104" s="18"/>
      <c r="LK104" s="38"/>
      <c r="LQ104" s="36"/>
      <c r="LR104" s="18"/>
      <c r="LS104" s="38"/>
      <c r="LY104" s="36"/>
      <c r="LZ104" s="18"/>
      <c r="MA104" s="38"/>
      <c r="MG104" s="36"/>
      <c r="MH104" s="18"/>
      <c r="MI104" s="38"/>
      <c r="MO104" s="36"/>
      <c r="MP104" s="18"/>
      <c r="MQ104" s="38"/>
      <c r="MW104" s="36"/>
      <c r="MX104" s="18"/>
      <c r="MY104" s="38"/>
      <c r="NE104" s="36"/>
      <c r="NF104" s="18"/>
      <c r="NG104" s="38"/>
      <c r="NM104" s="36"/>
      <c r="NN104" s="18"/>
      <c r="NO104" s="38"/>
      <c r="NU104" s="36"/>
      <c r="NV104" s="18"/>
      <c r="NW104" s="38"/>
      <c r="OC104" s="36"/>
      <c r="OD104" s="18"/>
      <c r="OE104" s="38"/>
      <c r="OK104" s="36"/>
      <c r="OL104" s="18"/>
      <c r="OM104" s="38"/>
      <c r="OS104" s="36"/>
      <c r="OT104" s="18"/>
      <c r="OU104" s="38"/>
      <c r="PA104" s="36"/>
      <c r="PB104" s="18"/>
      <c r="PC104" s="38"/>
      <c r="PI104" s="36"/>
      <c r="PJ104" s="18"/>
      <c r="PK104" s="38"/>
      <c r="PQ104" s="36"/>
      <c r="PR104" s="18"/>
      <c r="PS104" s="38"/>
      <c r="PY104" s="36"/>
      <c r="PZ104" s="18"/>
      <c r="QA104" s="38"/>
      <c r="QG104" s="36"/>
      <c r="QH104" s="18"/>
      <c r="QI104" s="38"/>
      <c r="QO104" s="36"/>
      <c r="QP104" s="18"/>
      <c r="QQ104" s="38"/>
      <c r="QW104" s="36"/>
      <c r="QX104" s="18"/>
      <c r="QY104" s="38"/>
      <c r="RE104" s="36"/>
      <c r="RF104" s="18"/>
      <c r="RG104" s="38"/>
      <c r="RM104" s="36"/>
      <c r="RN104" s="18"/>
      <c r="RO104" s="38"/>
      <c r="RU104" s="36"/>
      <c r="RV104" s="18"/>
      <c r="RW104" s="38"/>
      <c r="SC104" s="36"/>
      <c r="SD104" s="18"/>
      <c r="SE104" s="38"/>
      <c r="SK104" s="36"/>
      <c r="SL104" s="18"/>
      <c r="SM104" s="38"/>
      <c r="SS104" s="36"/>
      <c r="ST104" s="18"/>
      <c r="SU104" s="38"/>
      <c r="TA104" s="36"/>
      <c r="TB104" s="18"/>
      <c r="TC104" s="38"/>
      <c r="TI104" s="36"/>
      <c r="TJ104" s="18"/>
      <c r="TK104" s="38"/>
      <c r="TQ104" s="36"/>
      <c r="TR104" s="18"/>
      <c r="TS104" s="38"/>
      <c r="TY104" s="36"/>
      <c r="TZ104" s="18"/>
      <c r="UA104" s="38"/>
      <c r="UG104" s="36"/>
      <c r="UH104" s="18"/>
      <c r="UI104" s="38"/>
      <c r="UO104" s="36"/>
      <c r="UP104" s="18"/>
      <c r="UQ104" s="38"/>
      <c r="UW104" s="36"/>
      <c r="UX104" s="18"/>
      <c r="UY104" s="38"/>
      <c r="VE104" s="36"/>
      <c r="VF104" s="18"/>
      <c r="VG104" s="38"/>
      <c r="VM104" s="36"/>
      <c r="VN104" s="18"/>
      <c r="VO104" s="38"/>
      <c r="VU104" s="36"/>
      <c r="VV104" s="18"/>
      <c r="VW104" s="38"/>
      <c r="WC104" s="36"/>
      <c r="WD104" s="18"/>
      <c r="WE104" s="38"/>
      <c r="WK104" s="36"/>
      <c r="WL104" s="18"/>
      <c r="WM104" s="38"/>
      <c r="WS104" s="36"/>
      <c r="WT104" s="18"/>
      <c r="WU104" s="38"/>
      <c r="XA104" s="36"/>
      <c r="XB104" s="18"/>
      <c r="XC104" s="38"/>
      <c r="XI104" s="36"/>
      <c r="XJ104" s="18"/>
      <c r="XK104" s="38"/>
      <c r="XQ104" s="36"/>
      <c r="XR104" s="18"/>
      <c r="XS104" s="38"/>
      <c r="XY104" s="36"/>
      <c r="XZ104" s="18"/>
      <c r="YA104" s="38"/>
      <c r="YG104" s="36"/>
      <c r="YH104" s="18"/>
      <c r="YI104" s="38"/>
      <c r="YO104" s="36"/>
      <c r="YP104" s="18"/>
      <c r="YQ104" s="38"/>
      <c r="YW104" s="36"/>
      <c r="YX104" s="18"/>
      <c r="YY104" s="38"/>
      <c r="ZE104" s="36"/>
      <c r="ZF104" s="18"/>
      <c r="ZG104" s="38"/>
      <c r="ZM104" s="36"/>
      <c r="ZN104" s="18"/>
      <c r="ZO104" s="38"/>
      <c r="ZU104" s="36"/>
      <c r="ZV104" s="18"/>
      <c r="ZW104" s="38"/>
      <c r="AAC104" s="36"/>
      <c r="AAD104" s="18"/>
      <c r="AAE104" s="38"/>
      <c r="AAK104" s="36"/>
      <c r="AAL104" s="18"/>
      <c r="AAM104" s="38"/>
      <c r="AAS104" s="36"/>
      <c r="AAT104" s="18"/>
      <c r="AAU104" s="38"/>
      <c r="ABA104" s="36"/>
      <c r="ABB104" s="18"/>
      <c r="ABC104" s="38"/>
      <c r="ABI104" s="36"/>
      <c r="ABJ104" s="18"/>
      <c r="ABK104" s="38"/>
      <c r="ABQ104" s="36"/>
      <c r="ABR104" s="18"/>
      <c r="ABS104" s="38"/>
      <c r="ABY104" s="36"/>
      <c r="ABZ104" s="18"/>
      <c r="ACA104" s="38"/>
      <c r="ACG104" s="36"/>
      <c r="ACH104" s="18"/>
      <c r="ACI104" s="38"/>
      <c r="ACO104" s="36"/>
      <c r="ACP104" s="18"/>
      <c r="ACQ104" s="38"/>
      <c r="ACW104" s="36"/>
      <c r="ACX104" s="18"/>
      <c r="ACY104" s="38"/>
      <c r="ADE104" s="36"/>
      <c r="ADF104" s="18"/>
      <c r="ADG104" s="38"/>
      <c r="ADM104" s="36"/>
      <c r="ADN104" s="18"/>
      <c r="ADO104" s="38"/>
      <c r="ADU104" s="36"/>
      <c r="ADV104" s="18"/>
      <c r="ADW104" s="38"/>
      <c r="AEC104" s="36"/>
      <c r="AED104" s="18"/>
      <c r="AEE104" s="38"/>
      <c r="AEK104" s="36"/>
      <c r="AEL104" s="18"/>
      <c r="AEM104" s="38"/>
      <c r="AES104" s="36"/>
      <c r="AET104" s="18"/>
      <c r="AEU104" s="38"/>
      <c r="AFA104" s="36"/>
      <c r="AFB104" s="18"/>
      <c r="AFC104" s="38"/>
      <c r="AFI104" s="36"/>
      <c r="AFJ104" s="18"/>
      <c r="AFK104" s="38"/>
      <c r="AFQ104" s="36"/>
      <c r="AFR104" s="18"/>
      <c r="AFS104" s="38"/>
      <c r="AFY104" s="36"/>
      <c r="AFZ104" s="18"/>
      <c r="AGA104" s="38"/>
      <c r="AGG104" s="36"/>
      <c r="AGH104" s="18"/>
      <c r="AGI104" s="38"/>
      <c r="AGO104" s="36"/>
      <c r="AGP104" s="18"/>
      <c r="AGQ104" s="38"/>
      <c r="AGW104" s="36"/>
      <c r="AGX104" s="18"/>
      <c r="AGY104" s="38"/>
      <c r="AHE104" s="36"/>
      <c r="AHF104" s="18"/>
      <c r="AHG104" s="38"/>
      <c r="AHM104" s="36"/>
      <c r="AHN104" s="18"/>
      <c r="AHO104" s="38"/>
      <c r="AHU104" s="36"/>
      <c r="AHV104" s="18"/>
      <c r="AHW104" s="38"/>
      <c r="AIC104" s="36"/>
      <c r="AID104" s="18"/>
      <c r="AIE104" s="38"/>
      <c r="AIK104" s="36"/>
      <c r="AIL104" s="18"/>
      <c r="AIM104" s="38"/>
      <c r="AIS104" s="36"/>
      <c r="AIT104" s="18"/>
      <c r="AIU104" s="38"/>
      <c r="AJA104" s="36"/>
      <c r="AJB104" s="18"/>
      <c r="AJC104" s="38"/>
      <c r="AJI104" s="36"/>
      <c r="AJJ104" s="18"/>
      <c r="AJK104" s="38"/>
      <c r="AJQ104" s="36"/>
      <c r="AJR104" s="18"/>
      <c r="AJS104" s="38"/>
      <c r="AJY104" s="36"/>
      <c r="AJZ104" s="18"/>
      <c r="AKA104" s="38"/>
      <c r="AKG104" s="36"/>
      <c r="AKH104" s="18"/>
      <c r="AKI104" s="38"/>
      <c r="AKO104" s="36"/>
      <c r="AKP104" s="18"/>
      <c r="AKQ104" s="38"/>
      <c r="AKW104" s="36"/>
      <c r="AKX104" s="18"/>
      <c r="AKY104" s="38"/>
      <c r="ALE104" s="36"/>
      <c r="ALF104" s="18"/>
      <c r="ALG104" s="38"/>
      <c r="ALM104" s="36"/>
      <c r="ALN104" s="18"/>
      <c r="ALO104" s="38"/>
      <c r="ALU104" s="36"/>
      <c r="ALV104" s="18"/>
      <c r="ALW104" s="38"/>
      <c r="AMC104" s="36"/>
      <c r="AMD104" s="18"/>
      <c r="AME104" s="38"/>
      <c r="AMK104" s="36"/>
      <c r="AML104" s="18"/>
      <c r="AMM104" s="38"/>
      <c r="AMS104" s="36"/>
      <c r="AMT104" s="18"/>
      <c r="AMU104" s="38"/>
      <c r="ANA104" s="36"/>
      <c r="ANB104" s="18"/>
      <c r="ANC104" s="38"/>
      <c r="ANI104" s="36"/>
      <c r="ANJ104" s="18"/>
      <c r="ANK104" s="38"/>
      <c r="ANQ104" s="36"/>
      <c r="ANR104" s="18"/>
      <c r="ANS104" s="38"/>
      <c r="ANY104" s="36"/>
      <c r="ANZ104" s="18"/>
      <c r="AOA104" s="38"/>
      <c r="AOG104" s="36"/>
      <c r="AOH104" s="18"/>
      <c r="AOI104" s="38"/>
      <c r="AOO104" s="36"/>
      <c r="AOP104" s="18"/>
      <c r="AOQ104" s="38"/>
      <c r="AOW104" s="36"/>
      <c r="AOX104" s="18"/>
      <c r="AOY104" s="38"/>
      <c r="APE104" s="36"/>
      <c r="APF104" s="18"/>
      <c r="APG104" s="38"/>
      <c r="APM104" s="36"/>
      <c r="APN104" s="18"/>
      <c r="APO104" s="38"/>
      <c r="APU104" s="36"/>
      <c r="APV104" s="18"/>
      <c r="APW104" s="38"/>
      <c r="AQC104" s="36"/>
      <c r="AQD104" s="18"/>
      <c r="AQE104" s="38"/>
      <c r="AQK104" s="36"/>
      <c r="AQL104" s="18"/>
      <c r="AQM104" s="38"/>
      <c r="AQS104" s="36"/>
      <c r="AQT104" s="18"/>
      <c r="AQU104" s="38"/>
      <c r="ARA104" s="36"/>
      <c r="ARB104" s="18"/>
      <c r="ARC104" s="38"/>
      <c r="ARI104" s="36"/>
      <c r="ARJ104" s="18"/>
      <c r="ARK104" s="38"/>
      <c r="ARQ104" s="36"/>
      <c r="ARR104" s="18"/>
      <c r="ARS104" s="38"/>
      <c r="ARY104" s="36"/>
      <c r="ARZ104" s="18"/>
      <c r="ASA104" s="38"/>
      <c r="ASG104" s="36"/>
      <c r="ASH104" s="18"/>
      <c r="ASI104" s="38"/>
      <c r="ASO104" s="36"/>
      <c r="ASP104" s="18"/>
      <c r="ASQ104" s="38"/>
      <c r="ASW104" s="36"/>
      <c r="ASX104" s="18"/>
      <c r="ASY104" s="38"/>
      <c r="ATE104" s="36"/>
      <c r="ATF104" s="18"/>
      <c r="ATG104" s="38"/>
      <c r="ATM104" s="36"/>
      <c r="ATN104" s="18"/>
      <c r="ATO104" s="38"/>
      <c r="ATU104" s="36"/>
      <c r="ATV104" s="18"/>
      <c r="ATW104" s="38"/>
      <c r="AUC104" s="36"/>
      <c r="AUD104" s="18"/>
      <c r="AUE104" s="38"/>
      <c r="AUK104" s="36"/>
      <c r="AUL104" s="18"/>
      <c r="AUM104" s="38"/>
      <c r="AUS104" s="36"/>
      <c r="AUT104" s="18"/>
      <c r="AUU104" s="38"/>
      <c r="AVA104" s="36"/>
      <c r="AVB104" s="18"/>
      <c r="AVC104" s="38"/>
      <c r="AVI104" s="36"/>
      <c r="AVJ104" s="18"/>
      <c r="AVK104" s="38"/>
      <c r="AVQ104" s="36"/>
      <c r="AVR104" s="18"/>
      <c r="AVS104" s="38"/>
      <c r="AVY104" s="36"/>
      <c r="AVZ104" s="18"/>
      <c r="AWA104" s="38"/>
      <c r="AWG104" s="36"/>
      <c r="AWH104" s="18"/>
      <c r="AWI104" s="38"/>
      <c r="AWO104" s="36"/>
      <c r="AWP104" s="18"/>
      <c r="AWQ104" s="38"/>
      <c r="AWW104" s="36"/>
      <c r="AWX104" s="18"/>
      <c r="AWY104" s="38"/>
      <c r="AXE104" s="36"/>
      <c r="AXF104" s="18"/>
      <c r="AXG104" s="38"/>
      <c r="AXM104" s="36"/>
      <c r="AXN104" s="18"/>
      <c r="AXO104" s="38"/>
      <c r="AXU104" s="36"/>
      <c r="AXV104" s="18"/>
      <c r="AXW104" s="38"/>
      <c r="AYC104" s="36"/>
      <c r="AYD104" s="18"/>
      <c r="AYE104" s="38"/>
      <c r="AYK104" s="36"/>
      <c r="AYL104" s="18"/>
      <c r="AYM104" s="38"/>
      <c r="AYS104" s="36"/>
      <c r="AYT104" s="18"/>
      <c r="AYU104" s="38"/>
      <c r="AZA104" s="36"/>
      <c r="AZB104" s="18"/>
      <c r="AZC104" s="38"/>
      <c r="AZI104" s="36"/>
      <c r="AZJ104" s="18"/>
      <c r="AZK104" s="38"/>
      <c r="AZQ104" s="36"/>
      <c r="AZR104" s="18"/>
      <c r="AZS104" s="38"/>
      <c r="AZY104" s="36"/>
      <c r="AZZ104" s="18"/>
      <c r="BAA104" s="38"/>
      <c r="BAG104" s="36"/>
      <c r="BAH104" s="18"/>
      <c r="BAI104" s="38"/>
      <c r="BAO104" s="36"/>
      <c r="BAP104" s="18"/>
      <c r="BAQ104" s="38"/>
      <c r="BAW104" s="36"/>
      <c r="BAX104" s="18"/>
      <c r="BAY104" s="38"/>
      <c r="BBE104" s="36"/>
      <c r="BBF104" s="18"/>
      <c r="BBG104" s="38"/>
      <c r="BBM104" s="36"/>
      <c r="BBN104" s="18"/>
      <c r="BBO104" s="38"/>
      <c r="BBU104" s="36"/>
      <c r="BBV104" s="18"/>
      <c r="BBW104" s="38"/>
      <c r="BCC104" s="36"/>
      <c r="BCD104" s="18"/>
      <c r="BCE104" s="38"/>
      <c r="BCK104" s="36"/>
      <c r="BCL104" s="18"/>
      <c r="BCM104" s="38"/>
      <c r="BCS104" s="36"/>
      <c r="BCT104" s="18"/>
      <c r="BCU104" s="38"/>
      <c r="BDA104" s="36"/>
      <c r="BDB104" s="18"/>
      <c r="BDC104" s="38"/>
      <c r="BDI104" s="36"/>
      <c r="BDJ104" s="18"/>
      <c r="BDK104" s="38"/>
      <c r="BDQ104" s="36"/>
      <c r="BDR104" s="18"/>
      <c r="BDS104" s="38"/>
      <c r="BDY104" s="36"/>
      <c r="BDZ104" s="18"/>
      <c r="BEA104" s="38"/>
      <c r="BEG104" s="36"/>
      <c r="BEH104" s="18"/>
      <c r="BEI104" s="38"/>
      <c r="BEO104" s="36"/>
      <c r="BEP104" s="18"/>
      <c r="BEQ104" s="38"/>
      <c r="BEW104" s="36"/>
      <c r="BEX104" s="18"/>
      <c r="BEY104" s="38"/>
      <c r="BFE104" s="36"/>
      <c r="BFF104" s="18"/>
      <c r="BFG104" s="38"/>
      <c r="BFM104" s="36"/>
      <c r="BFN104" s="18"/>
      <c r="BFO104" s="38"/>
      <c r="BFU104" s="36"/>
      <c r="BFV104" s="18"/>
      <c r="BFW104" s="38"/>
      <c r="BGC104" s="36"/>
      <c r="BGD104" s="18"/>
      <c r="BGE104" s="38"/>
      <c r="BGK104" s="36"/>
      <c r="BGL104" s="18"/>
      <c r="BGM104" s="38"/>
      <c r="BGS104" s="36"/>
      <c r="BGT104" s="18"/>
      <c r="BGU104" s="38"/>
      <c r="BHA104" s="36"/>
      <c r="BHB104" s="18"/>
      <c r="BHC104" s="38"/>
      <c r="BHI104" s="36"/>
      <c r="BHJ104" s="18"/>
      <c r="BHK104" s="38"/>
      <c r="BHQ104" s="36"/>
      <c r="BHR104" s="18"/>
      <c r="BHS104" s="38"/>
      <c r="BHY104" s="36"/>
      <c r="BHZ104" s="18"/>
      <c r="BIA104" s="38"/>
      <c r="BIG104" s="36"/>
      <c r="BIH104" s="18"/>
      <c r="BII104" s="38"/>
      <c r="BIO104" s="36"/>
      <c r="BIP104" s="18"/>
      <c r="BIQ104" s="38"/>
      <c r="BIW104" s="36"/>
      <c r="BIX104" s="18"/>
      <c r="BIY104" s="38"/>
      <c r="BJE104" s="36"/>
      <c r="BJF104" s="18"/>
      <c r="BJG104" s="38"/>
      <c r="BJM104" s="36"/>
      <c r="BJN104" s="18"/>
      <c r="BJO104" s="38"/>
      <c r="BJU104" s="36"/>
      <c r="BJV104" s="18"/>
      <c r="BJW104" s="38"/>
      <c r="BKC104" s="36"/>
      <c r="BKD104" s="18"/>
      <c r="BKE104" s="38"/>
      <c r="BKK104" s="36"/>
      <c r="BKL104" s="18"/>
      <c r="BKM104" s="38"/>
      <c r="BKS104" s="36"/>
      <c r="BKT104" s="18"/>
      <c r="BKU104" s="38"/>
      <c r="BLA104" s="36"/>
      <c r="BLB104" s="18"/>
      <c r="BLC104" s="38"/>
      <c r="BLI104" s="36"/>
      <c r="BLJ104" s="18"/>
      <c r="BLK104" s="38"/>
      <c r="BLQ104" s="36"/>
      <c r="BLR104" s="18"/>
      <c r="BLS104" s="38"/>
      <c r="BLY104" s="36"/>
      <c r="BLZ104" s="18"/>
      <c r="BMA104" s="38"/>
      <c r="BMG104" s="36"/>
      <c r="BMH104" s="18"/>
      <c r="BMI104" s="38"/>
      <c r="BMO104" s="36"/>
      <c r="BMP104" s="18"/>
      <c r="BMQ104" s="38"/>
      <c r="BMW104" s="36"/>
      <c r="BMX104" s="18"/>
      <c r="BMY104" s="38"/>
      <c r="BNE104" s="36"/>
      <c r="BNF104" s="18"/>
      <c r="BNG104" s="38"/>
      <c r="BNM104" s="36"/>
      <c r="BNN104" s="18"/>
      <c r="BNO104" s="38"/>
      <c r="BNU104" s="36"/>
      <c r="BNV104" s="18"/>
      <c r="BNW104" s="38"/>
      <c r="BOC104" s="36"/>
      <c r="BOD104" s="18"/>
      <c r="BOE104" s="38"/>
      <c r="BOK104" s="36"/>
      <c r="BOL104" s="18"/>
      <c r="BOM104" s="38"/>
      <c r="BOS104" s="36"/>
      <c r="BOT104" s="18"/>
      <c r="BOU104" s="38"/>
      <c r="BPA104" s="36"/>
      <c r="BPB104" s="18"/>
      <c r="BPC104" s="38"/>
      <c r="BPI104" s="36"/>
      <c r="BPJ104" s="18"/>
      <c r="BPK104" s="38"/>
      <c r="BPQ104" s="36"/>
      <c r="BPR104" s="18"/>
      <c r="BPS104" s="38"/>
      <c r="BPY104" s="36"/>
      <c r="BPZ104" s="18"/>
      <c r="BQA104" s="38"/>
      <c r="BQG104" s="36"/>
      <c r="BQH104" s="18"/>
      <c r="BQI104" s="38"/>
      <c r="BQO104" s="36"/>
      <c r="BQP104" s="18"/>
      <c r="BQQ104" s="38"/>
      <c r="BQW104" s="36"/>
      <c r="BQX104" s="18"/>
      <c r="BQY104" s="38"/>
      <c r="BRE104" s="36"/>
      <c r="BRF104" s="18"/>
      <c r="BRG104" s="38"/>
      <c r="BRM104" s="36"/>
      <c r="BRN104" s="18"/>
      <c r="BRO104" s="38"/>
      <c r="BRU104" s="36"/>
      <c r="BRV104" s="18"/>
      <c r="BRW104" s="38"/>
      <c r="BSC104" s="36"/>
      <c r="BSD104" s="18"/>
      <c r="BSE104" s="38"/>
      <c r="BSK104" s="36"/>
      <c r="BSL104" s="18"/>
      <c r="BSM104" s="38"/>
      <c r="BSS104" s="36"/>
      <c r="BST104" s="18"/>
      <c r="BSU104" s="38"/>
      <c r="BTA104" s="36"/>
      <c r="BTB104" s="18"/>
      <c r="BTC104" s="38"/>
      <c r="BTI104" s="36"/>
      <c r="BTJ104" s="18"/>
      <c r="BTK104" s="38"/>
      <c r="BTQ104" s="36"/>
      <c r="BTR104" s="18"/>
      <c r="BTS104" s="38"/>
      <c r="BTY104" s="36"/>
      <c r="BTZ104" s="18"/>
      <c r="BUA104" s="38"/>
      <c r="BUG104" s="36"/>
      <c r="BUH104" s="18"/>
      <c r="BUI104" s="38"/>
      <c r="BUO104" s="36"/>
      <c r="BUP104" s="18"/>
      <c r="BUQ104" s="38"/>
      <c r="BUW104" s="36"/>
      <c r="BUX104" s="18"/>
      <c r="BUY104" s="38"/>
      <c r="BVE104" s="36"/>
      <c r="BVF104" s="18"/>
      <c r="BVG104" s="38"/>
      <c r="BVM104" s="36"/>
      <c r="BVN104" s="18"/>
      <c r="BVO104" s="38"/>
      <c r="BVU104" s="36"/>
      <c r="BVV104" s="18"/>
      <c r="BVW104" s="38"/>
      <c r="BWC104" s="36"/>
      <c r="BWD104" s="18"/>
      <c r="BWE104" s="38"/>
      <c r="BWK104" s="36"/>
      <c r="BWL104" s="18"/>
      <c r="BWM104" s="38"/>
      <c r="BWS104" s="36"/>
      <c r="BWT104" s="18"/>
      <c r="BWU104" s="38"/>
      <c r="BXA104" s="36"/>
      <c r="BXB104" s="18"/>
      <c r="BXC104" s="38"/>
      <c r="BXI104" s="36"/>
      <c r="BXJ104" s="18"/>
      <c r="BXK104" s="38"/>
      <c r="BXQ104" s="36"/>
      <c r="BXR104" s="18"/>
      <c r="BXS104" s="38"/>
      <c r="BXY104" s="36"/>
      <c r="BXZ104" s="18"/>
      <c r="BYA104" s="38"/>
      <c r="BYG104" s="36"/>
      <c r="BYH104" s="18"/>
      <c r="BYI104" s="38"/>
      <c r="BYO104" s="36"/>
      <c r="BYP104" s="18"/>
      <c r="BYQ104" s="38"/>
      <c r="BYW104" s="36"/>
      <c r="BYX104" s="18"/>
      <c r="BYY104" s="38"/>
      <c r="BZE104" s="36"/>
      <c r="BZF104" s="18"/>
      <c r="BZG104" s="38"/>
      <c r="BZM104" s="36"/>
      <c r="BZN104" s="18"/>
      <c r="BZO104" s="38"/>
      <c r="BZU104" s="36"/>
      <c r="BZV104" s="18"/>
      <c r="BZW104" s="38"/>
      <c r="CAC104" s="36"/>
      <c r="CAD104" s="18"/>
      <c r="CAE104" s="38"/>
      <c r="CAK104" s="36"/>
      <c r="CAL104" s="18"/>
      <c r="CAM104" s="38"/>
      <c r="CAS104" s="36"/>
      <c r="CAT104" s="18"/>
      <c r="CAU104" s="38"/>
      <c r="CBA104" s="36"/>
      <c r="CBB104" s="18"/>
      <c r="CBC104" s="38"/>
      <c r="CBI104" s="36"/>
      <c r="CBJ104" s="18"/>
      <c r="CBK104" s="38"/>
      <c r="CBQ104" s="36"/>
      <c r="CBR104" s="18"/>
      <c r="CBS104" s="38"/>
      <c r="CBY104" s="36"/>
      <c r="CBZ104" s="18"/>
      <c r="CCA104" s="38"/>
      <c r="CCG104" s="36"/>
      <c r="CCH104" s="18"/>
      <c r="CCI104" s="38"/>
      <c r="CCO104" s="36"/>
      <c r="CCP104" s="18"/>
      <c r="CCQ104" s="38"/>
      <c r="CCW104" s="36"/>
      <c r="CCX104" s="18"/>
      <c r="CCY104" s="38"/>
      <c r="CDE104" s="36"/>
      <c r="CDF104" s="18"/>
      <c r="CDG104" s="38"/>
      <c r="CDM104" s="36"/>
      <c r="CDN104" s="18"/>
      <c r="CDO104" s="38"/>
      <c r="CDU104" s="36"/>
      <c r="CDV104" s="18"/>
      <c r="CDW104" s="38"/>
      <c r="CEC104" s="36"/>
      <c r="CED104" s="18"/>
      <c r="CEE104" s="38"/>
      <c r="CEK104" s="36"/>
      <c r="CEL104" s="18"/>
      <c r="CEM104" s="38"/>
      <c r="CES104" s="36"/>
      <c r="CET104" s="18"/>
      <c r="CEU104" s="38"/>
      <c r="CFA104" s="36"/>
      <c r="CFB104" s="18"/>
      <c r="CFC104" s="38"/>
      <c r="CFI104" s="36"/>
      <c r="CFJ104" s="18"/>
      <c r="CFK104" s="38"/>
      <c r="CFQ104" s="36"/>
      <c r="CFR104" s="18"/>
      <c r="CFS104" s="38"/>
      <c r="CFY104" s="36"/>
      <c r="CFZ104" s="18"/>
      <c r="CGA104" s="38"/>
      <c r="CGG104" s="36"/>
      <c r="CGH104" s="18"/>
      <c r="CGI104" s="38"/>
      <c r="CGO104" s="36"/>
      <c r="CGP104" s="18"/>
      <c r="CGQ104" s="38"/>
      <c r="CGW104" s="36"/>
      <c r="CGX104" s="18"/>
      <c r="CGY104" s="38"/>
      <c r="CHE104" s="36"/>
      <c r="CHF104" s="18"/>
      <c r="CHG104" s="38"/>
      <c r="CHM104" s="36"/>
      <c r="CHN104" s="18"/>
      <c r="CHO104" s="38"/>
      <c r="CHU104" s="36"/>
      <c r="CHV104" s="18"/>
      <c r="CHW104" s="38"/>
      <c r="CIC104" s="36"/>
      <c r="CID104" s="18"/>
      <c r="CIE104" s="38"/>
      <c r="CIK104" s="36"/>
      <c r="CIL104" s="18"/>
      <c r="CIM104" s="38"/>
      <c r="CIS104" s="36"/>
      <c r="CIT104" s="18"/>
      <c r="CIU104" s="38"/>
      <c r="CJA104" s="36"/>
      <c r="CJB104" s="18"/>
      <c r="CJC104" s="38"/>
      <c r="CJI104" s="36"/>
      <c r="CJJ104" s="18"/>
      <c r="CJK104" s="38"/>
      <c r="CJQ104" s="36"/>
      <c r="CJR104" s="18"/>
      <c r="CJS104" s="38"/>
      <c r="CJY104" s="36"/>
      <c r="CJZ104" s="18"/>
      <c r="CKA104" s="38"/>
      <c r="CKG104" s="36"/>
      <c r="CKH104" s="18"/>
      <c r="CKI104" s="38"/>
      <c r="CKO104" s="36"/>
      <c r="CKP104" s="18"/>
      <c r="CKQ104" s="38"/>
      <c r="CKW104" s="36"/>
      <c r="CKX104" s="18"/>
      <c r="CKY104" s="38"/>
      <c r="CLE104" s="36"/>
      <c r="CLF104" s="18"/>
      <c r="CLG104" s="38"/>
      <c r="CLM104" s="36"/>
      <c r="CLN104" s="18"/>
      <c r="CLO104" s="38"/>
      <c r="CLU104" s="36"/>
      <c r="CLV104" s="18"/>
      <c r="CLW104" s="38"/>
      <c r="CMC104" s="36"/>
      <c r="CMD104" s="18"/>
      <c r="CME104" s="38"/>
      <c r="CMK104" s="36"/>
      <c r="CML104" s="18"/>
      <c r="CMM104" s="38"/>
      <c r="CMS104" s="36"/>
      <c r="CMT104" s="18"/>
      <c r="CMU104" s="38"/>
      <c r="CNA104" s="36"/>
      <c r="CNB104" s="18"/>
      <c r="CNC104" s="38"/>
      <c r="CNI104" s="36"/>
      <c r="CNJ104" s="18"/>
      <c r="CNK104" s="38"/>
      <c r="CNQ104" s="36"/>
      <c r="CNR104" s="18"/>
      <c r="CNS104" s="38"/>
      <c r="CNY104" s="36"/>
      <c r="CNZ104" s="18"/>
      <c r="COA104" s="38"/>
      <c r="COG104" s="36"/>
      <c r="COH104" s="18"/>
      <c r="COI104" s="38"/>
      <c r="COO104" s="36"/>
      <c r="COP104" s="18"/>
      <c r="COQ104" s="38"/>
      <c r="COW104" s="36"/>
      <c r="COX104" s="18"/>
      <c r="COY104" s="38"/>
      <c r="CPE104" s="36"/>
      <c r="CPF104" s="18"/>
      <c r="CPG104" s="38"/>
      <c r="CPM104" s="36"/>
      <c r="CPN104" s="18"/>
      <c r="CPO104" s="38"/>
      <c r="CPU104" s="36"/>
      <c r="CPV104" s="18"/>
      <c r="CPW104" s="38"/>
      <c r="CQC104" s="36"/>
      <c r="CQD104" s="18"/>
      <c r="CQE104" s="38"/>
      <c r="CQK104" s="36"/>
      <c r="CQL104" s="18"/>
      <c r="CQM104" s="38"/>
      <c r="CQS104" s="36"/>
      <c r="CQT104" s="18"/>
      <c r="CQU104" s="38"/>
      <c r="CRA104" s="36"/>
      <c r="CRB104" s="18"/>
      <c r="CRC104" s="38"/>
      <c r="CRI104" s="36"/>
      <c r="CRJ104" s="18"/>
      <c r="CRK104" s="38"/>
      <c r="CRQ104" s="36"/>
      <c r="CRR104" s="18"/>
      <c r="CRS104" s="38"/>
      <c r="CRY104" s="36"/>
      <c r="CRZ104" s="18"/>
      <c r="CSA104" s="38"/>
      <c r="CSG104" s="36"/>
      <c r="CSH104" s="18"/>
      <c r="CSI104" s="38"/>
      <c r="CSO104" s="36"/>
      <c r="CSP104" s="18"/>
      <c r="CSQ104" s="38"/>
      <c r="CSW104" s="36"/>
      <c r="CSX104" s="18"/>
      <c r="CSY104" s="38"/>
      <c r="CTE104" s="36"/>
      <c r="CTF104" s="18"/>
      <c r="CTG104" s="38"/>
      <c r="CTM104" s="36"/>
      <c r="CTN104" s="18"/>
      <c r="CTO104" s="38"/>
      <c r="CTU104" s="36"/>
      <c r="CTV104" s="18"/>
      <c r="CTW104" s="38"/>
      <c r="CUC104" s="36"/>
      <c r="CUD104" s="18"/>
      <c r="CUE104" s="38"/>
      <c r="CUK104" s="36"/>
      <c r="CUL104" s="18"/>
      <c r="CUM104" s="38"/>
      <c r="CUS104" s="36"/>
      <c r="CUT104" s="18"/>
      <c r="CUU104" s="38"/>
      <c r="CVA104" s="36"/>
      <c r="CVB104" s="18"/>
      <c r="CVC104" s="38"/>
      <c r="CVI104" s="36"/>
      <c r="CVJ104" s="18"/>
      <c r="CVK104" s="38"/>
      <c r="CVQ104" s="36"/>
      <c r="CVR104" s="18"/>
      <c r="CVS104" s="38"/>
      <c r="CVY104" s="36"/>
      <c r="CVZ104" s="18"/>
      <c r="CWA104" s="38"/>
      <c r="CWG104" s="36"/>
      <c r="CWH104" s="18"/>
      <c r="CWI104" s="38"/>
      <c r="CWO104" s="36"/>
      <c r="CWP104" s="18"/>
      <c r="CWQ104" s="38"/>
      <c r="CWW104" s="36"/>
      <c r="CWX104" s="18"/>
      <c r="CWY104" s="38"/>
      <c r="CXE104" s="36"/>
      <c r="CXF104" s="18"/>
      <c r="CXG104" s="38"/>
      <c r="CXM104" s="36"/>
      <c r="CXN104" s="18"/>
      <c r="CXO104" s="38"/>
      <c r="CXU104" s="36"/>
      <c r="CXV104" s="18"/>
      <c r="CXW104" s="38"/>
      <c r="CYC104" s="36"/>
      <c r="CYD104" s="18"/>
      <c r="CYE104" s="38"/>
      <c r="CYK104" s="36"/>
      <c r="CYL104" s="18"/>
      <c r="CYM104" s="38"/>
      <c r="CYS104" s="36"/>
      <c r="CYT104" s="18"/>
      <c r="CYU104" s="38"/>
      <c r="CZA104" s="36"/>
      <c r="CZB104" s="18"/>
      <c r="CZC104" s="38"/>
      <c r="CZI104" s="36"/>
      <c r="CZJ104" s="18"/>
      <c r="CZK104" s="38"/>
      <c r="CZQ104" s="36"/>
      <c r="CZR104" s="18"/>
      <c r="CZS104" s="38"/>
      <c r="CZY104" s="36"/>
      <c r="CZZ104" s="18"/>
      <c r="DAA104" s="38"/>
      <c r="DAG104" s="36"/>
      <c r="DAH104" s="18"/>
      <c r="DAI104" s="38"/>
      <c r="DAO104" s="36"/>
      <c r="DAP104" s="18"/>
      <c r="DAQ104" s="38"/>
      <c r="DAW104" s="36"/>
      <c r="DAX104" s="18"/>
      <c r="DAY104" s="38"/>
      <c r="DBE104" s="36"/>
      <c r="DBF104" s="18"/>
      <c r="DBG104" s="38"/>
      <c r="DBM104" s="36"/>
      <c r="DBN104" s="18"/>
      <c r="DBO104" s="38"/>
      <c r="DBU104" s="36"/>
      <c r="DBV104" s="18"/>
      <c r="DBW104" s="38"/>
      <c r="DCC104" s="36"/>
      <c r="DCD104" s="18"/>
      <c r="DCE104" s="38"/>
      <c r="DCK104" s="36"/>
      <c r="DCL104" s="18"/>
      <c r="DCM104" s="38"/>
      <c r="DCS104" s="36"/>
      <c r="DCT104" s="18"/>
      <c r="DCU104" s="38"/>
      <c r="DDA104" s="36"/>
      <c r="DDB104" s="18"/>
      <c r="DDC104" s="38"/>
      <c r="DDI104" s="36"/>
      <c r="DDJ104" s="18"/>
      <c r="DDK104" s="38"/>
      <c r="DDQ104" s="36"/>
      <c r="DDR104" s="18"/>
      <c r="DDS104" s="38"/>
      <c r="DDY104" s="36"/>
      <c r="DDZ104" s="18"/>
      <c r="DEA104" s="38"/>
      <c r="DEG104" s="36"/>
      <c r="DEH104" s="18"/>
      <c r="DEI104" s="38"/>
      <c r="DEO104" s="36"/>
      <c r="DEP104" s="18"/>
      <c r="DEQ104" s="38"/>
      <c r="DEW104" s="36"/>
      <c r="DEX104" s="18"/>
      <c r="DEY104" s="38"/>
      <c r="DFE104" s="36"/>
      <c r="DFF104" s="18"/>
      <c r="DFG104" s="38"/>
      <c r="DFM104" s="36"/>
      <c r="DFN104" s="18"/>
      <c r="DFO104" s="38"/>
      <c r="DFU104" s="36"/>
      <c r="DFV104" s="18"/>
      <c r="DFW104" s="38"/>
      <c r="DGC104" s="36"/>
      <c r="DGD104" s="18"/>
      <c r="DGE104" s="38"/>
      <c r="DGK104" s="36"/>
      <c r="DGL104" s="18"/>
      <c r="DGM104" s="38"/>
      <c r="DGS104" s="36"/>
      <c r="DGT104" s="18"/>
      <c r="DGU104" s="38"/>
      <c r="DHA104" s="36"/>
      <c r="DHB104" s="18"/>
      <c r="DHC104" s="38"/>
      <c r="DHI104" s="36"/>
      <c r="DHJ104" s="18"/>
      <c r="DHK104" s="38"/>
      <c r="DHQ104" s="36"/>
      <c r="DHR104" s="18"/>
      <c r="DHS104" s="38"/>
      <c r="DHY104" s="36"/>
      <c r="DHZ104" s="18"/>
      <c r="DIA104" s="38"/>
      <c r="DIG104" s="36"/>
      <c r="DIH104" s="18"/>
      <c r="DII104" s="38"/>
      <c r="DIO104" s="36"/>
      <c r="DIP104" s="18"/>
      <c r="DIQ104" s="38"/>
      <c r="DIW104" s="36"/>
      <c r="DIX104" s="18"/>
      <c r="DIY104" s="38"/>
      <c r="DJE104" s="36"/>
      <c r="DJF104" s="18"/>
      <c r="DJG104" s="38"/>
      <c r="DJM104" s="36"/>
      <c r="DJN104" s="18"/>
      <c r="DJO104" s="38"/>
      <c r="DJU104" s="36"/>
      <c r="DJV104" s="18"/>
      <c r="DJW104" s="38"/>
      <c r="DKC104" s="36"/>
      <c r="DKD104" s="18"/>
      <c r="DKE104" s="38"/>
      <c r="DKK104" s="36"/>
      <c r="DKL104" s="18"/>
      <c r="DKM104" s="38"/>
      <c r="DKS104" s="36"/>
      <c r="DKT104" s="18"/>
      <c r="DKU104" s="38"/>
      <c r="DLA104" s="36"/>
      <c r="DLB104" s="18"/>
      <c r="DLC104" s="38"/>
      <c r="DLI104" s="36"/>
      <c r="DLJ104" s="18"/>
      <c r="DLK104" s="38"/>
      <c r="DLQ104" s="36"/>
      <c r="DLR104" s="18"/>
      <c r="DLS104" s="38"/>
      <c r="DLY104" s="36"/>
      <c r="DLZ104" s="18"/>
      <c r="DMA104" s="38"/>
      <c r="DMG104" s="36"/>
      <c r="DMH104" s="18"/>
      <c r="DMI104" s="38"/>
      <c r="DMO104" s="36"/>
      <c r="DMP104" s="18"/>
      <c r="DMQ104" s="38"/>
      <c r="DMW104" s="36"/>
      <c r="DMX104" s="18"/>
      <c r="DMY104" s="38"/>
      <c r="DNE104" s="36"/>
      <c r="DNF104" s="18"/>
      <c r="DNG104" s="38"/>
      <c r="DNM104" s="36"/>
      <c r="DNN104" s="18"/>
      <c r="DNO104" s="38"/>
      <c r="DNU104" s="36"/>
      <c r="DNV104" s="18"/>
      <c r="DNW104" s="38"/>
      <c r="DOC104" s="36"/>
      <c r="DOD104" s="18"/>
      <c r="DOE104" s="38"/>
      <c r="DOK104" s="36"/>
      <c r="DOL104" s="18"/>
      <c r="DOM104" s="38"/>
      <c r="DOS104" s="36"/>
      <c r="DOT104" s="18"/>
      <c r="DOU104" s="38"/>
      <c r="DPA104" s="36"/>
      <c r="DPB104" s="18"/>
      <c r="DPC104" s="38"/>
      <c r="DPI104" s="36"/>
      <c r="DPJ104" s="18"/>
      <c r="DPK104" s="38"/>
      <c r="DPQ104" s="36"/>
      <c r="DPR104" s="18"/>
      <c r="DPS104" s="38"/>
      <c r="DPY104" s="36"/>
      <c r="DPZ104" s="18"/>
      <c r="DQA104" s="38"/>
      <c r="DQG104" s="36"/>
      <c r="DQH104" s="18"/>
      <c r="DQI104" s="38"/>
      <c r="DQO104" s="36"/>
      <c r="DQP104" s="18"/>
      <c r="DQQ104" s="38"/>
      <c r="DQW104" s="36"/>
      <c r="DQX104" s="18"/>
      <c r="DQY104" s="38"/>
      <c r="DRE104" s="36"/>
      <c r="DRF104" s="18"/>
      <c r="DRG104" s="38"/>
      <c r="DRM104" s="36"/>
      <c r="DRN104" s="18"/>
      <c r="DRO104" s="38"/>
      <c r="DRU104" s="36"/>
      <c r="DRV104" s="18"/>
      <c r="DRW104" s="38"/>
      <c r="DSC104" s="36"/>
      <c r="DSD104" s="18"/>
      <c r="DSE104" s="38"/>
      <c r="DSK104" s="36"/>
      <c r="DSL104" s="18"/>
      <c r="DSM104" s="38"/>
      <c r="DSS104" s="36"/>
      <c r="DST104" s="18"/>
      <c r="DSU104" s="38"/>
      <c r="DTA104" s="36"/>
      <c r="DTB104" s="18"/>
      <c r="DTC104" s="38"/>
      <c r="DTI104" s="36"/>
      <c r="DTJ104" s="18"/>
      <c r="DTK104" s="38"/>
      <c r="DTQ104" s="36"/>
      <c r="DTR104" s="18"/>
      <c r="DTS104" s="38"/>
      <c r="DTY104" s="36"/>
      <c r="DTZ104" s="18"/>
      <c r="DUA104" s="38"/>
      <c r="DUG104" s="36"/>
      <c r="DUH104" s="18"/>
      <c r="DUI104" s="38"/>
      <c r="DUO104" s="36"/>
      <c r="DUP104" s="18"/>
      <c r="DUQ104" s="38"/>
      <c r="DUW104" s="36"/>
      <c r="DUX104" s="18"/>
      <c r="DUY104" s="38"/>
      <c r="DVE104" s="36"/>
      <c r="DVF104" s="18"/>
      <c r="DVG104" s="38"/>
      <c r="DVM104" s="36"/>
      <c r="DVN104" s="18"/>
      <c r="DVO104" s="38"/>
      <c r="DVU104" s="36"/>
      <c r="DVV104" s="18"/>
      <c r="DVW104" s="38"/>
      <c r="DWC104" s="36"/>
      <c r="DWD104" s="18"/>
      <c r="DWE104" s="38"/>
      <c r="DWK104" s="36"/>
      <c r="DWL104" s="18"/>
      <c r="DWM104" s="38"/>
      <c r="DWS104" s="36"/>
      <c r="DWT104" s="18"/>
      <c r="DWU104" s="38"/>
      <c r="DXA104" s="36"/>
      <c r="DXB104" s="18"/>
      <c r="DXC104" s="38"/>
      <c r="DXI104" s="36"/>
      <c r="DXJ104" s="18"/>
      <c r="DXK104" s="38"/>
      <c r="DXQ104" s="36"/>
      <c r="DXR104" s="18"/>
      <c r="DXS104" s="38"/>
      <c r="DXY104" s="36"/>
      <c r="DXZ104" s="18"/>
      <c r="DYA104" s="38"/>
      <c r="DYG104" s="36"/>
      <c r="DYH104" s="18"/>
      <c r="DYI104" s="38"/>
      <c r="DYO104" s="36"/>
      <c r="DYP104" s="18"/>
      <c r="DYQ104" s="38"/>
      <c r="DYW104" s="36"/>
      <c r="DYX104" s="18"/>
      <c r="DYY104" s="38"/>
      <c r="DZE104" s="36"/>
      <c r="DZF104" s="18"/>
      <c r="DZG104" s="38"/>
      <c r="DZM104" s="36"/>
      <c r="DZN104" s="18"/>
      <c r="DZO104" s="38"/>
      <c r="DZU104" s="36"/>
      <c r="DZV104" s="18"/>
      <c r="DZW104" s="38"/>
      <c r="EAC104" s="36"/>
      <c r="EAD104" s="18"/>
      <c r="EAE104" s="38"/>
      <c r="EAK104" s="36"/>
      <c r="EAL104" s="18"/>
      <c r="EAM104" s="38"/>
      <c r="EAS104" s="36"/>
      <c r="EAT104" s="18"/>
      <c r="EAU104" s="38"/>
      <c r="EBA104" s="36"/>
      <c r="EBB104" s="18"/>
      <c r="EBC104" s="38"/>
      <c r="EBI104" s="36"/>
      <c r="EBJ104" s="18"/>
      <c r="EBK104" s="38"/>
      <c r="EBQ104" s="36"/>
      <c r="EBR104" s="18"/>
      <c r="EBS104" s="38"/>
      <c r="EBY104" s="36"/>
      <c r="EBZ104" s="18"/>
      <c r="ECA104" s="38"/>
      <c r="ECG104" s="36"/>
      <c r="ECH104" s="18"/>
      <c r="ECI104" s="38"/>
      <c r="ECO104" s="36"/>
      <c r="ECP104" s="18"/>
      <c r="ECQ104" s="38"/>
      <c r="ECW104" s="36"/>
      <c r="ECX104" s="18"/>
      <c r="ECY104" s="38"/>
      <c r="EDE104" s="36"/>
      <c r="EDF104" s="18"/>
      <c r="EDG104" s="38"/>
      <c r="EDM104" s="36"/>
      <c r="EDN104" s="18"/>
      <c r="EDO104" s="38"/>
      <c r="EDU104" s="36"/>
      <c r="EDV104" s="18"/>
      <c r="EDW104" s="38"/>
      <c r="EEC104" s="36"/>
      <c r="EED104" s="18"/>
      <c r="EEE104" s="38"/>
      <c r="EEK104" s="36"/>
      <c r="EEL104" s="18"/>
      <c r="EEM104" s="38"/>
      <c r="EES104" s="36"/>
      <c r="EET104" s="18"/>
      <c r="EEU104" s="38"/>
      <c r="EFA104" s="36"/>
      <c r="EFB104" s="18"/>
      <c r="EFC104" s="38"/>
      <c r="EFI104" s="36"/>
      <c r="EFJ104" s="18"/>
      <c r="EFK104" s="38"/>
      <c r="EFQ104" s="36"/>
      <c r="EFR104" s="18"/>
      <c r="EFS104" s="38"/>
      <c r="EFY104" s="36"/>
      <c r="EFZ104" s="18"/>
      <c r="EGA104" s="38"/>
      <c r="EGG104" s="36"/>
      <c r="EGH104" s="18"/>
      <c r="EGI104" s="38"/>
      <c r="EGO104" s="36"/>
      <c r="EGP104" s="18"/>
      <c r="EGQ104" s="38"/>
      <c r="EGW104" s="36"/>
      <c r="EGX104" s="18"/>
      <c r="EGY104" s="38"/>
      <c r="EHE104" s="36"/>
      <c r="EHF104" s="18"/>
      <c r="EHG104" s="38"/>
      <c r="EHM104" s="36"/>
      <c r="EHN104" s="18"/>
      <c r="EHO104" s="38"/>
      <c r="EHU104" s="36"/>
      <c r="EHV104" s="18"/>
      <c r="EHW104" s="38"/>
      <c r="EIC104" s="36"/>
      <c r="EID104" s="18"/>
      <c r="EIE104" s="38"/>
      <c r="EIK104" s="36"/>
      <c r="EIL104" s="18"/>
      <c r="EIM104" s="38"/>
      <c r="EIS104" s="36"/>
      <c r="EIT104" s="18"/>
      <c r="EIU104" s="38"/>
      <c r="EJA104" s="36"/>
      <c r="EJB104" s="18"/>
      <c r="EJC104" s="38"/>
      <c r="EJI104" s="36"/>
      <c r="EJJ104" s="18"/>
      <c r="EJK104" s="38"/>
      <c r="EJQ104" s="36"/>
      <c r="EJR104" s="18"/>
      <c r="EJS104" s="38"/>
      <c r="EJY104" s="36"/>
      <c r="EJZ104" s="18"/>
      <c r="EKA104" s="38"/>
      <c r="EKG104" s="36"/>
      <c r="EKH104" s="18"/>
      <c r="EKI104" s="38"/>
      <c r="EKO104" s="36"/>
      <c r="EKP104" s="18"/>
      <c r="EKQ104" s="38"/>
      <c r="EKW104" s="36"/>
      <c r="EKX104" s="18"/>
      <c r="EKY104" s="38"/>
      <c r="ELE104" s="36"/>
      <c r="ELF104" s="18"/>
      <c r="ELG104" s="38"/>
      <c r="ELM104" s="36"/>
      <c r="ELN104" s="18"/>
      <c r="ELO104" s="38"/>
      <c r="ELU104" s="36"/>
      <c r="ELV104" s="18"/>
      <c r="ELW104" s="38"/>
      <c r="EMC104" s="36"/>
      <c r="EMD104" s="18"/>
      <c r="EME104" s="38"/>
      <c r="EMK104" s="36"/>
      <c r="EML104" s="18"/>
      <c r="EMM104" s="38"/>
      <c r="EMS104" s="36"/>
      <c r="EMT104" s="18"/>
      <c r="EMU104" s="38"/>
      <c r="ENA104" s="36"/>
      <c r="ENB104" s="18"/>
      <c r="ENC104" s="38"/>
      <c r="ENI104" s="36"/>
      <c r="ENJ104" s="18"/>
      <c r="ENK104" s="38"/>
      <c r="ENQ104" s="36"/>
      <c r="ENR104" s="18"/>
      <c r="ENS104" s="38"/>
      <c r="ENY104" s="36"/>
      <c r="ENZ104" s="18"/>
      <c r="EOA104" s="38"/>
      <c r="EOG104" s="36"/>
      <c r="EOH104" s="18"/>
      <c r="EOI104" s="38"/>
      <c r="EOO104" s="36"/>
      <c r="EOP104" s="18"/>
      <c r="EOQ104" s="38"/>
      <c r="EOW104" s="36"/>
      <c r="EOX104" s="18"/>
      <c r="EOY104" s="38"/>
      <c r="EPE104" s="36"/>
      <c r="EPF104" s="18"/>
      <c r="EPG104" s="38"/>
      <c r="EPM104" s="36"/>
      <c r="EPN104" s="18"/>
      <c r="EPO104" s="38"/>
      <c r="EPU104" s="36"/>
      <c r="EPV104" s="18"/>
      <c r="EPW104" s="38"/>
      <c r="EQC104" s="36"/>
      <c r="EQD104" s="18"/>
      <c r="EQE104" s="38"/>
      <c r="EQK104" s="36"/>
      <c r="EQL104" s="18"/>
      <c r="EQM104" s="38"/>
      <c r="EQS104" s="36"/>
      <c r="EQT104" s="18"/>
      <c r="EQU104" s="38"/>
      <c r="ERA104" s="36"/>
      <c r="ERB104" s="18"/>
      <c r="ERC104" s="38"/>
      <c r="ERI104" s="36"/>
      <c r="ERJ104" s="18"/>
      <c r="ERK104" s="38"/>
      <c r="ERQ104" s="36"/>
      <c r="ERR104" s="18"/>
      <c r="ERS104" s="38"/>
      <c r="ERY104" s="36"/>
      <c r="ERZ104" s="18"/>
      <c r="ESA104" s="38"/>
      <c r="ESG104" s="36"/>
      <c r="ESH104" s="18"/>
      <c r="ESI104" s="38"/>
      <c r="ESO104" s="36"/>
      <c r="ESP104" s="18"/>
      <c r="ESQ104" s="38"/>
      <c r="ESW104" s="36"/>
      <c r="ESX104" s="18"/>
      <c r="ESY104" s="38"/>
      <c r="ETE104" s="36"/>
      <c r="ETF104" s="18"/>
      <c r="ETG104" s="38"/>
      <c r="ETM104" s="36"/>
      <c r="ETN104" s="18"/>
      <c r="ETO104" s="38"/>
      <c r="ETU104" s="36"/>
      <c r="ETV104" s="18"/>
      <c r="ETW104" s="38"/>
      <c r="EUC104" s="36"/>
      <c r="EUD104" s="18"/>
      <c r="EUE104" s="38"/>
      <c r="EUK104" s="36"/>
      <c r="EUL104" s="18"/>
      <c r="EUM104" s="38"/>
      <c r="EUS104" s="36"/>
      <c r="EUT104" s="18"/>
      <c r="EUU104" s="38"/>
      <c r="EVA104" s="36"/>
      <c r="EVB104" s="18"/>
      <c r="EVC104" s="38"/>
      <c r="EVI104" s="36"/>
      <c r="EVJ104" s="18"/>
      <c r="EVK104" s="38"/>
      <c r="EVQ104" s="36"/>
      <c r="EVR104" s="18"/>
      <c r="EVS104" s="38"/>
      <c r="EVY104" s="36"/>
      <c r="EVZ104" s="18"/>
      <c r="EWA104" s="38"/>
      <c r="EWG104" s="36"/>
      <c r="EWH104" s="18"/>
      <c r="EWI104" s="38"/>
      <c r="EWO104" s="36"/>
      <c r="EWP104" s="18"/>
      <c r="EWQ104" s="38"/>
      <c r="EWW104" s="36"/>
      <c r="EWX104" s="18"/>
      <c r="EWY104" s="38"/>
      <c r="EXE104" s="36"/>
      <c r="EXF104" s="18"/>
      <c r="EXG104" s="38"/>
      <c r="EXM104" s="36"/>
      <c r="EXN104" s="18"/>
      <c r="EXO104" s="38"/>
      <c r="EXU104" s="36"/>
      <c r="EXV104" s="18"/>
      <c r="EXW104" s="38"/>
      <c r="EYC104" s="36"/>
      <c r="EYD104" s="18"/>
      <c r="EYE104" s="38"/>
      <c r="EYK104" s="36"/>
      <c r="EYL104" s="18"/>
      <c r="EYM104" s="38"/>
      <c r="EYS104" s="36"/>
      <c r="EYT104" s="18"/>
      <c r="EYU104" s="38"/>
      <c r="EZA104" s="36"/>
      <c r="EZB104" s="18"/>
      <c r="EZC104" s="38"/>
      <c r="EZI104" s="36"/>
      <c r="EZJ104" s="18"/>
      <c r="EZK104" s="38"/>
      <c r="EZQ104" s="36"/>
      <c r="EZR104" s="18"/>
      <c r="EZS104" s="38"/>
      <c r="EZY104" s="36"/>
      <c r="EZZ104" s="18"/>
      <c r="FAA104" s="38"/>
      <c r="FAG104" s="36"/>
      <c r="FAH104" s="18"/>
      <c r="FAI104" s="38"/>
      <c r="FAO104" s="36"/>
      <c r="FAP104" s="18"/>
      <c r="FAQ104" s="38"/>
      <c r="FAW104" s="36"/>
      <c r="FAX104" s="18"/>
      <c r="FAY104" s="38"/>
      <c r="FBE104" s="36"/>
      <c r="FBF104" s="18"/>
      <c r="FBG104" s="38"/>
      <c r="FBM104" s="36"/>
      <c r="FBN104" s="18"/>
      <c r="FBO104" s="38"/>
      <c r="FBU104" s="36"/>
      <c r="FBV104" s="18"/>
      <c r="FBW104" s="38"/>
      <c r="FCC104" s="36"/>
      <c r="FCD104" s="18"/>
      <c r="FCE104" s="38"/>
      <c r="FCK104" s="36"/>
      <c r="FCL104" s="18"/>
      <c r="FCM104" s="38"/>
      <c r="FCS104" s="36"/>
      <c r="FCT104" s="18"/>
      <c r="FCU104" s="38"/>
      <c r="FDA104" s="36"/>
      <c r="FDB104" s="18"/>
      <c r="FDC104" s="38"/>
      <c r="FDI104" s="36"/>
      <c r="FDJ104" s="18"/>
      <c r="FDK104" s="38"/>
      <c r="FDQ104" s="36"/>
      <c r="FDR104" s="18"/>
      <c r="FDS104" s="38"/>
      <c r="FDY104" s="36"/>
      <c r="FDZ104" s="18"/>
      <c r="FEA104" s="38"/>
      <c r="FEG104" s="36"/>
      <c r="FEH104" s="18"/>
      <c r="FEI104" s="38"/>
      <c r="FEO104" s="36"/>
      <c r="FEP104" s="18"/>
      <c r="FEQ104" s="38"/>
      <c r="FEW104" s="36"/>
      <c r="FEX104" s="18"/>
      <c r="FEY104" s="38"/>
      <c r="FFE104" s="36"/>
      <c r="FFF104" s="18"/>
      <c r="FFG104" s="38"/>
      <c r="FFM104" s="36"/>
      <c r="FFN104" s="18"/>
      <c r="FFO104" s="38"/>
      <c r="FFU104" s="36"/>
      <c r="FFV104" s="18"/>
      <c r="FFW104" s="38"/>
      <c r="FGC104" s="36"/>
      <c r="FGD104" s="18"/>
      <c r="FGE104" s="38"/>
      <c r="FGK104" s="36"/>
      <c r="FGL104" s="18"/>
      <c r="FGM104" s="38"/>
      <c r="FGS104" s="36"/>
      <c r="FGT104" s="18"/>
      <c r="FGU104" s="38"/>
      <c r="FHA104" s="36"/>
      <c r="FHB104" s="18"/>
      <c r="FHC104" s="38"/>
      <c r="FHI104" s="36"/>
      <c r="FHJ104" s="18"/>
      <c r="FHK104" s="38"/>
      <c r="FHQ104" s="36"/>
      <c r="FHR104" s="18"/>
      <c r="FHS104" s="38"/>
      <c r="FHY104" s="36"/>
      <c r="FHZ104" s="18"/>
      <c r="FIA104" s="38"/>
      <c r="FIG104" s="36"/>
      <c r="FIH104" s="18"/>
      <c r="FII104" s="38"/>
      <c r="FIO104" s="36"/>
      <c r="FIP104" s="18"/>
      <c r="FIQ104" s="38"/>
      <c r="FIW104" s="36"/>
      <c r="FIX104" s="18"/>
      <c r="FIY104" s="38"/>
      <c r="FJE104" s="36"/>
      <c r="FJF104" s="18"/>
      <c r="FJG104" s="38"/>
      <c r="FJM104" s="36"/>
      <c r="FJN104" s="18"/>
      <c r="FJO104" s="38"/>
      <c r="FJU104" s="36"/>
      <c r="FJV104" s="18"/>
      <c r="FJW104" s="38"/>
      <c r="FKC104" s="36"/>
      <c r="FKD104" s="18"/>
      <c r="FKE104" s="38"/>
      <c r="FKK104" s="36"/>
      <c r="FKL104" s="18"/>
      <c r="FKM104" s="38"/>
      <c r="FKS104" s="36"/>
      <c r="FKT104" s="18"/>
      <c r="FKU104" s="38"/>
      <c r="FLA104" s="36"/>
      <c r="FLB104" s="18"/>
      <c r="FLC104" s="38"/>
      <c r="FLI104" s="36"/>
      <c r="FLJ104" s="18"/>
      <c r="FLK104" s="38"/>
      <c r="FLQ104" s="36"/>
      <c r="FLR104" s="18"/>
      <c r="FLS104" s="38"/>
      <c r="FLY104" s="36"/>
      <c r="FLZ104" s="18"/>
      <c r="FMA104" s="38"/>
      <c r="FMG104" s="36"/>
      <c r="FMH104" s="18"/>
      <c r="FMI104" s="38"/>
      <c r="FMO104" s="36"/>
      <c r="FMP104" s="18"/>
      <c r="FMQ104" s="38"/>
      <c r="FMW104" s="36"/>
      <c r="FMX104" s="18"/>
      <c r="FMY104" s="38"/>
      <c r="FNE104" s="36"/>
      <c r="FNF104" s="18"/>
      <c r="FNG104" s="38"/>
      <c r="FNM104" s="36"/>
      <c r="FNN104" s="18"/>
      <c r="FNO104" s="38"/>
      <c r="FNU104" s="36"/>
      <c r="FNV104" s="18"/>
      <c r="FNW104" s="38"/>
      <c r="FOC104" s="36"/>
      <c r="FOD104" s="18"/>
      <c r="FOE104" s="38"/>
      <c r="FOK104" s="36"/>
      <c r="FOL104" s="18"/>
      <c r="FOM104" s="38"/>
      <c r="FOS104" s="36"/>
      <c r="FOT104" s="18"/>
      <c r="FOU104" s="38"/>
      <c r="FPA104" s="36"/>
      <c r="FPB104" s="18"/>
      <c r="FPC104" s="38"/>
      <c r="FPI104" s="36"/>
      <c r="FPJ104" s="18"/>
      <c r="FPK104" s="38"/>
      <c r="FPQ104" s="36"/>
      <c r="FPR104" s="18"/>
      <c r="FPS104" s="38"/>
      <c r="FPY104" s="36"/>
      <c r="FPZ104" s="18"/>
      <c r="FQA104" s="38"/>
      <c r="FQG104" s="36"/>
      <c r="FQH104" s="18"/>
      <c r="FQI104" s="38"/>
      <c r="FQO104" s="36"/>
      <c r="FQP104" s="18"/>
      <c r="FQQ104" s="38"/>
      <c r="FQW104" s="36"/>
      <c r="FQX104" s="18"/>
      <c r="FQY104" s="38"/>
      <c r="FRE104" s="36"/>
      <c r="FRF104" s="18"/>
      <c r="FRG104" s="38"/>
      <c r="FRM104" s="36"/>
      <c r="FRN104" s="18"/>
      <c r="FRO104" s="38"/>
      <c r="FRU104" s="36"/>
      <c r="FRV104" s="18"/>
      <c r="FRW104" s="38"/>
      <c r="FSC104" s="36"/>
      <c r="FSD104" s="18"/>
      <c r="FSE104" s="38"/>
      <c r="FSK104" s="36"/>
      <c r="FSL104" s="18"/>
      <c r="FSM104" s="38"/>
      <c r="FSS104" s="36"/>
      <c r="FST104" s="18"/>
      <c r="FSU104" s="38"/>
      <c r="FTA104" s="36"/>
      <c r="FTB104" s="18"/>
      <c r="FTC104" s="38"/>
      <c r="FTI104" s="36"/>
      <c r="FTJ104" s="18"/>
      <c r="FTK104" s="38"/>
      <c r="FTQ104" s="36"/>
      <c r="FTR104" s="18"/>
      <c r="FTS104" s="38"/>
      <c r="FTY104" s="36"/>
      <c r="FTZ104" s="18"/>
      <c r="FUA104" s="38"/>
      <c r="FUG104" s="36"/>
      <c r="FUH104" s="18"/>
      <c r="FUI104" s="38"/>
      <c r="FUO104" s="36"/>
      <c r="FUP104" s="18"/>
      <c r="FUQ104" s="38"/>
      <c r="FUW104" s="36"/>
      <c r="FUX104" s="18"/>
      <c r="FUY104" s="38"/>
      <c r="FVE104" s="36"/>
      <c r="FVF104" s="18"/>
      <c r="FVG104" s="38"/>
      <c r="FVM104" s="36"/>
      <c r="FVN104" s="18"/>
      <c r="FVO104" s="38"/>
      <c r="FVU104" s="36"/>
      <c r="FVV104" s="18"/>
      <c r="FVW104" s="38"/>
      <c r="FWC104" s="36"/>
      <c r="FWD104" s="18"/>
      <c r="FWE104" s="38"/>
      <c r="FWK104" s="36"/>
      <c r="FWL104" s="18"/>
      <c r="FWM104" s="38"/>
      <c r="FWS104" s="36"/>
      <c r="FWT104" s="18"/>
      <c r="FWU104" s="38"/>
      <c r="FXA104" s="36"/>
      <c r="FXB104" s="18"/>
      <c r="FXC104" s="38"/>
      <c r="FXI104" s="36"/>
      <c r="FXJ104" s="18"/>
      <c r="FXK104" s="38"/>
      <c r="FXQ104" s="36"/>
      <c r="FXR104" s="18"/>
      <c r="FXS104" s="38"/>
      <c r="FXY104" s="36"/>
      <c r="FXZ104" s="18"/>
      <c r="FYA104" s="38"/>
      <c r="FYG104" s="36"/>
      <c r="FYH104" s="18"/>
      <c r="FYI104" s="38"/>
      <c r="FYO104" s="36"/>
      <c r="FYP104" s="18"/>
      <c r="FYQ104" s="38"/>
      <c r="FYW104" s="36"/>
      <c r="FYX104" s="18"/>
      <c r="FYY104" s="38"/>
      <c r="FZE104" s="36"/>
      <c r="FZF104" s="18"/>
      <c r="FZG104" s="38"/>
      <c r="FZM104" s="36"/>
      <c r="FZN104" s="18"/>
      <c r="FZO104" s="38"/>
      <c r="FZU104" s="36"/>
      <c r="FZV104" s="18"/>
      <c r="FZW104" s="38"/>
      <c r="GAC104" s="36"/>
      <c r="GAD104" s="18"/>
      <c r="GAE104" s="38"/>
      <c r="GAK104" s="36"/>
      <c r="GAL104" s="18"/>
      <c r="GAM104" s="38"/>
      <c r="GAS104" s="36"/>
      <c r="GAT104" s="18"/>
      <c r="GAU104" s="38"/>
      <c r="GBA104" s="36"/>
      <c r="GBB104" s="18"/>
      <c r="GBC104" s="38"/>
      <c r="GBI104" s="36"/>
      <c r="GBJ104" s="18"/>
      <c r="GBK104" s="38"/>
      <c r="GBQ104" s="36"/>
      <c r="GBR104" s="18"/>
      <c r="GBS104" s="38"/>
      <c r="GBY104" s="36"/>
      <c r="GBZ104" s="18"/>
      <c r="GCA104" s="38"/>
      <c r="GCG104" s="36"/>
      <c r="GCH104" s="18"/>
      <c r="GCI104" s="38"/>
      <c r="GCO104" s="36"/>
      <c r="GCP104" s="18"/>
      <c r="GCQ104" s="38"/>
      <c r="GCW104" s="36"/>
      <c r="GCX104" s="18"/>
      <c r="GCY104" s="38"/>
      <c r="GDE104" s="36"/>
      <c r="GDF104" s="18"/>
      <c r="GDG104" s="38"/>
      <c r="GDM104" s="36"/>
      <c r="GDN104" s="18"/>
      <c r="GDO104" s="38"/>
      <c r="GDU104" s="36"/>
      <c r="GDV104" s="18"/>
      <c r="GDW104" s="38"/>
      <c r="GEC104" s="36"/>
      <c r="GED104" s="18"/>
      <c r="GEE104" s="38"/>
      <c r="GEK104" s="36"/>
      <c r="GEL104" s="18"/>
      <c r="GEM104" s="38"/>
      <c r="GES104" s="36"/>
      <c r="GET104" s="18"/>
      <c r="GEU104" s="38"/>
      <c r="GFA104" s="36"/>
      <c r="GFB104" s="18"/>
      <c r="GFC104" s="38"/>
      <c r="GFI104" s="36"/>
      <c r="GFJ104" s="18"/>
      <c r="GFK104" s="38"/>
      <c r="GFQ104" s="36"/>
      <c r="GFR104" s="18"/>
      <c r="GFS104" s="38"/>
      <c r="GFY104" s="36"/>
      <c r="GFZ104" s="18"/>
      <c r="GGA104" s="38"/>
      <c r="GGG104" s="36"/>
      <c r="GGH104" s="18"/>
      <c r="GGI104" s="38"/>
      <c r="GGO104" s="36"/>
      <c r="GGP104" s="18"/>
      <c r="GGQ104" s="38"/>
      <c r="GGW104" s="36"/>
      <c r="GGX104" s="18"/>
      <c r="GGY104" s="38"/>
      <c r="GHE104" s="36"/>
      <c r="GHF104" s="18"/>
      <c r="GHG104" s="38"/>
      <c r="GHM104" s="36"/>
      <c r="GHN104" s="18"/>
      <c r="GHO104" s="38"/>
      <c r="GHU104" s="36"/>
      <c r="GHV104" s="18"/>
      <c r="GHW104" s="38"/>
      <c r="GIC104" s="36"/>
      <c r="GID104" s="18"/>
      <c r="GIE104" s="38"/>
      <c r="GIK104" s="36"/>
      <c r="GIL104" s="18"/>
      <c r="GIM104" s="38"/>
      <c r="GIS104" s="36"/>
      <c r="GIT104" s="18"/>
      <c r="GIU104" s="38"/>
      <c r="GJA104" s="36"/>
      <c r="GJB104" s="18"/>
      <c r="GJC104" s="38"/>
      <c r="GJI104" s="36"/>
      <c r="GJJ104" s="18"/>
      <c r="GJK104" s="38"/>
      <c r="GJQ104" s="36"/>
      <c r="GJR104" s="18"/>
      <c r="GJS104" s="38"/>
      <c r="GJY104" s="36"/>
      <c r="GJZ104" s="18"/>
      <c r="GKA104" s="38"/>
      <c r="GKG104" s="36"/>
      <c r="GKH104" s="18"/>
      <c r="GKI104" s="38"/>
      <c r="GKO104" s="36"/>
      <c r="GKP104" s="18"/>
      <c r="GKQ104" s="38"/>
      <c r="GKW104" s="36"/>
      <c r="GKX104" s="18"/>
      <c r="GKY104" s="38"/>
      <c r="GLE104" s="36"/>
      <c r="GLF104" s="18"/>
      <c r="GLG104" s="38"/>
      <c r="GLM104" s="36"/>
      <c r="GLN104" s="18"/>
      <c r="GLO104" s="38"/>
      <c r="GLU104" s="36"/>
      <c r="GLV104" s="18"/>
      <c r="GLW104" s="38"/>
      <c r="GMC104" s="36"/>
      <c r="GMD104" s="18"/>
      <c r="GME104" s="38"/>
      <c r="GMK104" s="36"/>
      <c r="GML104" s="18"/>
      <c r="GMM104" s="38"/>
      <c r="GMS104" s="36"/>
      <c r="GMT104" s="18"/>
      <c r="GMU104" s="38"/>
      <c r="GNA104" s="36"/>
      <c r="GNB104" s="18"/>
      <c r="GNC104" s="38"/>
      <c r="GNI104" s="36"/>
      <c r="GNJ104" s="18"/>
      <c r="GNK104" s="38"/>
      <c r="GNQ104" s="36"/>
      <c r="GNR104" s="18"/>
      <c r="GNS104" s="38"/>
      <c r="GNY104" s="36"/>
      <c r="GNZ104" s="18"/>
      <c r="GOA104" s="38"/>
      <c r="GOG104" s="36"/>
      <c r="GOH104" s="18"/>
      <c r="GOI104" s="38"/>
      <c r="GOO104" s="36"/>
      <c r="GOP104" s="18"/>
      <c r="GOQ104" s="38"/>
      <c r="GOW104" s="36"/>
      <c r="GOX104" s="18"/>
      <c r="GOY104" s="38"/>
      <c r="GPE104" s="36"/>
      <c r="GPF104" s="18"/>
      <c r="GPG104" s="38"/>
      <c r="GPM104" s="36"/>
      <c r="GPN104" s="18"/>
      <c r="GPO104" s="38"/>
      <c r="GPU104" s="36"/>
      <c r="GPV104" s="18"/>
      <c r="GPW104" s="38"/>
      <c r="GQC104" s="36"/>
      <c r="GQD104" s="18"/>
      <c r="GQE104" s="38"/>
      <c r="GQK104" s="36"/>
      <c r="GQL104" s="18"/>
      <c r="GQM104" s="38"/>
      <c r="GQS104" s="36"/>
      <c r="GQT104" s="18"/>
      <c r="GQU104" s="38"/>
      <c r="GRA104" s="36"/>
      <c r="GRB104" s="18"/>
      <c r="GRC104" s="38"/>
      <c r="GRI104" s="36"/>
      <c r="GRJ104" s="18"/>
      <c r="GRK104" s="38"/>
      <c r="GRQ104" s="36"/>
      <c r="GRR104" s="18"/>
      <c r="GRS104" s="38"/>
      <c r="GRY104" s="36"/>
      <c r="GRZ104" s="18"/>
      <c r="GSA104" s="38"/>
      <c r="GSG104" s="36"/>
      <c r="GSH104" s="18"/>
      <c r="GSI104" s="38"/>
      <c r="GSO104" s="36"/>
      <c r="GSP104" s="18"/>
      <c r="GSQ104" s="38"/>
      <c r="GSW104" s="36"/>
      <c r="GSX104" s="18"/>
      <c r="GSY104" s="38"/>
      <c r="GTE104" s="36"/>
      <c r="GTF104" s="18"/>
      <c r="GTG104" s="38"/>
      <c r="GTM104" s="36"/>
      <c r="GTN104" s="18"/>
      <c r="GTO104" s="38"/>
      <c r="GTU104" s="36"/>
      <c r="GTV104" s="18"/>
      <c r="GTW104" s="38"/>
      <c r="GUC104" s="36"/>
      <c r="GUD104" s="18"/>
      <c r="GUE104" s="38"/>
      <c r="GUK104" s="36"/>
      <c r="GUL104" s="18"/>
      <c r="GUM104" s="38"/>
      <c r="GUS104" s="36"/>
      <c r="GUT104" s="18"/>
      <c r="GUU104" s="38"/>
      <c r="GVA104" s="36"/>
      <c r="GVB104" s="18"/>
      <c r="GVC104" s="38"/>
      <c r="GVI104" s="36"/>
      <c r="GVJ104" s="18"/>
      <c r="GVK104" s="38"/>
      <c r="GVQ104" s="36"/>
      <c r="GVR104" s="18"/>
      <c r="GVS104" s="38"/>
      <c r="GVY104" s="36"/>
      <c r="GVZ104" s="18"/>
      <c r="GWA104" s="38"/>
      <c r="GWG104" s="36"/>
      <c r="GWH104" s="18"/>
      <c r="GWI104" s="38"/>
      <c r="GWO104" s="36"/>
      <c r="GWP104" s="18"/>
      <c r="GWQ104" s="38"/>
      <c r="GWW104" s="36"/>
      <c r="GWX104" s="18"/>
      <c r="GWY104" s="38"/>
      <c r="GXE104" s="36"/>
      <c r="GXF104" s="18"/>
      <c r="GXG104" s="38"/>
      <c r="GXM104" s="36"/>
      <c r="GXN104" s="18"/>
      <c r="GXO104" s="38"/>
      <c r="GXU104" s="36"/>
      <c r="GXV104" s="18"/>
      <c r="GXW104" s="38"/>
      <c r="GYC104" s="36"/>
      <c r="GYD104" s="18"/>
      <c r="GYE104" s="38"/>
      <c r="GYK104" s="36"/>
      <c r="GYL104" s="18"/>
      <c r="GYM104" s="38"/>
      <c r="GYS104" s="36"/>
      <c r="GYT104" s="18"/>
      <c r="GYU104" s="38"/>
      <c r="GZA104" s="36"/>
      <c r="GZB104" s="18"/>
      <c r="GZC104" s="38"/>
      <c r="GZI104" s="36"/>
      <c r="GZJ104" s="18"/>
      <c r="GZK104" s="38"/>
      <c r="GZQ104" s="36"/>
      <c r="GZR104" s="18"/>
      <c r="GZS104" s="38"/>
      <c r="GZY104" s="36"/>
      <c r="GZZ104" s="18"/>
      <c r="HAA104" s="38"/>
      <c r="HAG104" s="36"/>
      <c r="HAH104" s="18"/>
      <c r="HAI104" s="38"/>
      <c r="HAO104" s="36"/>
      <c r="HAP104" s="18"/>
      <c r="HAQ104" s="38"/>
      <c r="HAW104" s="36"/>
      <c r="HAX104" s="18"/>
      <c r="HAY104" s="38"/>
      <c r="HBE104" s="36"/>
      <c r="HBF104" s="18"/>
      <c r="HBG104" s="38"/>
      <c r="HBM104" s="36"/>
      <c r="HBN104" s="18"/>
      <c r="HBO104" s="38"/>
      <c r="HBU104" s="36"/>
      <c r="HBV104" s="18"/>
      <c r="HBW104" s="38"/>
      <c r="HCC104" s="36"/>
      <c r="HCD104" s="18"/>
      <c r="HCE104" s="38"/>
      <c r="HCK104" s="36"/>
      <c r="HCL104" s="18"/>
      <c r="HCM104" s="38"/>
      <c r="HCS104" s="36"/>
      <c r="HCT104" s="18"/>
      <c r="HCU104" s="38"/>
      <c r="HDA104" s="36"/>
      <c r="HDB104" s="18"/>
      <c r="HDC104" s="38"/>
      <c r="HDI104" s="36"/>
      <c r="HDJ104" s="18"/>
      <c r="HDK104" s="38"/>
      <c r="HDQ104" s="36"/>
      <c r="HDR104" s="18"/>
      <c r="HDS104" s="38"/>
      <c r="HDY104" s="36"/>
      <c r="HDZ104" s="18"/>
      <c r="HEA104" s="38"/>
      <c r="HEG104" s="36"/>
      <c r="HEH104" s="18"/>
      <c r="HEI104" s="38"/>
      <c r="HEO104" s="36"/>
      <c r="HEP104" s="18"/>
      <c r="HEQ104" s="38"/>
      <c r="HEW104" s="36"/>
      <c r="HEX104" s="18"/>
      <c r="HEY104" s="38"/>
      <c r="HFE104" s="36"/>
      <c r="HFF104" s="18"/>
      <c r="HFG104" s="38"/>
      <c r="HFM104" s="36"/>
      <c r="HFN104" s="18"/>
      <c r="HFO104" s="38"/>
      <c r="HFU104" s="36"/>
      <c r="HFV104" s="18"/>
      <c r="HFW104" s="38"/>
      <c r="HGC104" s="36"/>
      <c r="HGD104" s="18"/>
      <c r="HGE104" s="38"/>
      <c r="HGK104" s="36"/>
      <c r="HGL104" s="18"/>
      <c r="HGM104" s="38"/>
      <c r="HGS104" s="36"/>
      <c r="HGT104" s="18"/>
      <c r="HGU104" s="38"/>
      <c r="HHA104" s="36"/>
      <c r="HHB104" s="18"/>
      <c r="HHC104" s="38"/>
      <c r="HHI104" s="36"/>
      <c r="HHJ104" s="18"/>
      <c r="HHK104" s="38"/>
      <c r="HHQ104" s="36"/>
      <c r="HHR104" s="18"/>
      <c r="HHS104" s="38"/>
      <c r="HHY104" s="36"/>
      <c r="HHZ104" s="18"/>
      <c r="HIA104" s="38"/>
      <c r="HIG104" s="36"/>
      <c r="HIH104" s="18"/>
      <c r="HII104" s="38"/>
      <c r="HIO104" s="36"/>
      <c r="HIP104" s="18"/>
      <c r="HIQ104" s="38"/>
      <c r="HIW104" s="36"/>
      <c r="HIX104" s="18"/>
      <c r="HIY104" s="38"/>
      <c r="HJE104" s="36"/>
      <c r="HJF104" s="18"/>
      <c r="HJG104" s="38"/>
      <c r="HJM104" s="36"/>
      <c r="HJN104" s="18"/>
      <c r="HJO104" s="38"/>
      <c r="HJU104" s="36"/>
      <c r="HJV104" s="18"/>
      <c r="HJW104" s="38"/>
      <c r="HKC104" s="36"/>
      <c r="HKD104" s="18"/>
      <c r="HKE104" s="38"/>
      <c r="HKK104" s="36"/>
      <c r="HKL104" s="18"/>
      <c r="HKM104" s="38"/>
      <c r="HKS104" s="36"/>
      <c r="HKT104" s="18"/>
      <c r="HKU104" s="38"/>
      <c r="HLA104" s="36"/>
      <c r="HLB104" s="18"/>
      <c r="HLC104" s="38"/>
      <c r="HLI104" s="36"/>
      <c r="HLJ104" s="18"/>
      <c r="HLK104" s="38"/>
      <c r="HLQ104" s="36"/>
      <c r="HLR104" s="18"/>
      <c r="HLS104" s="38"/>
      <c r="HLY104" s="36"/>
      <c r="HLZ104" s="18"/>
      <c r="HMA104" s="38"/>
      <c r="HMG104" s="36"/>
      <c r="HMH104" s="18"/>
      <c r="HMI104" s="38"/>
      <c r="HMO104" s="36"/>
      <c r="HMP104" s="18"/>
      <c r="HMQ104" s="38"/>
      <c r="HMW104" s="36"/>
      <c r="HMX104" s="18"/>
      <c r="HMY104" s="38"/>
      <c r="HNE104" s="36"/>
      <c r="HNF104" s="18"/>
      <c r="HNG104" s="38"/>
      <c r="HNM104" s="36"/>
      <c r="HNN104" s="18"/>
      <c r="HNO104" s="38"/>
      <c r="HNU104" s="36"/>
      <c r="HNV104" s="18"/>
      <c r="HNW104" s="38"/>
      <c r="HOC104" s="36"/>
      <c r="HOD104" s="18"/>
      <c r="HOE104" s="38"/>
      <c r="HOK104" s="36"/>
      <c r="HOL104" s="18"/>
      <c r="HOM104" s="38"/>
      <c r="HOS104" s="36"/>
      <c r="HOT104" s="18"/>
      <c r="HOU104" s="38"/>
      <c r="HPA104" s="36"/>
      <c r="HPB104" s="18"/>
      <c r="HPC104" s="38"/>
      <c r="HPI104" s="36"/>
      <c r="HPJ104" s="18"/>
      <c r="HPK104" s="38"/>
      <c r="HPQ104" s="36"/>
      <c r="HPR104" s="18"/>
      <c r="HPS104" s="38"/>
      <c r="HPY104" s="36"/>
      <c r="HPZ104" s="18"/>
      <c r="HQA104" s="38"/>
      <c r="HQG104" s="36"/>
      <c r="HQH104" s="18"/>
      <c r="HQI104" s="38"/>
      <c r="HQO104" s="36"/>
      <c r="HQP104" s="18"/>
      <c r="HQQ104" s="38"/>
      <c r="HQW104" s="36"/>
      <c r="HQX104" s="18"/>
      <c r="HQY104" s="38"/>
      <c r="HRE104" s="36"/>
      <c r="HRF104" s="18"/>
      <c r="HRG104" s="38"/>
      <c r="HRM104" s="36"/>
      <c r="HRN104" s="18"/>
      <c r="HRO104" s="38"/>
      <c r="HRU104" s="36"/>
      <c r="HRV104" s="18"/>
      <c r="HRW104" s="38"/>
      <c r="HSC104" s="36"/>
      <c r="HSD104" s="18"/>
      <c r="HSE104" s="38"/>
      <c r="HSK104" s="36"/>
      <c r="HSL104" s="18"/>
      <c r="HSM104" s="38"/>
      <c r="HSS104" s="36"/>
      <c r="HST104" s="18"/>
      <c r="HSU104" s="38"/>
      <c r="HTA104" s="36"/>
      <c r="HTB104" s="18"/>
      <c r="HTC104" s="38"/>
      <c r="HTI104" s="36"/>
      <c r="HTJ104" s="18"/>
      <c r="HTK104" s="38"/>
      <c r="HTQ104" s="36"/>
      <c r="HTR104" s="18"/>
      <c r="HTS104" s="38"/>
      <c r="HTY104" s="36"/>
      <c r="HTZ104" s="18"/>
      <c r="HUA104" s="38"/>
      <c r="HUG104" s="36"/>
      <c r="HUH104" s="18"/>
      <c r="HUI104" s="38"/>
      <c r="HUO104" s="36"/>
      <c r="HUP104" s="18"/>
      <c r="HUQ104" s="38"/>
      <c r="HUW104" s="36"/>
      <c r="HUX104" s="18"/>
      <c r="HUY104" s="38"/>
      <c r="HVE104" s="36"/>
      <c r="HVF104" s="18"/>
      <c r="HVG104" s="38"/>
      <c r="HVM104" s="36"/>
      <c r="HVN104" s="18"/>
      <c r="HVO104" s="38"/>
      <c r="HVU104" s="36"/>
      <c r="HVV104" s="18"/>
      <c r="HVW104" s="38"/>
      <c r="HWC104" s="36"/>
      <c r="HWD104" s="18"/>
      <c r="HWE104" s="38"/>
      <c r="HWK104" s="36"/>
      <c r="HWL104" s="18"/>
      <c r="HWM104" s="38"/>
      <c r="HWS104" s="36"/>
      <c r="HWT104" s="18"/>
      <c r="HWU104" s="38"/>
      <c r="HXA104" s="36"/>
      <c r="HXB104" s="18"/>
      <c r="HXC104" s="38"/>
      <c r="HXI104" s="36"/>
      <c r="HXJ104" s="18"/>
      <c r="HXK104" s="38"/>
      <c r="HXQ104" s="36"/>
      <c r="HXR104" s="18"/>
      <c r="HXS104" s="38"/>
      <c r="HXY104" s="36"/>
      <c r="HXZ104" s="18"/>
      <c r="HYA104" s="38"/>
      <c r="HYG104" s="36"/>
      <c r="HYH104" s="18"/>
      <c r="HYI104" s="38"/>
      <c r="HYO104" s="36"/>
      <c r="HYP104" s="18"/>
      <c r="HYQ104" s="38"/>
      <c r="HYW104" s="36"/>
      <c r="HYX104" s="18"/>
      <c r="HYY104" s="38"/>
      <c r="HZE104" s="36"/>
      <c r="HZF104" s="18"/>
      <c r="HZG104" s="38"/>
      <c r="HZM104" s="36"/>
      <c r="HZN104" s="18"/>
      <c r="HZO104" s="38"/>
      <c r="HZU104" s="36"/>
      <c r="HZV104" s="18"/>
      <c r="HZW104" s="38"/>
      <c r="IAC104" s="36"/>
      <c r="IAD104" s="18"/>
      <c r="IAE104" s="38"/>
      <c r="IAK104" s="36"/>
      <c r="IAL104" s="18"/>
      <c r="IAM104" s="38"/>
      <c r="IAS104" s="36"/>
      <c r="IAT104" s="18"/>
      <c r="IAU104" s="38"/>
      <c r="IBA104" s="36"/>
      <c r="IBB104" s="18"/>
      <c r="IBC104" s="38"/>
      <c r="IBI104" s="36"/>
      <c r="IBJ104" s="18"/>
      <c r="IBK104" s="38"/>
      <c r="IBQ104" s="36"/>
      <c r="IBR104" s="18"/>
      <c r="IBS104" s="38"/>
      <c r="IBY104" s="36"/>
      <c r="IBZ104" s="18"/>
      <c r="ICA104" s="38"/>
      <c r="ICG104" s="36"/>
      <c r="ICH104" s="18"/>
      <c r="ICI104" s="38"/>
      <c r="ICO104" s="36"/>
      <c r="ICP104" s="18"/>
      <c r="ICQ104" s="38"/>
      <c r="ICW104" s="36"/>
      <c r="ICX104" s="18"/>
      <c r="ICY104" s="38"/>
      <c r="IDE104" s="36"/>
      <c r="IDF104" s="18"/>
      <c r="IDG104" s="38"/>
      <c r="IDM104" s="36"/>
      <c r="IDN104" s="18"/>
      <c r="IDO104" s="38"/>
      <c r="IDU104" s="36"/>
      <c r="IDV104" s="18"/>
      <c r="IDW104" s="38"/>
      <c r="IEC104" s="36"/>
      <c r="IED104" s="18"/>
      <c r="IEE104" s="38"/>
      <c r="IEK104" s="36"/>
      <c r="IEL104" s="18"/>
      <c r="IEM104" s="38"/>
      <c r="IES104" s="36"/>
      <c r="IET104" s="18"/>
      <c r="IEU104" s="38"/>
      <c r="IFA104" s="36"/>
      <c r="IFB104" s="18"/>
      <c r="IFC104" s="38"/>
      <c r="IFI104" s="36"/>
      <c r="IFJ104" s="18"/>
      <c r="IFK104" s="38"/>
      <c r="IFQ104" s="36"/>
      <c r="IFR104" s="18"/>
      <c r="IFS104" s="38"/>
      <c r="IFY104" s="36"/>
      <c r="IFZ104" s="18"/>
      <c r="IGA104" s="38"/>
      <c r="IGG104" s="36"/>
      <c r="IGH104" s="18"/>
      <c r="IGI104" s="38"/>
      <c r="IGO104" s="36"/>
      <c r="IGP104" s="18"/>
      <c r="IGQ104" s="38"/>
      <c r="IGW104" s="36"/>
      <c r="IGX104" s="18"/>
      <c r="IGY104" s="38"/>
      <c r="IHE104" s="36"/>
      <c r="IHF104" s="18"/>
      <c r="IHG104" s="38"/>
      <c r="IHM104" s="36"/>
      <c r="IHN104" s="18"/>
      <c r="IHO104" s="38"/>
      <c r="IHU104" s="36"/>
      <c r="IHV104" s="18"/>
      <c r="IHW104" s="38"/>
      <c r="IIC104" s="36"/>
      <c r="IID104" s="18"/>
      <c r="IIE104" s="38"/>
      <c r="IIK104" s="36"/>
      <c r="IIL104" s="18"/>
      <c r="IIM104" s="38"/>
      <c r="IIS104" s="36"/>
      <c r="IIT104" s="18"/>
      <c r="IIU104" s="38"/>
      <c r="IJA104" s="36"/>
      <c r="IJB104" s="18"/>
      <c r="IJC104" s="38"/>
      <c r="IJI104" s="36"/>
      <c r="IJJ104" s="18"/>
      <c r="IJK104" s="38"/>
      <c r="IJQ104" s="36"/>
      <c r="IJR104" s="18"/>
      <c r="IJS104" s="38"/>
      <c r="IJY104" s="36"/>
      <c r="IJZ104" s="18"/>
      <c r="IKA104" s="38"/>
      <c r="IKG104" s="36"/>
      <c r="IKH104" s="18"/>
      <c r="IKI104" s="38"/>
      <c r="IKO104" s="36"/>
      <c r="IKP104" s="18"/>
      <c r="IKQ104" s="38"/>
      <c r="IKW104" s="36"/>
      <c r="IKX104" s="18"/>
      <c r="IKY104" s="38"/>
      <c r="ILE104" s="36"/>
      <c r="ILF104" s="18"/>
      <c r="ILG104" s="38"/>
      <c r="ILM104" s="36"/>
      <c r="ILN104" s="18"/>
      <c r="ILO104" s="38"/>
      <c r="ILU104" s="36"/>
      <c r="ILV104" s="18"/>
      <c r="ILW104" s="38"/>
      <c r="IMC104" s="36"/>
      <c r="IMD104" s="18"/>
      <c r="IME104" s="38"/>
      <c r="IMK104" s="36"/>
      <c r="IML104" s="18"/>
      <c r="IMM104" s="38"/>
      <c r="IMS104" s="36"/>
      <c r="IMT104" s="18"/>
      <c r="IMU104" s="38"/>
      <c r="INA104" s="36"/>
      <c r="INB104" s="18"/>
      <c r="INC104" s="38"/>
      <c r="INI104" s="36"/>
      <c r="INJ104" s="18"/>
      <c r="INK104" s="38"/>
      <c r="INQ104" s="36"/>
      <c r="INR104" s="18"/>
      <c r="INS104" s="38"/>
      <c r="INY104" s="36"/>
      <c r="INZ104" s="18"/>
      <c r="IOA104" s="38"/>
      <c r="IOG104" s="36"/>
      <c r="IOH104" s="18"/>
      <c r="IOI104" s="38"/>
      <c r="IOO104" s="36"/>
      <c r="IOP104" s="18"/>
      <c r="IOQ104" s="38"/>
      <c r="IOW104" s="36"/>
      <c r="IOX104" s="18"/>
      <c r="IOY104" s="38"/>
      <c r="IPE104" s="36"/>
      <c r="IPF104" s="18"/>
      <c r="IPG104" s="38"/>
      <c r="IPM104" s="36"/>
      <c r="IPN104" s="18"/>
      <c r="IPO104" s="38"/>
      <c r="IPU104" s="36"/>
      <c r="IPV104" s="18"/>
      <c r="IPW104" s="38"/>
      <c r="IQC104" s="36"/>
      <c r="IQD104" s="18"/>
      <c r="IQE104" s="38"/>
      <c r="IQK104" s="36"/>
      <c r="IQL104" s="18"/>
      <c r="IQM104" s="38"/>
      <c r="IQS104" s="36"/>
      <c r="IQT104" s="18"/>
      <c r="IQU104" s="38"/>
      <c r="IRA104" s="36"/>
      <c r="IRB104" s="18"/>
      <c r="IRC104" s="38"/>
      <c r="IRI104" s="36"/>
      <c r="IRJ104" s="18"/>
      <c r="IRK104" s="38"/>
      <c r="IRQ104" s="36"/>
      <c r="IRR104" s="18"/>
      <c r="IRS104" s="38"/>
      <c r="IRY104" s="36"/>
      <c r="IRZ104" s="18"/>
      <c r="ISA104" s="38"/>
      <c r="ISG104" s="36"/>
      <c r="ISH104" s="18"/>
      <c r="ISI104" s="38"/>
      <c r="ISO104" s="36"/>
      <c r="ISP104" s="18"/>
      <c r="ISQ104" s="38"/>
      <c r="ISW104" s="36"/>
      <c r="ISX104" s="18"/>
      <c r="ISY104" s="38"/>
      <c r="ITE104" s="36"/>
      <c r="ITF104" s="18"/>
      <c r="ITG104" s="38"/>
      <c r="ITM104" s="36"/>
      <c r="ITN104" s="18"/>
      <c r="ITO104" s="38"/>
      <c r="ITU104" s="36"/>
      <c r="ITV104" s="18"/>
      <c r="ITW104" s="38"/>
      <c r="IUC104" s="36"/>
      <c r="IUD104" s="18"/>
      <c r="IUE104" s="38"/>
      <c r="IUK104" s="36"/>
      <c r="IUL104" s="18"/>
      <c r="IUM104" s="38"/>
      <c r="IUS104" s="36"/>
      <c r="IUT104" s="18"/>
      <c r="IUU104" s="38"/>
      <c r="IVA104" s="36"/>
      <c r="IVB104" s="18"/>
      <c r="IVC104" s="38"/>
      <c r="IVI104" s="36"/>
      <c r="IVJ104" s="18"/>
      <c r="IVK104" s="38"/>
      <c r="IVQ104" s="36"/>
      <c r="IVR104" s="18"/>
      <c r="IVS104" s="38"/>
      <c r="IVY104" s="36"/>
      <c r="IVZ104" s="18"/>
      <c r="IWA104" s="38"/>
      <c r="IWG104" s="36"/>
      <c r="IWH104" s="18"/>
      <c r="IWI104" s="38"/>
      <c r="IWO104" s="36"/>
      <c r="IWP104" s="18"/>
      <c r="IWQ104" s="38"/>
      <c r="IWW104" s="36"/>
      <c r="IWX104" s="18"/>
      <c r="IWY104" s="38"/>
      <c r="IXE104" s="36"/>
      <c r="IXF104" s="18"/>
      <c r="IXG104" s="38"/>
      <c r="IXM104" s="36"/>
      <c r="IXN104" s="18"/>
      <c r="IXO104" s="38"/>
      <c r="IXU104" s="36"/>
      <c r="IXV104" s="18"/>
      <c r="IXW104" s="38"/>
      <c r="IYC104" s="36"/>
      <c r="IYD104" s="18"/>
      <c r="IYE104" s="38"/>
      <c r="IYK104" s="36"/>
      <c r="IYL104" s="18"/>
      <c r="IYM104" s="38"/>
      <c r="IYS104" s="36"/>
      <c r="IYT104" s="18"/>
      <c r="IYU104" s="38"/>
      <c r="IZA104" s="36"/>
      <c r="IZB104" s="18"/>
      <c r="IZC104" s="38"/>
      <c r="IZI104" s="36"/>
      <c r="IZJ104" s="18"/>
      <c r="IZK104" s="38"/>
      <c r="IZQ104" s="36"/>
      <c r="IZR104" s="18"/>
      <c r="IZS104" s="38"/>
      <c r="IZY104" s="36"/>
      <c r="IZZ104" s="18"/>
      <c r="JAA104" s="38"/>
      <c r="JAG104" s="36"/>
      <c r="JAH104" s="18"/>
      <c r="JAI104" s="38"/>
      <c r="JAO104" s="36"/>
      <c r="JAP104" s="18"/>
      <c r="JAQ104" s="38"/>
      <c r="JAW104" s="36"/>
      <c r="JAX104" s="18"/>
      <c r="JAY104" s="38"/>
      <c r="JBE104" s="36"/>
      <c r="JBF104" s="18"/>
      <c r="JBG104" s="38"/>
      <c r="JBM104" s="36"/>
      <c r="JBN104" s="18"/>
      <c r="JBO104" s="38"/>
      <c r="JBU104" s="36"/>
      <c r="JBV104" s="18"/>
      <c r="JBW104" s="38"/>
      <c r="JCC104" s="36"/>
      <c r="JCD104" s="18"/>
      <c r="JCE104" s="38"/>
      <c r="JCK104" s="36"/>
      <c r="JCL104" s="18"/>
      <c r="JCM104" s="38"/>
      <c r="JCS104" s="36"/>
      <c r="JCT104" s="18"/>
      <c r="JCU104" s="38"/>
      <c r="JDA104" s="36"/>
      <c r="JDB104" s="18"/>
      <c r="JDC104" s="38"/>
      <c r="JDI104" s="36"/>
      <c r="JDJ104" s="18"/>
      <c r="JDK104" s="38"/>
      <c r="JDQ104" s="36"/>
      <c r="JDR104" s="18"/>
      <c r="JDS104" s="38"/>
      <c r="JDY104" s="36"/>
      <c r="JDZ104" s="18"/>
      <c r="JEA104" s="38"/>
      <c r="JEG104" s="36"/>
      <c r="JEH104" s="18"/>
      <c r="JEI104" s="38"/>
      <c r="JEO104" s="36"/>
      <c r="JEP104" s="18"/>
      <c r="JEQ104" s="38"/>
      <c r="JEW104" s="36"/>
      <c r="JEX104" s="18"/>
      <c r="JEY104" s="38"/>
      <c r="JFE104" s="36"/>
      <c r="JFF104" s="18"/>
      <c r="JFG104" s="38"/>
      <c r="JFM104" s="36"/>
      <c r="JFN104" s="18"/>
      <c r="JFO104" s="38"/>
      <c r="JFU104" s="36"/>
      <c r="JFV104" s="18"/>
      <c r="JFW104" s="38"/>
      <c r="JGC104" s="36"/>
      <c r="JGD104" s="18"/>
      <c r="JGE104" s="38"/>
      <c r="JGK104" s="36"/>
      <c r="JGL104" s="18"/>
      <c r="JGM104" s="38"/>
      <c r="JGS104" s="36"/>
      <c r="JGT104" s="18"/>
      <c r="JGU104" s="38"/>
      <c r="JHA104" s="36"/>
      <c r="JHB104" s="18"/>
      <c r="JHC104" s="38"/>
      <c r="JHI104" s="36"/>
      <c r="JHJ104" s="18"/>
      <c r="JHK104" s="38"/>
      <c r="JHQ104" s="36"/>
      <c r="JHR104" s="18"/>
      <c r="JHS104" s="38"/>
      <c r="JHY104" s="36"/>
      <c r="JHZ104" s="18"/>
      <c r="JIA104" s="38"/>
      <c r="JIG104" s="36"/>
      <c r="JIH104" s="18"/>
      <c r="JII104" s="38"/>
      <c r="JIO104" s="36"/>
      <c r="JIP104" s="18"/>
      <c r="JIQ104" s="38"/>
      <c r="JIW104" s="36"/>
      <c r="JIX104" s="18"/>
      <c r="JIY104" s="38"/>
      <c r="JJE104" s="36"/>
      <c r="JJF104" s="18"/>
      <c r="JJG104" s="38"/>
      <c r="JJM104" s="36"/>
      <c r="JJN104" s="18"/>
      <c r="JJO104" s="38"/>
      <c r="JJU104" s="36"/>
      <c r="JJV104" s="18"/>
      <c r="JJW104" s="38"/>
      <c r="JKC104" s="36"/>
      <c r="JKD104" s="18"/>
      <c r="JKE104" s="38"/>
      <c r="JKK104" s="36"/>
      <c r="JKL104" s="18"/>
      <c r="JKM104" s="38"/>
      <c r="JKS104" s="36"/>
      <c r="JKT104" s="18"/>
      <c r="JKU104" s="38"/>
      <c r="JLA104" s="36"/>
      <c r="JLB104" s="18"/>
      <c r="JLC104" s="38"/>
      <c r="JLI104" s="36"/>
      <c r="JLJ104" s="18"/>
      <c r="JLK104" s="38"/>
      <c r="JLQ104" s="36"/>
      <c r="JLR104" s="18"/>
      <c r="JLS104" s="38"/>
      <c r="JLY104" s="36"/>
      <c r="JLZ104" s="18"/>
      <c r="JMA104" s="38"/>
      <c r="JMG104" s="36"/>
      <c r="JMH104" s="18"/>
      <c r="JMI104" s="38"/>
      <c r="JMO104" s="36"/>
      <c r="JMP104" s="18"/>
      <c r="JMQ104" s="38"/>
      <c r="JMW104" s="36"/>
      <c r="JMX104" s="18"/>
      <c r="JMY104" s="38"/>
      <c r="JNE104" s="36"/>
      <c r="JNF104" s="18"/>
      <c r="JNG104" s="38"/>
      <c r="JNM104" s="36"/>
      <c r="JNN104" s="18"/>
      <c r="JNO104" s="38"/>
      <c r="JNU104" s="36"/>
      <c r="JNV104" s="18"/>
      <c r="JNW104" s="38"/>
      <c r="JOC104" s="36"/>
      <c r="JOD104" s="18"/>
      <c r="JOE104" s="38"/>
      <c r="JOK104" s="36"/>
      <c r="JOL104" s="18"/>
      <c r="JOM104" s="38"/>
      <c r="JOS104" s="36"/>
      <c r="JOT104" s="18"/>
      <c r="JOU104" s="38"/>
      <c r="JPA104" s="36"/>
      <c r="JPB104" s="18"/>
      <c r="JPC104" s="38"/>
      <c r="JPI104" s="36"/>
      <c r="JPJ104" s="18"/>
      <c r="JPK104" s="38"/>
      <c r="JPQ104" s="36"/>
      <c r="JPR104" s="18"/>
      <c r="JPS104" s="38"/>
      <c r="JPY104" s="36"/>
      <c r="JPZ104" s="18"/>
      <c r="JQA104" s="38"/>
      <c r="JQG104" s="36"/>
      <c r="JQH104" s="18"/>
      <c r="JQI104" s="38"/>
      <c r="JQO104" s="36"/>
      <c r="JQP104" s="18"/>
      <c r="JQQ104" s="38"/>
      <c r="JQW104" s="36"/>
      <c r="JQX104" s="18"/>
      <c r="JQY104" s="38"/>
      <c r="JRE104" s="36"/>
      <c r="JRF104" s="18"/>
      <c r="JRG104" s="38"/>
      <c r="JRM104" s="36"/>
      <c r="JRN104" s="18"/>
      <c r="JRO104" s="38"/>
      <c r="JRU104" s="36"/>
      <c r="JRV104" s="18"/>
      <c r="JRW104" s="38"/>
      <c r="JSC104" s="36"/>
      <c r="JSD104" s="18"/>
      <c r="JSE104" s="38"/>
      <c r="JSK104" s="36"/>
      <c r="JSL104" s="18"/>
      <c r="JSM104" s="38"/>
      <c r="JSS104" s="36"/>
      <c r="JST104" s="18"/>
      <c r="JSU104" s="38"/>
      <c r="JTA104" s="36"/>
      <c r="JTB104" s="18"/>
      <c r="JTC104" s="38"/>
      <c r="JTI104" s="36"/>
      <c r="JTJ104" s="18"/>
      <c r="JTK104" s="38"/>
      <c r="JTQ104" s="36"/>
      <c r="JTR104" s="18"/>
      <c r="JTS104" s="38"/>
      <c r="JTY104" s="36"/>
      <c r="JTZ104" s="18"/>
      <c r="JUA104" s="38"/>
      <c r="JUG104" s="36"/>
      <c r="JUH104" s="18"/>
      <c r="JUI104" s="38"/>
      <c r="JUO104" s="36"/>
      <c r="JUP104" s="18"/>
      <c r="JUQ104" s="38"/>
      <c r="JUW104" s="36"/>
      <c r="JUX104" s="18"/>
      <c r="JUY104" s="38"/>
      <c r="JVE104" s="36"/>
      <c r="JVF104" s="18"/>
      <c r="JVG104" s="38"/>
      <c r="JVM104" s="36"/>
      <c r="JVN104" s="18"/>
      <c r="JVO104" s="38"/>
      <c r="JVU104" s="36"/>
      <c r="JVV104" s="18"/>
      <c r="JVW104" s="38"/>
      <c r="JWC104" s="36"/>
      <c r="JWD104" s="18"/>
      <c r="JWE104" s="38"/>
      <c r="JWK104" s="36"/>
      <c r="JWL104" s="18"/>
      <c r="JWM104" s="38"/>
      <c r="JWS104" s="36"/>
      <c r="JWT104" s="18"/>
      <c r="JWU104" s="38"/>
      <c r="JXA104" s="36"/>
      <c r="JXB104" s="18"/>
      <c r="JXC104" s="38"/>
      <c r="JXI104" s="36"/>
      <c r="JXJ104" s="18"/>
      <c r="JXK104" s="38"/>
      <c r="JXQ104" s="36"/>
      <c r="JXR104" s="18"/>
      <c r="JXS104" s="38"/>
      <c r="JXY104" s="36"/>
      <c r="JXZ104" s="18"/>
      <c r="JYA104" s="38"/>
      <c r="JYG104" s="36"/>
      <c r="JYH104" s="18"/>
      <c r="JYI104" s="38"/>
      <c r="JYO104" s="36"/>
      <c r="JYP104" s="18"/>
      <c r="JYQ104" s="38"/>
      <c r="JYW104" s="36"/>
      <c r="JYX104" s="18"/>
      <c r="JYY104" s="38"/>
      <c r="JZE104" s="36"/>
      <c r="JZF104" s="18"/>
      <c r="JZG104" s="38"/>
      <c r="JZM104" s="36"/>
      <c r="JZN104" s="18"/>
      <c r="JZO104" s="38"/>
      <c r="JZU104" s="36"/>
      <c r="JZV104" s="18"/>
      <c r="JZW104" s="38"/>
      <c r="KAC104" s="36"/>
      <c r="KAD104" s="18"/>
      <c r="KAE104" s="38"/>
      <c r="KAK104" s="36"/>
      <c r="KAL104" s="18"/>
      <c r="KAM104" s="38"/>
      <c r="KAS104" s="36"/>
      <c r="KAT104" s="18"/>
      <c r="KAU104" s="38"/>
      <c r="KBA104" s="36"/>
      <c r="KBB104" s="18"/>
      <c r="KBC104" s="38"/>
      <c r="KBI104" s="36"/>
      <c r="KBJ104" s="18"/>
      <c r="KBK104" s="38"/>
      <c r="KBQ104" s="36"/>
      <c r="KBR104" s="18"/>
      <c r="KBS104" s="38"/>
      <c r="KBY104" s="36"/>
      <c r="KBZ104" s="18"/>
      <c r="KCA104" s="38"/>
      <c r="KCG104" s="36"/>
      <c r="KCH104" s="18"/>
      <c r="KCI104" s="38"/>
      <c r="KCO104" s="36"/>
      <c r="KCP104" s="18"/>
      <c r="KCQ104" s="38"/>
      <c r="KCW104" s="36"/>
      <c r="KCX104" s="18"/>
      <c r="KCY104" s="38"/>
      <c r="KDE104" s="36"/>
      <c r="KDF104" s="18"/>
      <c r="KDG104" s="38"/>
      <c r="KDM104" s="36"/>
      <c r="KDN104" s="18"/>
      <c r="KDO104" s="38"/>
      <c r="KDU104" s="36"/>
      <c r="KDV104" s="18"/>
      <c r="KDW104" s="38"/>
      <c r="KEC104" s="36"/>
      <c r="KED104" s="18"/>
      <c r="KEE104" s="38"/>
      <c r="KEK104" s="36"/>
      <c r="KEL104" s="18"/>
      <c r="KEM104" s="38"/>
      <c r="KES104" s="36"/>
      <c r="KET104" s="18"/>
      <c r="KEU104" s="38"/>
      <c r="KFA104" s="36"/>
      <c r="KFB104" s="18"/>
      <c r="KFC104" s="38"/>
      <c r="KFI104" s="36"/>
      <c r="KFJ104" s="18"/>
      <c r="KFK104" s="38"/>
      <c r="KFQ104" s="36"/>
      <c r="KFR104" s="18"/>
      <c r="KFS104" s="38"/>
      <c r="KFY104" s="36"/>
      <c r="KFZ104" s="18"/>
      <c r="KGA104" s="38"/>
      <c r="KGG104" s="36"/>
      <c r="KGH104" s="18"/>
      <c r="KGI104" s="38"/>
      <c r="KGO104" s="36"/>
      <c r="KGP104" s="18"/>
      <c r="KGQ104" s="38"/>
      <c r="KGW104" s="36"/>
      <c r="KGX104" s="18"/>
      <c r="KGY104" s="38"/>
      <c r="KHE104" s="36"/>
      <c r="KHF104" s="18"/>
      <c r="KHG104" s="38"/>
      <c r="KHM104" s="36"/>
      <c r="KHN104" s="18"/>
      <c r="KHO104" s="38"/>
      <c r="KHU104" s="36"/>
      <c r="KHV104" s="18"/>
      <c r="KHW104" s="38"/>
      <c r="KIC104" s="36"/>
      <c r="KID104" s="18"/>
      <c r="KIE104" s="38"/>
      <c r="KIK104" s="36"/>
      <c r="KIL104" s="18"/>
      <c r="KIM104" s="38"/>
      <c r="KIS104" s="36"/>
      <c r="KIT104" s="18"/>
      <c r="KIU104" s="38"/>
      <c r="KJA104" s="36"/>
      <c r="KJB104" s="18"/>
      <c r="KJC104" s="38"/>
      <c r="KJI104" s="36"/>
      <c r="KJJ104" s="18"/>
      <c r="KJK104" s="38"/>
      <c r="KJQ104" s="36"/>
      <c r="KJR104" s="18"/>
      <c r="KJS104" s="38"/>
      <c r="KJY104" s="36"/>
      <c r="KJZ104" s="18"/>
      <c r="KKA104" s="38"/>
      <c r="KKG104" s="36"/>
      <c r="KKH104" s="18"/>
      <c r="KKI104" s="38"/>
      <c r="KKO104" s="36"/>
      <c r="KKP104" s="18"/>
      <c r="KKQ104" s="38"/>
      <c r="KKW104" s="36"/>
      <c r="KKX104" s="18"/>
      <c r="KKY104" s="38"/>
      <c r="KLE104" s="36"/>
      <c r="KLF104" s="18"/>
      <c r="KLG104" s="38"/>
      <c r="KLM104" s="36"/>
      <c r="KLN104" s="18"/>
      <c r="KLO104" s="38"/>
      <c r="KLU104" s="36"/>
      <c r="KLV104" s="18"/>
      <c r="KLW104" s="38"/>
      <c r="KMC104" s="36"/>
      <c r="KMD104" s="18"/>
      <c r="KME104" s="38"/>
      <c r="KMK104" s="36"/>
      <c r="KML104" s="18"/>
      <c r="KMM104" s="38"/>
      <c r="KMS104" s="36"/>
      <c r="KMT104" s="18"/>
      <c r="KMU104" s="38"/>
      <c r="KNA104" s="36"/>
      <c r="KNB104" s="18"/>
      <c r="KNC104" s="38"/>
      <c r="KNI104" s="36"/>
      <c r="KNJ104" s="18"/>
      <c r="KNK104" s="38"/>
      <c r="KNQ104" s="36"/>
      <c r="KNR104" s="18"/>
      <c r="KNS104" s="38"/>
      <c r="KNY104" s="36"/>
      <c r="KNZ104" s="18"/>
      <c r="KOA104" s="38"/>
      <c r="KOG104" s="36"/>
      <c r="KOH104" s="18"/>
      <c r="KOI104" s="38"/>
      <c r="KOO104" s="36"/>
      <c r="KOP104" s="18"/>
      <c r="KOQ104" s="38"/>
      <c r="KOW104" s="36"/>
      <c r="KOX104" s="18"/>
      <c r="KOY104" s="38"/>
      <c r="KPE104" s="36"/>
      <c r="KPF104" s="18"/>
      <c r="KPG104" s="38"/>
      <c r="KPM104" s="36"/>
      <c r="KPN104" s="18"/>
      <c r="KPO104" s="38"/>
      <c r="KPU104" s="36"/>
      <c r="KPV104" s="18"/>
      <c r="KPW104" s="38"/>
      <c r="KQC104" s="36"/>
      <c r="KQD104" s="18"/>
      <c r="KQE104" s="38"/>
      <c r="KQK104" s="36"/>
      <c r="KQL104" s="18"/>
      <c r="KQM104" s="38"/>
      <c r="KQS104" s="36"/>
      <c r="KQT104" s="18"/>
      <c r="KQU104" s="38"/>
      <c r="KRA104" s="36"/>
      <c r="KRB104" s="18"/>
      <c r="KRC104" s="38"/>
      <c r="KRI104" s="36"/>
      <c r="KRJ104" s="18"/>
      <c r="KRK104" s="38"/>
      <c r="KRQ104" s="36"/>
      <c r="KRR104" s="18"/>
      <c r="KRS104" s="38"/>
      <c r="KRY104" s="36"/>
      <c r="KRZ104" s="18"/>
      <c r="KSA104" s="38"/>
      <c r="KSG104" s="36"/>
      <c r="KSH104" s="18"/>
      <c r="KSI104" s="38"/>
      <c r="KSO104" s="36"/>
      <c r="KSP104" s="18"/>
      <c r="KSQ104" s="38"/>
      <c r="KSW104" s="36"/>
      <c r="KSX104" s="18"/>
      <c r="KSY104" s="38"/>
      <c r="KTE104" s="36"/>
      <c r="KTF104" s="18"/>
      <c r="KTG104" s="38"/>
      <c r="KTM104" s="36"/>
      <c r="KTN104" s="18"/>
      <c r="KTO104" s="38"/>
      <c r="KTU104" s="36"/>
      <c r="KTV104" s="18"/>
      <c r="KTW104" s="38"/>
      <c r="KUC104" s="36"/>
      <c r="KUD104" s="18"/>
      <c r="KUE104" s="38"/>
      <c r="KUK104" s="36"/>
      <c r="KUL104" s="18"/>
      <c r="KUM104" s="38"/>
      <c r="KUS104" s="36"/>
      <c r="KUT104" s="18"/>
      <c r="KUU104" s="38"/>
      <c r="KVA104" s="36"/>
      <c r="KVB104" s="18"/>
      <c r="KVC104" s="38"/>
      <c r="KVI104" s="36"/>
      <c r="KVJ104" s="18"/>
      <c r="KVK104" s="38"/>
      <c r="KVQ104" s="36"/>
      <c r="KVR104" s="18"/>
      <c r="KVS104" s="38"/>
      <c r="KVY104" s="36"/>
      <c r="KVZ104" s="18"/>
      <c r="KWA104" s="38"/>
      <c r="KWG104" s="36"/>
      <c r="KWH104" s="18"/>
      <c r="KWI104" s="38"/>
      <c r="KWO104" s="36"/>
      <c r="KWP104" s="18"/>
      <c r="KWQ104" s="38"/>
      <c r="KWW104" s="36"/>
      <c r="KWX104" s="18"/>
      <c r="KWY104" s="38"/>
      <c r="KXE104" s="36"/>
      <c r="KXF104" s="18"/>
      <c r="KXG104" s="38"/>
      <c r="KXM104" s="36"/>
      <c r="KXN104" s="18"/>
      <c r="KXO104" s="38"/>
      <c r="KXU104" s="36"/>
      <c r="KXV104" s="18"/>
      <c r="KXW104" s="38"/>
      <c r="KYC104" s="36"/>
      <c r="KYD104" s="18"/>
      <c r="KYE104" s="38"/>
      <c r="KYK104" s="36"/>
      <c r="KYL104" s="18"/>
      <c r="KYM104" s="38"/>
      <c r="KYS104" s="36"/>
      <c r="KYT104" s="18"/>
      <c r="KYU104" s="38"/>
      <c r="KZA104" s="36"/>
      <c r="KZB104" s="18"/>
      <c r="KZC104" s="38"/>
      <c r="KZI104" s="36"/>
      <c r="KZJ104" s="18"/>
      <c r="KZK104" s="38"/>
      <c r="KZQ104" s="36"/>
      <c r="KZR104" s="18"/>
      <c r="KZS104" s="38"/>
      <c r="KZY104" s="36"/>
      <c r="KZZ104" s="18"/>
      <c r="LAA104" s="38"/>
      <c r="LAG104" s="36"/>
      <c r="LAH104" s="18"/>
      <c r="LAI104" s="38"/>
      <c r="LAO104" s="36"/>
      <c r="LAP104" s="18"/>
      <c r="LAQ104" s="38"/>
      <c r="LAW104" s="36"/>
      <c r="LAX104" s="18"/>
      <c r="LAY104" s="38"/>
      <c r="LBE104" s="36"/>
      <c r="LBF104" s="18"/>
      <c r="LBG104" s="38"/>
      <c r="LBM104" s="36"/>
      <c r="LBN104" s="18"/>
      <c r="LBO104" s="38"/>
      <c r="LBU104" s="36"/>
      <c r="LBV104" s="18"/>
      <c r="LBW104" s="38"/>
      <c r="LCC104" s="36"/>
      <c r="LCD104" s="18"/>
      <c r="LCE104" s="38"/>
      <c r="LCK104" s="36"/>
      <c r="LCL104" s="18"/>
      <c r="LCM104" s="38"/>
      <c r="LCS104" s="36"/>
      <c r="LCT104" s="18"/>
      <c r="LCU104" s="38"/>
      <c r="LDA104" s="36"/>
      <c r="LDB104" s="18"/>
      <c r="LDC104" s="38"/>
      <c r="LDI104" s="36"/>
      <c r="LDJ104" s="18"/>
      <c r="LDK104" s="38"/>
      <c r="LDQ104" s="36"/>
      <c r="LDR104" s="18"/>
      <c r="LDS104" s="38"/>
      <c r="LDY104" s="36"/>
      <c r="LDZ104" s="18"/>
      <c r="LEA104" s="38"/>
      <c r="LEG104" s="36"/>
      <c r="LEH104" s="18"/>
      <c r="LEI104" s="38"/>
      <c r="LEO104" s="36"/>
      <c r="LEP104" s="18"/>
      <c r="LEQ104" s="38"/>
      <c r="LEW104" s="36"/>
      <c r="LEX104" s="18"/>
      <c r="LEY104" s="38"/>
      <c r="LFE104" s="36"/>
      <c r="LFF104" s="18"/>
      <c r="LFG104" s="38"/>
      <c r="LFM104" s="36"/>
      <c r="LFN104" s="18"/>
      <c r="LFO104" s="38"/>
      <c r="LFU104" s="36"/>
      <c r="LFV104" s="18"/>
      <c r="LFW104" s="38"/>
      <c r="LGC104" s="36"/>
      <c r="LGD104" s="18"/>
      <c r="LGE104" s="38"/>
      <c r="LGK104" s="36"/>
      <c r="LGL104" s="18"/>
      <c r="LGM104" s="38"/>
      <c r="LGS104" s="36"/>
      <c r="LGT104" s="18"/>
      <c r="LGU104" s="38"/>
      <c r="LHA104" s="36"/>
      <c r="LHB104" s="18"/>
      <c r="LHC104" s="38"/>
      <c r="LHI104" s="36"/>
      <c r="LHJ104" s="18"/>
      <c r="LHK104" s="38"/>
      <c r="LHQ104" s="36"/>
      <c r="LHR104" s="18"/>
      <c r="LHS104" s="38"/>
      <c r="LHY104" s="36"/>
      <c r="LHZ104" s="18"/>
      <c r="LIA104" s="38"/>
      <c r="LIG104" s="36"/>
      <c r="LIH104" s="18"/>
      <c r="LII104" s="38"/>
      <c r="LIO104" s="36"/>
      <c r="LIP104" s="18"/>
      <c r="LIQ104" s="38"/>
      <c r="LIW104" s="36"/>
      <c r="LIX104" s="18"/>
      <c r="LIY104" s="38"/>
      <c r="LJE104" s="36"/>
      <c r="LJF104" s="18"/>
      <c r="LJG104" s="38"/>
      <c r="LJM104" s="36"/>
      <c r="LJN104" s="18"/>
      <c r="LJO104" s="38"/>
      <c r="LJU104" s="36"/>
      <c r="LJV104" s="18"/>
      <c r="LJW104" s="38"/>
      <c r="LKC104" s="36"/>
      <c r="LKD104" s="18"/>
      <c r="LKE104" s="38"/>
      <c r="LKK104" s="36"/>
      <c r="LKL104" s="18"/>
      <c r="LKM104" s="38"/>
      <c r="LKS104" s="36"/>
      <c r="LKT104" s="18"/>
      <c r="LKU104" s="38"/>
      <c r="LLA104" s="36"/>
      <c r="LLB104" s="18"/>
      <c r="LLC104" s="38"/>
      <c r="LLI104" s="36"/>
      <c r="LLJ104" s="18"/>
      <c r="LLK104" s="38"/>
      <c r="LLQ104" s="36"/>
      <c r="LLR104" s="18"/>
      <c r="LLS104" s="38"/>
      <c r="LLY104" s="36"/>
      <c r="LLZ104" s="18"/>
      <c r="LMA104" s="38"/>
      <c r="LMG104" s="36"/>
      <c r="LMH104" s="18"/>
      <c r="LMI104" s="38"/>
      <c r="LMO104" s="36"/>
      <c r="LMP104" s="18"/>
      <c r="LMQ104" s="38"/>
      <c r="LMW104" s="36"/>
      <c r="LMX104" s="18"/>
      <c r="LMY104" s="38"/>
      <c r="LNE104" s="36"/>
      <c r="LNF104" s="18"/>
      <c r="LNG104" s="38"/>
      <c r="LNM104" s="36"/>
      <c r="LNN104" s="18"/>
      <c r="LNO104" s="38"/>
      <c r="LNU104" s="36"/>
      <c r="LNV104" s="18"/>
      <c r="LNW104" s="38"/>
      <c r="LOC104" s="36"/>
      <c r="LOD104" s="18"/>
      <c r="LOE104" s="38"/>
      <c r="LOK104" s="36"/>
      <c r="LOL104" s="18"/>
      <c r="LOM104" s="38"/>
      <c r="LOS104" s="36"/>
      <c r="LOT104" s="18"/>
      <c r="LOU104" s="38"/>
      <c r="LPA104" s="36"/>
      <c r="LPB104" s="18"/>
      <c r="LPC104" s="38"/>
      <c r="LPI104" s="36"/>
      <c r="LPJ104" s="18"/>
      <c r="LPK104" s="38"/>
      <c r="LPQ104" s="36"/>
      <c r="LPR104" s="18"/>
      <c r="LPS104" s="38"/>
      <c r="LPY104" s="36"/>
      <c r="LPZ104" s="18"/>
      <c r="LQA104" s="38"/>
      <c r="LQG104" s="36"/>
      <c r="LQH104" s="18"/>
      <c r="LQI104" s="38"/>
      <c r="LQO104" s="36"/>
      <c r="LQP104" s="18"/>
      <c r="LQQ104" s="38"/>
      <c r="LQW104" s="36"/>
      <c r="LQX104" s="18"/>
      <c r="LQY104" s="38"/>
      <c r="LRE104" s="36"/>
      <c r="LRF104" s="18"/>
      <c r="LRG104" s="38"/>
      <c r="LRM104" s="36"/>
      <c r="LRN104" s="18"/>
      <c r="LRO104" s="38"/>
      <c r="LRU104" s="36"/>
      <c r="LRV104" s="18"/>
      <c r="LRW104" s="38"/>
      <c r="LSC104" s="36"/>
      <c r="LSD104" s="18"/>
      <c r="LSE104" s="38"/>
      <c r="LSK104" s="36"/>
      <c r="LSL104" s="18"/>
      <c r="LSM104" s="38"/>
      <c r="LSS104" s="36"/>
      <c r="LST104" s="18"/>
      <c r="LSU104" s="38"/>
      <c r="LTA104" s="36"/>
      <c r="LTB104" s="18"/>
      <c r="LTC104" s="38"/>
      <c r="LTI104" s="36"/>
      <c r="LTJ104" s="18"/>
      <c r="LTK104" s="38"/>
      <c r="LTQ104" s="36"/>
      <c r="LTR104" s="18"/>
      <c r="LTS104" s="38"/>
      <c r="LTY104" s="36"/>
      <c r="LTZ104" s="18"/>
      <c r="LUA104" s="38"/>
      <c r="LUG104" s="36"/>
      <c r="LUH104" s="18"/>
      <c r="LUI104" s="38"/>
      <c r="LUO104" s="36"/>
      <c r="LUP104" s="18"/>
      <c r="LUQ104" s="38"/>
      <c r="LUW104" s="36"/>
      <c r="LUX104" s="18"/>
      <c r="LUY104" s="38"/>
      <c r="LVE104" s="36"/>
      <c r="LVF104" s="18"/>
      <c r="LVG104" s="38"/>
      <c r="LVM104" s="36"/>
      <c r="LVN104" s="18"/>
      <c r="LVO104" s="38"/>
      <c r="LVU104" s="36"/>
      <c r="LVV104" s="18"/>
      <c r="LVW104" s="38"/>
      <c r="LWC104" s="36"/>
      <c r="LWD104" s="18"/>
      <c r="LWE104" s="38"/>
      <c r="LWK104" s="36"/>
      <c r="LWL104" s="18"/>
      <c r="LWM104" s="38"/>
      <c r="LWS104" s="36"/>
      <c r="LWT104" s="18"/>
      <c r="LWU104" s="38"/>
      <c r="LXA104" s="36"/>
      <c r="LXB104" s="18"/>
      <c r="LXC104" s="38"/>
      <c r="LXI104" s="36"/>
      <c r="LXJ104" s="18"/>
      <c r="LXK104" s="38"/>
      <c r="LXQ104" s="36"/>
      <c r="LXR104" s="18"/>
      <c r="LXS104" s="38"/>
      <c r="LXY104" s="36"/>
      <c r="LXZ104" s="18"/>
      <c r="LYA104" s="38"/>
      <c r="LYG104" s="36"/>
      <c r="LYH104" s="18"/>
      <c r="LYI104" s="38"/>
      <c r="LYO104" s="36"/>
      <c r="LYP104" s="18"/>
      <c r="LYQ104" s="38"/>
      <c r="LYW104" s="36"/>
      <c r="LYX104" s="18"/>
      <c r="LYY104" s="38"/>
      <c r="LZE104" s="36"/>
      <c r="LZF104" s="18"/>
      <c r="LZG104" s="38"/>
      <c r="LZM104" s="36"/>
      <c r="LZN104" s="18"/>
      <c r="LZO104" s="38"/>
      <c r="LZU104" s="36"/>
      <c r="LZV104" s="18"/>
      <c r="LZW104" s="38"/>
      <c r="MAC104" s="36"/>
      <c r="MAD104" s="18"/>
      <c r="MAE104" s="38"/>
      <c r="MAK104" s="36"/>
      <c r="MAL104" s="18"/>
      <c r="MAM104" s="38"/>
      <c r="MAS104" s="36"/>
      <c r="MAT104" s="18"/>
      <c r="MAU104" s="38"/>
      <c r="MBA104" s="36"/>
      <c r="MBB104" s="18"/>
      <c r="MBC104" s="38"/>
      <c r="MBI104" s="36"/>
      <c r="MBJ104" s="18"/>
      <c r="MBK104" s="38"/>
      <c r="MBQ104" s="36"/>
      <c r="MBR104" s="18"/>
      <c r="MBS104" s="38"/>
      <c r="MBY104" s="36"/>
      <c r="MBZ104" s="18"/>
      <c r="MCA104" s="38"/>
      <c r="MCG104" s="36"/>
      <c r="MCH104" s="18"/>
      <c r="MCI104" s="38"/>
      <c r="MCO104" s="36"/>
      <c r="MCP104" s="18"/>
      <c r="MCQ104" s="38"/>
      <c r="MCW104" s="36"/>
      <c r="MCX104" s="18"/>
      <c r="MCY104" s="38"/>
      <c r="MDE104" s="36"/>
      <c r="MDF104" s="18"/>
      <c r="MDG104" s="38"/>
      <c r="MDM104" s="36"/>
      <c r="MDN104" s="18"/>
      <c r="MDO104" s="38"/>
      <c r="MDU104" s="36"/>
      <c r="MDV104" s="18"/>
      <c r="MDW104" s="38"/>
      <c r="MEC104" s="36"/>
      <c r="MED104" s="18"/>
      <c r="MEE104" s="38"/>
      <c r="MEK104" s="36"/>
      <c r="MEL104" s="18"/>
      <c r="MEM104" s="38"/>
      <c r="MES104" s="36"/>
      <c r="MET104" s="18"/>
      <c r="MEU104" s="38"/>
      <c r="MFA104" s="36"/>
      <c r="MFB104" s="18"/>
      <c r="MFC104" s="38"/>
      <c r="MFI104" s="36"/>
      <c r="MFJ104" s="18"/>
      <c r="MFK104" s="38"/>
      <c r="MFQ104" s="36"/>
      <c r="MFR104" s="18"/>
      <c r="MFS104" s="38"/>
      <c r="MFY104" s="36"/>
      <c r="MFZ104" s="18"/>
      <c r="MGA104" s="38"/>
      <c r="MGG104" s="36"/>
      <c r="MGH104" s="18"/>
      <c r="MGI104" s="38"/>
      <c r="MGO104" s="36"/>
      <c r="MGP104" s="18"/>
      <c r="MGQ104" s="38"/>
      <c r="MGW104" s="36"/>
      <c r="MGX104" s="18"/>
      <c r="MGY104" s="38"/>
      <c r="MHE104" s="36"/>
      <c r="MHF104" s="18"/>
      <c r="MHG104" s="38"/>
      <c r="MHM104" s="36"/>
      <c r="MHN104" s="18"/>
      <c r="MHO104" s="38"/>
      <c r="MHU104" s="36"/>
      <c r="MHV104" s="18"/>
      <c r="MHW104" s="38"/>
      <c r="MIC104" s="36"/>
      <c r="MID104" s="18"/>
      <c r="MIE104" s="38"/>
      <c r="MIK104" s="36"/>
      <c r="MIL104" s="18"/>
      <c r="MIM104" s="38"/>
      <c r="MIS104" s="36"/>
      <c r="MIT104" s="18"/>
      <c r="MIU104" s="38"/>
      <c r="MJA104" s="36"/>
      <c r="MJB104" s="18"/>
      <c r="MJC104" s="38"/>
      <c r="MJI104" s="36"/>
      <c r="MJJ104" s="18"/>
      <c r="MJK104" s="38"/>
      <c r="MJQ104" s="36"/>
      <c r="MJR104" s="18"/>
      <c r="MJS104" s="38"/>
      <c r="MJY104" s="36"/>
      <c r="MJZ104" s="18"/>
      <c r="MKA104" s="38"/>
      <c r="MKG104" s="36"/>
      <c r="MKH104" s="18"/>
      <c r="MKI104" s="38"/>
      <c r="MKO104" s="36"/>
      <c r="MKP104" s="18"/>
      <c r="MKQ104" s="38"/>
      <c r="MKW104" s="36"/>
      <c r="MKX104" s="18"/>
      <c r="MKY104" s="38"/>
      <c r="MLE104" s="36"/>
      <c r="MLF104" s="18"/>
      <c r="MLG104" s="38"/>
      <c r="MLM104" s="36"/>
      <c r="MLN104" s="18"/>
      <c r="MLO104" s="38"/>
      <c r="MLU104" s="36"/>
      <c r="MLV104" s="18"/>
      <c r="MLW104" s="38"/>
      <c r="MMC104" s="36"/>
      <c r="MMD104" s="18"/>
      <c r="MME104" s="38"/>
      <c r="MMK104" s="36"/>
      <c r="MML104" s="18"/>
      <c r="MMM104" s="38"/>
      <c r="MMS104" s="36"/>
      <c r="MMT104" s="18"/>
      <c r="MMU104" s="38"/>
      <c r="MNA104" s="36"/>
      <c r="MNB104" s="18"/>
      <c r="MNC104" s="38"/>
      <c r="MNI104" s="36"/>
      <c r="MNJ104" s="18"/>
      <c r="MNK104" s="38"/>
      <c r="MNQ104" s="36"/>
      <c r="MNR104" s="18"/>
      <c r="MNS104" s="38"/>
      <c r="MNY104" s="36"/>
      <c r="MNZ104" s="18"/>
      <c r="MOA104" s="38"/>
      <c r="MOG104" s="36"/>
      <c r="MOH104" s="18"/>
      <c r="MOI104" s="38"/>
      <c r="MOO104" s="36"/>
      <c r="MOP104" s="18"/>
      <c r="MOQ104" s="38"/>
      <c r="MOW104" s="36"/>
      <c r="MOX104" s="18"/>
      <c r="MOY104" s="38"/>
      <c r="MPE104" s="36"/>
      <c r="MPF104" s="18"/>
      <c r="MPG104" s="38"/>
      <c r="MPM104" s="36"/>
      <c r="MPN104" s="18"/>
      <c r="MPO104" s="38"/>
      <c r="MPU104" s="36"/>
      <c r="MPV104" s="18"/>
      <c r="MPW104" s="38"/>
      <c r="MQC104" s="36"/>
      <c r="MQD104" s="18"/>
      <c r="MQE104" s="38"/>
      <c r="MQK104" s="36"/>
      <c r="MQL104" s="18"/>
      <c r="MQM104" s="38"/>
      <c r="MQS104" s="36"/>
      <c r="MQT104" s="18"/>
      <c r="MQU104" s="38"/>
      <c r="MRA104" s="36"/>
      <c r="MRB104" s="18"/>
      <c r="MRC104" s="38"/>
      <c r="MRI104" s="36"/>
      <c r="MRJ104" s="18"/>
      <c r="MRK104" s="38"/>
      <c r="MRQ104" s="36"/>
      <c r="MRR104" s="18"/>
      <c r="MRS104" s="38"/>
      <c r="MRY104" s="36"/>
      <c r="MRZ104" s="18"/>
      <c r="MSA104" s="38"/>
      <c r="MSG104" s="36"/>
      <c r="MSH104" s="18"/>
      <c r="MSI104" s="38"/>
      <c r="MSO104" s="36"/>
      <c r="MSP104" s="18"/>
      <c r="MSQ104" s="38"/>
      <c r="MSW104" s="36"/>
      <c r="MSX104" s="18"/>
      <c r="MSY104" s="38"/>
      <c r="MTE104" s="36"/>
      <c r="MTF104" s="18"/>
      <c r="MTG104" s="38"/>
      <c r="MTM104" s="36"/>
      <c r="MTN104" s="18"/>
      <c r="MTO104" s="38"/>
      <c r="MTU104" s="36"/>
      <c r="MTV104" s="18"/>
      <c r="MTW104" s="38"/>
      <c r="MUC104" s="36"/>
      <c r="MUD104" s="18"/>
      <c r="MUE104" s="38"/>
      <c r="MUK104" s="36"/>
      <c r="MUL104" s="18"/>
      <c r="MUM104" s="38"/>
      <c r="MUS104" s="36"/>
      <c r="MUT104" s="18"/>
      <c r="MUU104" s="38"/>
      <c r="MVA104" s="36"/>
      <c r="MVB104" s="18"/>
      <c r="MVC104" s="38"/>
      <c r="MVI104" s="36"/>
      <c r="MVJ104" s="18"/>
      <c r="MVK104" s="38"/>
      <c r="MVQ104" s="36"/>
      <c r="MVR104" s="18"/>
      <c r="MVS104" s="38"/>
      <c r="MVY104" s="36"/>
      <c r="MVZ104" s="18"/>
      <c r="MWA104" s="38"/>
      <c r="MWG104" s="36"/>
      <c r="MWH104" s="18"/>
      <c r="MWI104" s="38"/>
      <c r="MWO104" s="36"/>
      <c r="MWP104" s="18"/>
      <c r="MWQ104" s="38"/>
      <c r="MWW104" s="36"/>
      <c r="MWX104" s="18"/>
      <c r="MWY104" s="38"/>
      <c r="MXE104" s="36"/>
      <c r="MXF104" s="18"/>
      <c r="MXG104" s="38"/>
      <c r="MXM104" s="36"/>
      <c r="MXN104" s="18"/>
      <c r="MXO104" s="38"/>
      <c r="MXU104" s="36"/>
      <c r="MXV104" s="18"/>
      <c r="MXW104" s="38"/>
      <c r="MYC104" s="36"/>
      <c r="MYD104" s="18"/>
      <c r="MYE104" s="38"/>
      <c r="MYK104" s="36"/>
      <c r="MYL104" s="18"/>
      <c r="MYM104" s="38"/>
      <c r="MYS104" s="36"/>
      <c r="MYT104" s="18"/>
      <c r="MYU104" s="38"/>
      <c r="MZA104" s="36"/>
      <c r="MZB104" s="18"/>
      <c r="MZC104" s="38"/>
      <c r="MZI104" s="36"/>
      <c r="MZJ104" s="18"/>
      <c r="MZK104" s="38"/>
      <c r="MZQ104" s="36"/>
      <c r="MZR104" s="18"/>
      <c r="MZS104" s="38"/>
      <c r="MZY104" s="36"/>
      <c r="MZZ104" s="18"/>
      <c r="NAA104" s="38"/>
      <c r="NAG104" s="36"/>
      <c r="NAH104" s="18"/>
      <c r="NAI104" s="38"/>
      <c r="NAO104" s="36"/>
      <c r="NAP104" s="18"/>
      <c r="NAQ104" s="38"/>
      <c r="NAW104" s="36"/>
      <c r="NAX104" s="18"/>
      <c r="NAY104" s="38"/>
      <c r="NBE104" s="36"/>
      <c r="NBF104" s="18"/>
      <c r="NBG104" s="38"/>
      <c r="NBM104" s="36"/>
      <c r="NBN104" s="18"/>
      <c r="NBO104" s="38"/>
      <c r="NBU104" s="36"/>
      <c r="NBV104" s="18"/>
      <c r="NBW104" s="38"/>
      <c r="NCC104" s="36"/>
      <c r="NCD104" s="18"/>
      <c r="NCE104" s="38"/>
      <c r="NCK104" s="36"/>
      <c r="NCL104" s="18"/>
      <c r="NCM104" s="38"/>
      <c r="NCS104" s="36"/>
      <c r="NCT104" s="18"/>
      <c r="NCU104" s="38"/>
      <c r="NDA104" s="36"/>
      <c r="NDB104" s="18"/>
      <c r="NDC104" s="38"/>
      <c r="NDI104" s="36"/>
      <c r="NDJ104" s="18"/>
      <c r="NDK104" s="38"/>
      <c r="NDQ104" s="36"/>
      <c r="NDR104" s="18"/>
      <c r="NDS104" s="38"/>
      <c r="NDY104" s="36"/>
      <c r="NDZ104" s="18"/>
      <c r="NEA104" s="38"/>
      <c r="NEG104" s="36"/>
      <c r="NEH104" s="18"/>
      <c r="NEI104" s="38"/>
      <c r="NEO104" s="36"/>
      <c r="NEP104" s="18"/>
      <c r="NEQ104" s="38"/>
      <c r="NEW104" s="36"/>
      <c r="NEX104" s="18"/>
      <c r="NEY104" s="38"/>
      <c r="NFE104" s="36"/>
      <c r="NFF104" s="18"/>
      <c r="NFG104" s="38"/>
      <c r="NFM104" s="36"/>
      <c r="NFN104" s="18"/>
      <c r="NFO104" s="38"/>
      <c r="NFU104" s="36"/>
      <c r="NFV104" s="18"/>
      <c r="NFW104" s="38"/>
      <c r="NGC104" s="36"/>
      <c r="NGD104" s="18"/>
      <c r="NGE104" s="38"/>
      <c r="NGK104" s="36"/>
      <c r="NGL104" s="18"/>
      <c r="NGM104" s="38"/>
      <c r="NGS104" s="36"/>
      <c r="NGT104" s="18"/>
      <c r="NGU104" s="38"/>
      <c r="NHA104" s="36"/>
      <c r="NHB104" s="18"/>
      <c r="NHC104" s="38"/>
      <c r="NHI104" s="36"/>
      <c r="NHJ104" s="18"/>
      <c r="NHK104" s="38"/>
      <c r="NHQ104" s="36"/>
      <c r="NHR104" s="18"/>
      <c r="NHS104" s="38"/>
      <c r="NHY104" s="36"/>
      <c r="NHZ104" s="18"/>
      <c r="NIA104" s="38"/>
      <c r="NIG104" s="36"/>
      <c r="NIH104" s="18"/>
      <c r="NII104" s="38"/>
      <c r="NIO104" s="36"/>
      <c r="NIP104" s="18"/>
      <c r="NIQ104" s="38"/>
      <c r="NIW104" s="36"/>
      <c r="NIX104" s="18"/>
      <c r="NIY104" s="38"/>
      <c r="NJE104" s="36"/>
      <c r="NJF104" s="18"/>
      <c r="NJG104" s="38"/>
      <c r="NJM104" s="36"/>
      <c r="NJN104" s="18"/>
      <c r="NJO104" s="38"/>
      <c r="NJU104" s="36"/>
      <c r="NJV104" s="18"/>
      <c r="NJW104" s="38"/>
      <c r="NKC104" s="36"/>
      <c r="NKD104" s="18"/>
      <c r="NKE104" s="38"/>
      <c r="NKK104" s="36"/>
      <c r="NKL104" s="18"/>
      <c r="NKM104" s="38"/>
      <c r="NKS104" s="36"/>
      <c r="NKT104" s="18"/>
      <c r="NKU104" s="38"/>
      <c r="NLA104" s="36"/>
      <c r="NLB104" s="18"/>
      <c r="NLC104" s="38"/>
      <c r="NLI104" s="36"/>
      <c r="NLJ104" s="18"/>
      <c r="NLK104" s="38"/>
      <c r="NLQ104" s="36"/>
      <c r="NLR104" s="18"/>
      <c r="NLS104" s="38"/>
      <c r="NLY104" s="36"/>
      <c r="NLZ104" s="18"/>
      <c r="NMA104" s="38"/>
      <c r="NMG104" s="36"/>
      <c r="NMH104" s="18"/>
      <c r="NMI104" s="38"/>
      <c r="NMO104" s="36"/>
      <c r="NMP104" s="18"/>
      <c r="NMQ104" s="38"/>
      <c r="NMW104" s="36"/>
      <c r="NMX104" s="18"/>
      <c r="NMY104" s="38"/>
      <c r="NNE104" s="36"/>
      <c r="NNF104" s="18"/>
      <c r="NNG104" s="38"/>
      <c r="NNM104" s="36"/>
      <c r="NNN104" s="18"/>
      <c r="NNO104" s="38"/>
      <c r="NNU104" s="36"/>
      <c r="NNV104" s="18"/>
      <c r="NNW104" s="38"/>
      <c r="NOC104" s="36"/>
      <c r="NOD104" s="18"/>
      <c r="NOE104" s="38"/>
      <c r="NOK104" s="36"/>
      <c r="NOL104" s="18"/>
      <c r="NOM104" s="38"/>
      <c r="NOS104" s="36"/>
      <c r="NOT104" s="18"/>
      <c r="NOU104" s="38"/>
      <c r="NPA104" s="36"/>
      <c r="NPB104" s="18"/>
      <c r="NPC104" s="38"/>
      <c r="NPI104" s="36"/>
      <c r="NPJ104" s="18"/>
      <c r="NPK104" s="38"/>
      <c r="NPQ104" s="36"/>
      <c r="NPR104" s="18"/>
      <c r="NPS104" s="38"/>
      <c r="NPY104" s="36"/>
      <c r="NPZ104" s="18"/>
      <c r="NQA104" s="38"/>
      <c r="NQG104" s="36"/>
      <c r="NQH104" s="18"/>
      <c r="NQI104" s="38"/>
      <c r="NQO104" s="36"/>
      <c r="NQP104" s="18"/>
      <c r="NQQ104" s="38"/>
      <c r="NQW104" s="36"/>
      <c r="NQX104" s="18"/>
      <c r="NQY104" s="38"/>
      <c r="NRE104" s="36"/>
      <c r="NRF104" s="18"/>
      <c r="NRG104" s="38"/>
      <c r="NRM104" s="36"/>
      <c r="NRN104" s="18"/>
      <c r="NRO104" s="38"/>
      <c r="NRU104" s="36"/>
      <c r="NRV104" s="18"/>
      <c r="NRW104" s="38"/>
      <c r="NSC104" s="36"/>
      <c r="NSD104" s="18"/>
      <c r="NSE104" s="38"/>
      <c r="NSK104" s="36"/>
      <c r="NSL104" s="18"/>
      <c r="NSM104" s="38"/>
      <c r="NSS104" s="36"/>
      <c r="NST104" s="18"/>
      <c r="NSU104" s="38"/>
      <c r="NTA104" s="36"/>
      <c r="NTB104" s="18"/>
      <c r="NTC104" s="38"/>
      <c r="NTI104" s="36"/>
      <c r="NTJ104" s="18"/>
      <c r="NTK104" s="38"/>
      <c r="NTQ104" s="36"/>
      <c r="NTR104" s="18"/>
      <c r="NTS104" s="38"/>
      <c r="NTY104" s="36"/>
      <c r="NTZ104" s="18"/>
      <c r="NUA104" s="38"/>
      <c r="NUG104" s="36"/>
      <c r="NUH104" s="18"/>
      <c r="NUI104" s="38"/>
      <c r="NUO104" s="36"/>
      <c r="NUP104" s="18"/>
      <c r="NUQ104" s="38"/>
      <c r="NUW104" s="36"/>
      <c r="NUX104" s="18"/>
      <c r="NUY104" s="38"/>
      <c r="NVE104" s="36"/>
      <c r="NVF104" s="18"/>
      <c r="NVG104" s="38"/>
      <c r="NVM104" s="36"/>
      <c r="NVN104" s="18"/>
      <c r="NVO104" s="38"/>
      <c r="NVU104" s="36"/>
      <c r="NVV104" s="18"/>
      <c r="NVW104" s="38"/>
      <c r="NWC104" s="36"/>
      <c r="NWD104" s="18"/>
      <c r="NWE104" s="38"/>
      <c r="NWK104" s="36"/>
      <c r="NWL104" s="18"/>
      <c r="NWM104" s="38"/>
      <c r="NWS104" s="36"/>
      <c r="NWT104" s="18"/>
      <c r="NWU104" s="38"/>
      <c r="NXA104" s="36"/>
      <c r="NXB104" s="18"/>
      <c r="NXC104" s="38"/>
      <c r="NXI104" s="36"/>
      <c r="NXJ104" s="18"/>
      <c r="NXK104" s="38"/>
      <c r="NXQ104" s="36"/>
      <c r="NXR104" s="18"/>
      <c r="NXS104" s="38"/>
      <c r="NXY104" s="36"/>
      <c r="NXZ104" s="18"/>
      <c r="NYA104" s="38"/>
      <c r="NYG104" s="36"/>
      <c r="NYH104" s="18"/>
      <c r="NYI104" s="38"/>
      <c r="NYO104" s="36"/>
      <c r="NYP104" s="18"/>
      <c r="NYQ104" s="38"/>
      <c r="NYW104" s="36"/>
      <c r="NYX104" s="18"/>
      <c r="NYY104" s="38"/>
      <c r="NZE104" s="36"/>
      <c r="NZF104" s="18"/>
      <c r="NZG104" s="38"/>
      <c r="NZM104" s="36"/>
      <c r="NZN104" s="18"/>
      <c r="NZO104" s="38"/>
      <c r="NZU104" s="36"/>
      <c r="NZV104" s="18"/>
      <c r="NZW104" s="38"/>
      <c r="OAC104" s="36"/>
      <c r="OAD104" s="18"/>
      <c r="OAE104" s="38"/>
      <c r="OAK104" s="36"/>
      <c r="OAL104" s="18"/>
      <c r="OAM104" s="38"/>
      <c r="OAS104" s="36"/>
      <c r="OAT104" s="18"/>
      <c r="OAU104" s="38"/>
      <c r="OBA104" s="36"/>
      <c r="OBB104" s="18"/>
      <c r="OBC104" s="38"/>
      <c r="OBI104" s="36"/>
      <c r="OBJ104" s="18"/>
      <c r="OBK104" s="38"/>
      <c r="OBQ104" s="36"/>
      <c r="OBR104" s="18"/>
      <c r="OBS104" s="38"/>
      <c r="OBY104" s="36"/>
      <c r="OBZ104" s="18"/>
      <c r="OCA104" s="38"/>
      <c r="OCG104" s="36"/>
      <c r="OCH104" s="18"/>
      <c r="OCI104" s="38"/>
      <c r="OCO104" s="36"/>
      <c r="OCP104" s="18"/>
      <c r="OCQ104" s="38"/>
      <c r="OCW104" s="36"/>
      <c r="OCX104" s="18"/>
      <c r="OCY104" s="38"/>
      <c r="ODE104" s="36"/>
      <c r="ODF104" s="18"/>
      <c r="ODG104" s="38"/>
      <c r="ODM104" s="36"/>
      <c r="ODN104" s="18"/>
      <c r="ODO104" s="38"/>
      <c r="ODU104" s="36"/>
      <c r="ODV104" s="18"/>
      <c r="ODW104" s="38"/>
      <c r="OEC104" s="36"/>
      <c r="OED104" s="18"/>
      <c r="OEE104" s="38"/>
      <c r="OEK104" s="36"/>
      <c r="OEL104" s="18"/>
      <c r="OEM104" s="38"/>
      <c r="OES104" s="36"/>
      <c r="OET104" s="18"/>
      <c r="OEU104" s="38"/>
      <c r="OFA104" s="36"/>
      <c r="OFB104" s="18"/>
      <c r="OFC104" s="38"/>
      <c r="OFI104" s="36"/>
      <c r="OFJ104" s="18"/>
      <c r="OFK104" s="38"/>
      <c r="OFQ104" s="36"/>
      <c r="OFR104" s="18"/>
      <c r="OFS104" s="38"/>
      <c r="OFY104" s="36"/>
      <c r="OFZ104" s="18"/>
      <c r="OGA104" s="38"/>
      <c r="OGG104" s="36"/>
      <c r="OGH104" s="18"/>
      <c r="OGI104" s="38"/>
      <c r="OGO104" s="36"/>
      <c r="OGP104" s="18"/>
      <c r="OGQ104" s="38"/>
      <c r="OGW104" s="36"/>
      <c r="OGX104" s="18"/>
      <c r="OGY104" s="38"/>
      <c r="OHE104" s="36"/>
      <c r="OHF104" s="18"/>
      <c r="OHG104" s="38"/>
      <c r="OHM104" s="36"/>
      <c r="OHN104" s="18"/>
      <c r="OHO104" s="38"/>
      <c r="OHU104" s="36"/>
      <c r="OHV104" s="18"/>
      <c r="OHW104" s="38"/>
      <c r="OIC104" s="36"/>
      <c r="OID104" s="18"/>
      <c r="OIE104" s="38"/>
      <c r="OIK104" s="36"/>
      <c r="OIL104" s="18"/>
      <c r="OIM104" s="38"/>
      <c r="OIS104" s="36"/>
      <c r="OIT104" s="18"/>
      <c r="OIU104" s="38"/>
      <c r="OJA104" s="36"/>
      <c r="OJB104" s="18"/>
      <c r="OJC104" s="38"/>
      <c r="OJI104" s="36"/>
      <c r="OJJ104" s="18"/>
      <c r="OJK104" s="38"/>
      <c r="OJQ104" s="36"/>
      <c r="OJR104" s="18"/>
      <c r="OJS104" s="38"/>
      <c r="OJY104" s="36"/>
      <c r="OJZ104" s="18"/>
      <c r="OKA104" s="38"/>
      <c r="OKG104" s="36"/>
      <c r="OKH104" s="18"/>
      <c r="OKI104" s="38"/>
      <c r="OKO104" s="36"/>
      <c r="OKP104" s="18"/>
      <c r="OKQ104" s="38"/>
      <c r="OKW104" s="36"/>
      <c r="OKX104" s="18"/>
      <c r="OKY104" s="38"/>
      <c r="OLE104" s="36"/>
      <c r="OLF104" s="18"/>
      <c r="OLG104" s="38"/>
      <c r="OLM104" s="36"/>
      <c r="OLN104" s="18"/>
      <c r="OLO104" s="38"/>
      <c r="OLU104" s="36"/>
      <c r="OLV104" s="18"/>
      <c r="OLW104" s="38"/>
      <c r="OMC104" s="36"/>
      <c r="OMD104" s="18"/>
      <c r="OME104" s="38"/>
      <c r="OMK104" s="36"/>
      <c r="OML104" s="18"/>
      <c r="OMM104" s="38"/>
      <c r="OMS104" s="36"/>
      <c r="OMT104" s="18"/>
      <c r="OMU104" s="38"/>
      <c r="ONA104" s="36"/>
      <c r="ONB104" s="18"/>
      <c r="ONC104" s="38"/>
      <c r="ONI104" s="36"/>
      <c r="ONJ104" s="18"/>
      <c r="ONK104" s="38"/>
      <c r="ONQ104" s="36"/>
      <c r="ONR104" s="18"/>
      <c r="ONS104" s="38"/>
      <c r="ONY104" s="36"/>
      <c r="ONZ104" s="18"/>
      <c r="OOA104" s="38"/>
      <c r="OOG104" s="36"/>
      <c r="OOH104" s="18"/>
      <c r="OOI104" s="38"/>
      <c r="OOO104" s="36"/>
      <c r="OOP104" s="18"/>
      <c r="OOQ104" s="38"/>
      <c r="OOW104" s="36"/>
      <c r="OOX104" s="18"/>
      <c r="OOY104" s="38"/>
      <c r="OPE104" s="36"/>
      <c r="OPF104" s="18"/>
      <c r="OPG104" s="38"/>
      <c r="OPM104" s="36"/>
      <c r="OPN104" s="18"/>
      <c r="OPO104" s="38"/>
      <c r="OPU104" s="36"/>
      <c r="OPV104" s="18"/>
      <c r="OPW104" s="38"/>
      <c r="OQC104" s="36"/>
      <c r="OQD104" s="18"/>
      <c r="OQE104" s="38"/>
      <c r="OQK104" s="36"/>
      <c r="OQL104" s="18"/>
      <c r="OQM104" s="38"/>
      <c r="OQS104" s="36"/>
      <c r="OQT104" s="18"/>
      <c r="OQU104" s="38"/>
      <c r="ORA104" s="36"/>
      <c r="ORB104" s="18"/>
      <c r="ORC104" s="38"/>
      <c r="ORI104" s="36"/>
      <c r="ORJ104" s="18"/>
      <c r="ORK104" s="38"/>
      <c r="ORQ104" s="36"/>
      <c r="ORR104" s="18"/>
      <c r="ORS104" s="38"/>
      <c r="ORY104" s="36"/>
      <c r="ORZ104" s="18"/>
      <c r="OSA104" s="38"/>
      <c r="OSG104" s="36"/>
      <c r="OSH104" s="18"/>
      <c r="OSI104" s="38"/>
      <c r="OSO104" s="36"/>
      <c r="OSP104" s="18"/>
      <c r="OSQ104" s="38"/>
      <c r="OSW104" s="36"/>
      <c r="OSX104" s="18"/>
      <c r="OSY104" s="38"/>
      <c r="OTE104" s="36"/>
      <c r="OTF104" s="18"/>
      <c r="OTG104" s="38"/>
      <c r="OTM104" s="36"/>
      <c r="OTN104" s="18"/>
      <c r="OTO104" s="38"/>
      <c r="OTU104" s="36"/>
      <c r="OTV104" s="18"/>
      <c r="OTW104" s="38"/>
      <c r="OUC104" s="36"/>
      <c r="OUD104" s="18"/>
      <c r="OUE104" s="38"/>
      <c r="OUK104" s="36"/>
      <c r="OUL104" s="18"/>
      <c r="OUM104" s="38"/>
      <c r="OUS104" s="36"/>
      <c r="OUT104" s="18"/>
      <c r="OUU104" s="38"/>
      <c r="OVA104" s="36"/>
      <c r="OVB104" s="18"/>
      <c r="OVC104" s="38"/>
      <c r="OVI104" s="36"/>
      <c r="OVJ104" s="18"/>
      <c r="OVK104" s="38"/>
      <c r="OVQ104" s="36"/>
      <c r="OVR104" s="18"/>
      <c r="OVS104" s="38"/>
      <c r="OVY104" s="36"/>
      <c r="OVZ104" s="18"/>
      <c r="OWA104" s="38"/>
      <c r="OWG104" s="36"/>
      <c r="OWH104" s="18"/>
      <c r="OWI104" s="38"/>
      <c r="OWO104" s="36"/>
      <c r="OWP104" s="18"/>
      <c r="OWQ104" s="38"/>
      <c r="OWW104" s="36"/>
      <c r="OWX104" s="18"/>
      <c r="OWY104" s="38"/>
      <c r="OXE104" s="36"/>
      <c r="OXF104" s="18"/>
      <c r="OXG104" s="38"/>
      <c r="OXM104" s="36"/>
      <c r="OXN104" s="18"/>
      <c r="OXO104" s="38"/>
      <c r="OXU104" s="36"/>
      <c r="OXV104" s="18"/>
      <c r="OXW104" s="38"/>
      <c r="OYC104" s="36"/>
      <c r="OYD104" s="18"/>
      <c r="OYE104" s="38"/>
      <c r="OYK104" s="36"/>
      <c r="OYL104" s="18"/>
      <c r="OYM104" s="38"/>
      <c r="OYS104" s="36"/>
      <c r="OYT104" s="18"/>
      <c r="OYU104" s="38"/>
      <c r="OZA104" s="36"/>
      <c r="OZB104" s="18"/>
      <c r="OZC104" s="38"/>
      <c r="OZI104" s="36"/>
      <c r="OZJ104" s="18"/>
      <c r="OZK104" s="38"/>
      <c r="OZQ104" s="36"/>
      <c r="OZR104" s="18"/>
      <c r="OZS104" s="38"/>
      <c r="OZY104" s="36"/>
      <c r="OZZ104" s="18"/>
      <c r="PAA104" s="38"/>
      <c r="PAG104" s="36"/>
      <c r="PAH104" s="18"/>
      <c r="PAI104" s="38"/>
      <c r="PAO104" s="36"/>
      <c r="PAP104" s="18"/>
      <c r="PAQ104" s="38"/>
      <c r="PAW104" s="36"/>
      <c r="PAX104" s="18"/>
      <c r="PAY104" s="38"/>
      <c r="PBE104" s="36"/>
      <c r="PBF104" s="18"/>
      <c r="PBG104" s="38"/>
      <c r="PBM104" s="36"/>
      <c r="PBN104" s="18"/>
      <c r="PBO104" s="38"/>
      <c r="PBU104" s="36"/>
      <c r="PBV104" s="18"/>
      <c r="PBW104" s="38"/>
      <c r="PCC104" s="36"/>
      <c r="PCD104" s="18"/>
      <c r="PCE104" s="38"/>
      <c r="PCK104" s="36"/>
      <c r="PCL104" s="18"/>
      <c r="PCM104" s="38"/>
      <c r="PCS104" s="36"/>
      <c r="PCT104" s="18"/>
      <c r="PCU104" s="38"/>
      <c r="PDA104" s="36"/>
      <c r="PDB104" s="18"/>
      <c r="PDC104" s="38"/>
      <c r="PDI104" s="36"/>
      <c r="PDJ104" s="18"/>
      <c r="PDK104" s="38"/>
      <c r="PDQ104" s="36"/>
      <c r="PDR104" s="18"/>
      <c r="PDS104" s="38"/>
      <c r="PDY104" s="36"/>
      <c r="PDZ104" s="18"/>
      <c r="PEA104" s="38"/>
      <c r="PEG104" s="36"/>
      <c r="PEH104" s="18"/>
      <c r="PEI104" s="38"/>
      <c r="PEO104" s="36"/>
      <c r="PEP104" s="18"/>
      <c r="PEQ104" s="38"/>
      <c r="PEW104" s="36"/>
      <c r="PEX104" s="18"/>
      <c r="PEY104" s="38"/>
      <c r="PFE104" s="36"/>
      <c r="PFF104" s="18"/>
      <c r="PFG104" s="38"/>
      <c r="PFM104" s="36"/>
      <c r="PFN104" s="18"/>
      <c r="PFO104" s="38"/>
      <c r="PFU104" s="36"/>
      <c r="PFV104" s="18"/>
      <c r="PFW104" s="38"/>
      <c r="PGC104" s="36"/>
      <c r="PGD104" s="18"/>
      <c r="PGE104" s="38"/>
      <c r="PGK104" s="36"/>
      <c r="PGL104" s="18"/>
      <c r="PGM104" s="38"/>
      <c r="PGS104" s="36"/>
      <c r="PGT104" s="18"/>
      <c r="PGU104" s="38"/>
      <c r="PHA104" s="36"/>
      <c r="PHB104" s="18"/>
      <c r="PHC104" s="38"/>
      <c r="PHI104" s="36"/>
      <c r="PHJ104" s="18"/>
      <c r="PHK104" s="38"/>
      <c r="PHQ104" s="36"/>
      <c r="PHR104" s="18"/>
      <c r="PHS104" s="38"/>
      <c r="PHY104" s="36"/>
      <c r="PHZ104" s="18"/>
      <c r="PIA104" s="38"/>
      <c r="PIG104" s="36"/>
      <c r="PIH104" s="18"/>
      <c r="PII104" s="38"/>
      <c r="PIO104" s="36"/>
      <c r="PIP104" s="18"/>
      <c r="PIQ104" s="38"/>
      <c r="PIW104" s="36"/>
      <c r="PIX104" s="18"/>
      <c r="PIY104" s="38"/>
      <c r="PJE104" s="36"/>
      <c r="PJF104" s="18"/>
      <c r="PJG104" s="38"/>
      <c r="PJM104" s="36"/>
      <c r="PJN104" s="18"/>
      <c r="PJO104" s="38"/>
      <c r="PJU104" s="36"/>
      <c r="PJV104" s="18"/>
      <c r="PJW104" s="38"/>
      <c r="PKC104" s="36"/>
      <c r="PKD104" s="18"/>
      <c r="PKE104" s="38"/>
      <c r="PKK104" s="36"/>
      <c r="PKL104" s="18"/>
      <c r="PKM104" s="38"/>
      <c r="PKS104" s="36"/>
      <c r="PKT104" s="18"/>
      <c r="PKU104" s="38"/>
      <c r="PLA104" s="36"/>
      <c r="PLB104" s="18"/>
      <c r="PLC104" s="38"/>
      <c r="PLI104" s="36"/>
      <c r="PLJ104" s="18"/>
      <c r="PLK104" s="38"/>
      <c r="PLQ104" s="36"/>
      <c r="PLR104" s="18"/>
      <c r="PLS104" s="38"/>
      <c r="PLY104" s="36"/>
      <c r="PLZ104" s="18"/>
      <c r="PMA104" s="38"/>
      <c r="PMG104" s="36"/>
      <c r="PMH104" s="18"/>
      <c r="PMI104" s="38"/>
      <c r="PMO104" s="36"/>
      <c r="PMP104" s="18"/>
      <c r="PMQ104" s="38"/>
      <c r="PMW104" s="36"/>
      <c r="PMX104" s="18"/>
      <c r="PMY104" s="38"/>
      <c r="PNE104" s="36"/>
      <c r="PNF104" s="18"/>
      <c r="PNG104" s="38"/>
      <c r="PNM104" s="36"/>
      <c r="PNN104" s="18"/>
      <c r="PNO104" s="38"/>
      <c r="PNU104" s="36"/>
      <c r="PNV104" s="18"/>
      <c r="PNW104" s="38"/>
      <c r="POC104" s="36"/>
      <c r="POD104" s="18"/>
      <c r="POE104" s="38"/>
      <c r="POK104" s="36"/>
      <c r="POL104" s="18"/>
      <c r="POM104" s="38"/>
      <c r="POS104" s="36"/>
      <c r="POT104" s="18"/>
      <c r="POU104" s="38"/>
      <c r="PPA104" s="36"/>
      <c r="PPB104" s="18"/>
      <c r="PPC104" s="38"/>
      <c r="PPI104" s="36"/>
      <c r="PPJ104" s="18"/>
      <c r="PPK104" s="38"/>
      <c r="PPQ104" s="36"/>
      <c r="PPR104" s="18"/>
      <c r="PPS104" s="38"/>
      <c r="PPY104" s="36"/>
      <c r="PPZ104" s="18"/>
      <c r="PQA104" s="38"/>
      <c r="PQG104" s="36"/>
      <c r="PQH104" s="18"/>
      <c r="PQI104" s="38"/>
      <c r="PQO104" s="36"/>
      <c r="PQP104" s="18"/>
      <c r="PQQ104" s="38"/>
      <c r="PQW104" s="36"/>
      <c r="PQX104" s="18"/>
      <c r="PQY104" s="38"/>
      <c r="PRE104" s="36"/>
      <c r="PRF104" s="18"/>
      <c r="PRG104" s="38"/>
      <c r="PRM104" s="36"/>
      <c r="PRN104" s="18"/>
      <c r="PRO104" s="38"/>
      <c r="PRU104" s="36"/>
      <c r="PRV104" s="18"/>
      <c r="PRW104" s="38"/>
      <c r="PSC104" s="36"/>
      <c r="PSD104" s="18"/>
      <c r="PSE104" s="38"/>
      <c r="PSK104" s="36"/>
      <c r="PSL104" s="18"/>
      <c r="PSM104" s="38"/>
      <c r="PSS104" s="36"/>
      <c r="PST104" s="18"/>
      <c r="PSU104" s="38"/>
      <c r="PTA104" s="36"/>
      <c r="PTB104" s="18"/>
      <c r="PTC104" s="38"/>
      <c r="PTI104" s="36"/>
      <c r="PTJ104" s="18"/>
      <c r="PTK104" s="38"/>
      <c r="PTQ104" s="36"/>
      <c r="PTR104" s="18"/>
      <c r="PTS104" s="38"/>
      <c r="PTY104" s="36"/>
      <c r="PTZ104" s="18"/>
      <c r="PUA104" s="38"/>
      <c r="PUG104" s="36"/>
      <c r="PUH104" s="18"/>
      <c r="PUI104" s="38"/>
      <c r="PUO104" s="36"/>
      <c r="PUP104" s="18"/>
      <c r="PUQ104" s="38"/>
      <c r="PUW104" s="36"/>
      <c r="PUX104" s="18"/>
      <c r="PUY104" s="38"/>
      <c r="PVE104" s="36"/>
      <c r="PVF104" s="18"/>
      <c r="PVG104" s="38"/>
      <c r="PVM104" s="36"/>
      <c r="PVN104" s="18"/>
      <c r="PVO104" s="38"/>
      <c r="PVU104" s="36"/>
      <c r="PVV104" s="18"/>
      <c r="PVW104" s="38"/>
      <c r="PWC104" s="36"/>
      <c r="PWD104" s="18"/>
      <c r="PWE104" s="38"/>
      <c r="PWK104" s="36"/>
      <c r="PWL104" s="18"/>
      <c r="PWM104" s="38"/>
      <c r="PWS104" s="36"/>
      <c r="PWT104" s="18"/>
      <c r="PWU104" s="38"/>
      <c r="PXA104" s="36"/>
      <c r="PXB104" s="18"/>
      <c r="PXC104" s="38"/>
      <c r="PXI104" s="36"/>
      <c r="PXJ104" s="18"/>
      <c r="PXK104" s="38"/>
      <c r="PXQ104" s="36"/>
      <c r="PXR104" s="18"/>
      <c r="PXS104" s="38"/>
      <c r="PXY104" s="36"/>
      <c r="PXZ104" s="18"/>
      <c r="PYA104" s="38"/>
      <c r="PYG104" s="36"/>
      <c r="PYH104" s="18"/>
      <c r="PYI104" s="38"/>
      <c r="PYO104" s="36"/>
      <c r="PYP104" s="18"/>
      <c r="PYQ104" s="38"/>
      <c r="PYW104" s="36"/>
      <c r="PYX104" s="18"/>
      <c r="PYY104" s="38"/>
      <c r="PZE104" s="36"/>
      <c r="PZF104" s="18"/>
      <c r="PZG104" s="38"/>
      <c r="PZM104" s="36"/>
      <c r="PZN104" s="18"/>
      <c r="PZO104" s="38"/>
      <c r="PZU104" s="36"/>
      <c r="PZV104" s="18"/>
      <c r="PZW104" s="38"/>
      <c r="QAC104" s="36"/>
      <c r="QAD104" s="18"/>
      <c r="QAE104" s="38"/>
      <c r="QAK104" s="36"/>
      <c r="QAL104" s="18"/>
      <c r="QAM104" s="38"/>
      <c r="QAS104" s="36"/>
      <c r="QAT104" s="18"/>
      <c r="QAU104" s="38"/>
      <c r="QBA104" s="36"/>
      <c r="QBB104" s="18"/>
      <c r="QBC104" s="38"/>
      <c r="QBI104" s="36"/>
      <c r="QBJ104" s="18"/>
      <c r="QBK104" s="38"/>
      <c r="QBQ104" s="36"/>
      <c r="QBR104" s="18"/>
      <c r="QBS104" s="38"/>
      <c r="QBY104" s="36"/>
      <c r="QBZ104" s="18"/>
      <c r="QCA104" s="38"/>
      <c r="QCG104" s="36"/>
      <c r="QCH104" s="18"/>
      <c r="QCI104" s="38"/>
      <c r="QCO104" s="36"/>
      <c r="QCP104" s="18"/>
      <c r="QCQ104" s="38"/>
      <c r="QCW104" s="36"/>
      <c r="QCX104" s="18"/>
      <c r="QCY104" s="38"/>
      <c r="QDE104" s="36"/>
      <c r="QDF104" s="18"/>
      <c r="QDG104" s="38"/>
      <c r="QDM104" s="36"/>
      <c r="QDN104" s="18"/>
      <c r="QDO104" s="38"/>
      <c r="QDU104" s="36"/>
      <c r="QDV104" s="18"/>
      <c r="QDW104" s="38"/>
      <c r="QEC104" s="36"/>
      <c r="QED104" s="18"/>
      <c r="QEE104" s="38"/>
      <c r="QEK104" s="36"/>
      <c r="QEL104" s="18"/>
      <c r="QEM104" s="38"/>
      <c r="QES104" s="36"/>
      <c r="QET104" s="18"/>
      <c r="QEU104" s="38"/>
      <c r="QFA104" s="36"/>
      <c r="QFB104" s="18"/>
      <c r="QFC104" s="38"/>
      <c r="QFI104" s="36"/>
      <c r="QFJ104" s="18"/>
      <c r="QFK104" s="38"/>
      <c r="QFQ104" s="36"/>
      <c r="QFR104" s="18"/>
      <c r="QFS104" s="38"/>
      <c r="QFY104" s="36"/>
      <c r="QFZ104" s="18"/>
      <c r="QGA104" s="38"/>
      <c r="QGG104" s="36"/>
      <c r="QGH104" s="18"/>
      <c r="QGI104" s="38"/>
      <c r="QGO104" s="36"/>
      <c r="QGP104" s="18"/>
      <c r="QGQ104" s="38"/>
      <c r="QGW104" s="36"/>
      <c r="QGX104" s="18"/>
      <c r="QGY104" s="38"/>
      <c r="QHE104" s="36"/>
      <c r="QHF104" s="18"/>
      <c r="QHG104" s="38"/>
      <c r="QHM104" s="36"/>
      <c r="QHN104" s="18"/>
      <c r="QHO104" s="38"/>
      <c r="QHU104" s="36"/>
      <c r="QHV104" s="18"/>
      <c r="QHW104" s="38"/>
      <c r="QIC104" s="36"/>
      <c r="QID104" s="18"/>
      <c r="QIE104" s="38"/>
      <c r="QIK104" s="36"/>
      <c r="QIL104" s="18"/>
      <c r="QIM104" s="38"/>
      <c r="QIS104" s="36"/>
      <c r="QIT104" s="18"/>
      <c r="QIU104" s="38"/>
      <c r="QJA104" s="36"/>
      <c r="QJB104" s="18"/>
      <c r="QJC104" s="38"/>
      <c r="QJI104" s="36"/>
      <c r="QJJ104" s="18"/>
      <c r="QJK104" s="38"/>
      <c r="QJQ104" s="36"/>
      <c r="QJR104" s="18"/>
      <c r="QJS104" s="38"/>
      <c r="QJY104" s="36"/>
      <c r="QJZ104" s="18"/>
      <c r="QKA104" s="38"/>
      <c r="QKG104" s="36"/>
      <c r="QKH104" s="18"/>
      <c r="QKI104" s="38"/>
      <c r="QKO104" s="36"/>
      <c r="QKP104" s="18"/>
      <c r="QKQ104" s="38"/>
      <c r="QKW104" s="36"/>
      <c r="QKX104" s="18"/>
      <c r="QKY104" s="38"/>
      <c r="QLE104" s="36"/>
      <c r="QLF104" s="18"/>
      <c r="QLG104" s="38"/>
      <c r="QLM104" s="36"/>
      <c r="QLN104" s="18"/>
      <c r="QLO104" s="38"/>
      <c r="QLU104" s="36"/>
      <c r="QLV104" s="18"/>
      <c r="QLW104" s="38"/>
      <c r="QMC104" s="36"/>
      <c r="QMD104" s="18"/>
      <c r="QME104" s="38"/>
      <c r="QMK104" s="36"/>
      <c r="QML104" s="18"/>
      <c r="QMM104" s="38"/>
      <c r="QMS104" s="36"/>
      <c r="QMT104" s="18"/>
      <c r="QMU104" s="38"/>
      <c r="QNA104" s="36"/>
      <c r="QNB104" s="18"/>
      <c r="QNC104" s="38"/>
      <c r="QNI104" s="36"/>
      <c r="QNJ104" s="18"/>
      <c r="QNK104" s="38"/>
      <c r="QNQ104" s="36"/>
      <c r="QNR104" s="18"/>
      <c r="QNS104" s="38"/>
      <c r="QNY104" s="36"/>
      <c r="QNZ104" s="18"/>
      <c r="QOA104" s="38"/>
      <c r="QOG104" s="36"/>
      <c r="QOH104" s="18"/>
      <c r="QOI104" s="38"/>
      <c r="QOO104" s="36"/>
      <c r="QOP104" s="18"/>
      <c r="QOQ104" s="38"/>
      <c r="QOW104" s="36"/>
      <c r="QOX104" s="18"/>
      <c r="QOY104" s="38"/>
      <c r="QPE104" s="36"/>
      <c r="QPF104" s="18"/>
      <c r="QPG104" s="38"/>
      <c r="QPM104" s="36"/>
      <c r="QPN104" s="18"/>
      <c r="QPO104" s="38"/>
      <c r="QPU104" s="36"/>
      <c r="QPV104" s="18"/>
      <c r="QPW104" s="38"/>
      <c r="QQC104" s="36"/>
      <c r="QQD104" s="18"/>
      <c r="QQE104" s="38"/>
      <c r="QQK104" s="36"/>
      <c r="QQL104" s="18"/>
      <c r="QQM104" s="38"/>
      <c r="QQS104" s="36"/>
      <c r="QQT104" s="18"/>
      <c r="QQU104" s="38"/>
      <c r="QRA104" s="36"/>
      <c r="QRB104" s="18"/>
      <c r="QRC104" s="38"/>
      <c r="QRI104" s="36"/>
      <c r="QRJ104" s="18"/>
      <c r="QRK104" s="38"/>
      <c r="QRQ104" s="36"/>
      <c r="QRR104" s="18"/>
      <c r="QRS104" s="38"/>
      <c r="QRY104" s="36"/>
      <c r="QRZ104" s="18"/>
      <c r="QSA104" s="38"/>
      <c r="QSG104" s="36"/>
      <c r="QSH104" s="18"/>
      <c r="QSI104" s="38"/>
      <c r="QSO104" s="36"/>
      <c r="QSP104" s="18"/>
      <c r="QSQ104" s="38"/>
      <c r="QSW104" s="36"/>
      <c r="QSX104" s="18"/>
      <c r="QSY104" s="38"/>
      <c r="QTE104" s="36"/>
      <c r="QTF104" s="18"/>
      <c r="QTG104" s="38"/>
      <c r="QTM104" s="36"/>
      <c r="QTN104" s="18"/>
      <c r="QTO104" s="38"/>
      <c r="QTU104" s="36"/>
      <c r="QTV104" s="18"/>
      <c r="QTW104" s="38"/>
      <c r="QUC104" s="36"/>
      <c r="QUD104" s="18"/>
      <c r="QUE104" s="38"/>
      <c r="QUK104" s="36"/>
      <c r="QUL104" s="18"/>
      <c r="QUM104" s="38"/>
      <c r="QUS104" s="36"/>
      <c r="QUT104" s="18"/>
      <c r="QUU104" s="38"/>
      <c r="QVA104" s="36"/>
      <c r="QVB104" s="18"/>
      <c r="QVC104" s="38"/>
      <c r="QVI104" s="36"/>
      <c r="QVJ104" s="18"/>
      <c r="QVK104" s="38"/>
      <c r="QVQ104" s="36"/>
      <c r="QVR104" s="18"/>
      <c r="QVS104" s="38"/>
      <c r="QVY104" s="36"/>
      <c r="QVZ104" s="18"/>
      <c r="QWA104" s="38"/>
      <c r="QWG104" s="36"/>
      <c r="QWH104" s="18"/>
      <c r="QWI104" s="38"/>
      <c r="QWO104" s="36"/>
      <c r="QWP104" s="18"/>
      <c r="QWQ104" s="38"/>
      <c r="QWW104" s="36"/>
      <c r="QWX104" s="18"/>
      <c r="QWY104" s="38"/>
      <c r="QXE104" s="36"/>
      <c r="QXF104" s="18"/>
      <c r="QXG104" s="38"/>
      <c r="QXM104" s="36"/>
      <c r="QXN104" s="18"/>
      <c r="QXO104" s="38"/>
      <c r="QXU104" s="36"/>
      <c r="QXV104" s="18"/>
      <c r="QXW104" s="38"/>
      <c r="QYC104" s="36"/>
      <c r="QYD104" s="18"/>
      <c r="QYE104" s="38"/>
      <c r="QYK104" s="36"/>
      <c r="QYL104" s="18"/>
      <c r="QYM104" s="38"/>
      <c r="QYS104" s="36"/>
      <c r="QYT104" s="18"/>
      <c r="QYU104" s="38"/>
      <c r="QZA104" s="36"/>
      <c r="QZB104" s="18"/>
      <c r="QZC104" s="38"/>
      <c r="QZI104" s="36"/>
      <c r="QZJ104" s="18"/>
      <c r="QZK104" s="38"/>
      <c r="QZQ104" s="36"/>
      <c r="QZR104" s="18"/>
      <c r="QZS104" s="38"/>
      <c r="QZY104" s="36"/>
      <c r="QZZ104" s="18"/>
      <c r="RAA104" s="38"/>
      <c r="RAG104" s="36"/>
      <c r="RAH104" s="18"/>
      <c r="RAI104" s="38"/>
      <c r="RAO104" s="36"/>
      <c r="RAP104" s="18"/>
      <c r="RAQ104" s="38"/>
      <c r="RAW104" s="36"/>
      <c r="RAX104" s="18"/>
      <c r="RAY104" s="38"/>
      <c r="RBE104" s="36"/>
      <c r="RBF104" s="18"/>
      <c r="RBG104" s="38"/>
      <c r="RBM104" s="36"/>
      <c r="RBN104" s="18"/>
      <c r="RBO104" s="38"/>
      <c r="RBU104" s="36"/>
      <c r="RBV104" s="18"/>
      <c r="RBW104" s="38"/>
      <c r="RCC104" s="36"/>
      <c r="RCD104" s="18"/>
      <c r="RCE104" s="38"/>
      <c r="RCK104" s="36"/>
      <c r="RCL104" s="18"/>
      <c r="RCM104" s="38"/>
      <c r="RCS104" s="36"/>
      <c r="RCT104" s="18"/>
      <c r="RCU104" s="38"/>
      <c r="RDA104" s="36"/>
      <c r="RDB104" s="18"/>
      <c r="RDC104" s="38"/>
      <c r="RDI104" s="36"/>
      <c r="RDJ104" s="18"/>
      <c r="RDK104" s="38"/>
      <c r="RDQ104" s="36"/>
      <c r="RDR104" s="18"/>
      <c r="RDS104" s="38"/>
      <c r="RDY104" s="36"/>
      <c r="RDZ104" s="18"/>
      <c r="REA104" s="38"/>
      <c r="REG104" s="36"/>
      <c r="REH104" s="18"/>
      <c r="REI104" s="38"/>
      <c r="REO104" s="36"/>
      <c r="REP104" s="18"/>
      <c r="REQ104" s="38"/>
      <c r="REW104" s="36"/>
      <c r="REX104" s="18"/>
      <c r="REY104" s="38"/>
      <c r="RFE104" s="36"/>
      <c r="RFF104" s="18"/>
      <c r="RFG104" s="38"/>
      <c r="RFM104" s="36"/>
      <c r="RFN104" s="18"/>
      <c r="RFO104" s="38"/>
      <c r="RFU104" s="36"/>
      <c r="RFV104" s="18"/>
      <c r="RFW104" s="38"/>
      <c r="RGC104" s="36"/>
      <c r="RGD104" s="18"/>
      <c r="RGE104" s="38"/>
      <c r="RGK104" s="36"/>
      <c r="RGL104" s="18"/>
      <c r="RGM104" s="38"/>
      <c r="RGS104" s="36"/>
      <c r="RGT104" s="18"/>
      <c r="RGU104" s="38"/>
      <c r="RHA104" s="36"/>
      <c r="RHB104" s="18"/>
      <c r="RHC104" s="38"/>
      <c r="RHI104" s="36"/>
      <c r="RHJ104" s="18"/>
      <c r="RHK104" s="38"/>
      <c r="RHQ104" s="36"/>
      <c r="RHR104" s="18"/>
      <c r="RHS104" s="38"/>
      <c r="RHY104" s="36"/>
      <c r="RHZ104" s="18"/>
      <c r="RIA104" s="38"/>
      <c r="RIG104" s="36"/>
      <c r="RIH104" s="18"/>
      <c r="RII104" s="38"/>
      <c r="RIO104" s="36"/>
      <c r="RIP104" s="18"/>
      <c r="RIQ104" s="38"/>
      <c r="RIW104" s="36"/>
      <c r="RIX104" s="18"/>
      <c r="RIY104" s="38"/>
      <c r="RJE104" s="36"/>
      <c r="RJF104" s="18"/>
      <c r="RJG104" s="38"/>
      <c r="RJM104" s="36"/>
      <c r="RJN104" s="18"/>
      <c r="RJO104" s="38"/>
      <c r="RJU104" s="36"/>
      <c r="RJV104" s="18"/>
      <c r="RJW104" s="38"/>
      <c r="RKC104" s="36"/>
      <c r="RKD104" s="18"/>
      <c r="RKE104" s="38"/>
      <c r="RKK104" s="36"/>
      <c r="RKL104" s="18"/>
      <c r="RKM104" s="38"/>
      <c r="RKS104" s="36"/>
      <c r="RKT104" s="18"/>
      <c r="RKU104" s="38"/>
      <c r="RLA104" s="36"/>
      <c r="RLB104" s="18"/>
      <c r="RLC104" s="38"/>
      <c r="RLI104" s="36"/>
      <c r="RLJ104" s="18"/>
      <c r="RLK104" s="38"/>
      <c r="RLQ104" s="36"/>
      <c r="RLR104" s="18"/>
      <c r="RLS104" s="38"/>
      <c r="RLY104" s="36"/>
      <c r="RLZ104" s="18"/>
      <c r="RMA104" s="38"/>
      <c r="RMG104" s="36"/>
      <c r="RMH104" s="18"/>
      <c r="RMI104" s="38"/>
      <c r="RMO104" s="36"/>
      <c r="RMP104" s="18"/>
      <c r="RMQ104" s="38"/>
      <c r="RMW104" s="36"/>
      <c r="RMX104" s="18"/>
      <c r="RMY104" s="38"/>
      <c r="RNE104" s="36"/>
      <c r="RNF104" s="18"/>
      <c r="RNG104" s="38"/>
      <c r="RNM104" s="36"/>
      <c r="RNN104" s="18"/>
      <c r="RNO104" s="38"/>
      <c r="RNU104" s="36"/>
      <c r="RNV104" s="18"/>
      <c r="RNW104" s="38"/>
      <c r="ROC104" s="36"/>
      <c r="ROD104" s="18"/>
      <c r="ROE104" s="38"/>
      <c r="ROK104" s="36"/>
      <c r="ROL104" s="18"/>
      <c r="ROM104" s="38"/>
      <c r="ROS104" s="36"/>
      <c r="ROT104" s="18"/>
      <c r="ROU104" s="38"/>
      <c r="RPA104" s="36"/>
      <c r="RPB104" s="18"/>
      <c r="RPC104" s="38"/>
      <c r="RPI104" s="36"/>
      <c r="RPJ104" s="18"/>
      <c r="RPK104" s="38"/>
      <c r="RPQ104" s="36"/>
      <c r="RPR104" s="18"/>
      <c r="RPS104" s="38"/>
      <c r="RPY104" s="36"/>
      <c r="RPZ104" s="18"/>
      <c r="RQA104" s="38"/>
      <c r="RQG104" s="36"/>
      <c r="RQH104" s="18"/>
      <c r="RQI104" s="38"/>
      <c r="RQO104" s="36"/>
      <c r="RQP104" s="18"/>
      <c r="RQQ104" s="38"/>
      <c r="RQW104" s="36"/>
      <c r="RQX104" s="18"/>
      <c r="RQY104" s="38"/>
      <c r="RRE104" s="36"/>
      <c r="RRF104" s="18"/>
      <c r="RRG104" s="38"/>
      <c r="RRM104" s="36"/>
      <c r="RRN104" s="18"/>
      <c r="RRO104" s="38"/>
      <c r="RRU104" s="36"/>
      <c r="RRV104" s="18"/>
      <c r="RRW104" s="38"/>
      <c r="RSC104" s="36"/>
      <c r="RSD104" s="18"/>
      <c r="RSE104" s="38"/>
      <c r="RSK104" s="36"/>
      <c r="RSL104" s="18"/>
      <c r="RSM104" s="38"/>
      <c r="RSS104" s="36"/>
      <c r="RST104" s="18"/>
      <c r="RSU104" s="38"/>
      <c r="RTA104" s="36"/>
      <c r="RTB104" s="18"/>
      <c r="RTC104" s="38"/>
      <c r="RTI104" s="36"/>
      <c r="RTJ104" s="18"/>
      <c r="RTK104" s="38"/>
      <c r="RTQ104" s="36"/>
      <c r="RTR104" s="18"/>
      <c r="RTS104" s="38"/>
      <c r="RTY104" s="36"/>
      <c r="RTZ104" s="18"/>
      <c r="RUA104" s="38"/>
      <c r="RUG104" s="36"/>
      <c r="RUH104" s="18"/>
      <c r="RUI104" s="38"/>
      <c r="RUO104" s="36"/>
      <c r="RUP104" s="18"/>
      <c r="RUQ104" s="38"/>
      <c r="RUW104" s="36"/>
      <c r="RUX104" s="18"/>
      <c r="RUY104" s="38"/>
      <c r="RVE104" s="36"/>
      <c r="RVF104" s="18"/>
      <c r="RVG104" s="38"/>
      <c r="RVM104" s="36"/>
      <c r="RVN104" s="18"/>
      <c r="RVO104" s="38"/>
      <c r="RVU104" s="36"/>
      <c r="RVV104" s="18"/>
      <c r="RVW104" s="38"/>
      <c r="RWC104" s="36"/>
      <c r="RWD104" s="18"/>
      <c r="RWE104" s="38"/>
      <c r="RWK104" s="36"/>
      <c r="RWL104" s="18"/>
      <c r="RWM104" s="38"/>
      <c r="RWS104" s="36"/>
      <c r="RWT104" s="18"/>
      <c r="RWU104" s="38"/>
      <c r="RXA104" s="36"/>
      <c r="RXB104" s="18"/>
      <c r="RXC104" s="38"/>
      <c r="RXI104" s="36"/>
      <c r="RXJ104" s="18"/>
      <c r="RXK104" s="38"/>
      <c r="RXQ104" s="36"/>
      <c r="RXR104" s="18"/>
      <c r="RXS104" s="38"/>
      <c r="RXY104" s="36"/>
      <c r="RXZ104" s="18"/>
      <c r="RYA104" s="38"/>
      <c r="RYG104" s="36"/>
      <c r="RYH104" s="18"/>
      <c r="RYI104" s="38"/>
      <c r="RYO104" s="36"/>
      <c r="RYP104" s="18"/>
      <c r="RYQ104" s="38"/>
      <c r="RYW104" s="36"/>
      <c r="RYX104" s="18"/>
      <c r="RYY104" s="38"/>
      <c r="RZE104" s="36"/>
      <c r="RZF104" s="18"/>
      <c r="RZG104" s="38"/>
      <c r="RZM104" s="36"/>
      <c r="RZN104" s="18"/>
      <c r="RZO104" s="38"/>
      <c r="RZU104" s="36"/>
      <c r="RZV104" s="18"/>
      <c r="RZW104" s="38"/>
      <c r="SAC104" s="36"/>
      <c r="SAD104" s="18"/>
      <c r="SAE104" s="38"/>
      <c r="SAK104" s="36"/>
      <c r="SAL104" s="18"/>
      <c r="SAM104" s="38"/>
      <c r="SAS104" s="36"/>
      <c r="SAT104" s="18"/>
      <c r="SAU104" s="38"/>
      <c r="SBA104" s="36"/>
      <c r="SBB104" s="18"/>
      <c r="SBC104" s="38"/>
      <c r="SBI104" s="36"/>
      <c r="SBJ104" s="18"/>
      <c r="SBK104" s="38"/>
      <c r="SBQ104" s="36"/>
      <c r="SBR104" s="18"/>
      <c r="SBS104" s="38"/>
      <c r="SBY104" s="36"/>
      <c r="SBZ104" s="18"/>
      <c r="SCA104" s="38"/>
      <c r="SCG104" s="36"/>
      <c r="SCH104" s="18"/>
      <c r="SCI104" s="38"/>
      <c r="SCO104" s="36"/>
      <c r="SCP104" s="18"/>
      <c r="SCQ104" s="38"/>
      <c r="SCW104" s="36"/>
      <c r="SCX104" s="18"/>
      <c r="SCY104" s="38"/>
      <c r="SDE104" s="36"/>
      <c r="SDF104" s="18"/>
      <c r="SDG104" s="38"/>
      <c r="SDM104" s="36"/>
      <c r="SDN104" s="18"/>
      <c r="SDO104" s="38"/>
      <c r="SDU104" s="36"/>
      <c r="SDV104" s="18"/>
      <c r="SDW104" s="38"/>
      <c r="SEC104" s="36"/>
      <c r="SED104" s="18"/>
      <c r="SEE104" s="38"/>
      <c r="SEK104" s="36"/>
      <c r="SEL104" s="18"/>
      <c r="SEM104" s="38"/>
      <c r="SES104" s="36"/>
      <c r="SET104" s="18"/>
      <c r="SEU104" s="38"/>
      <c r="SFA104" s="36"/>
      <c r="SFB104" s="18"/>
      <c r="SFC104" s="38"/>
      <c r="SFI104" s="36"/>
      <c r="SFJ104" s="18"/>
      <c r="SFK104" s="38"/>
      <c r="SFQ104" s="36"/>
      <c r="SFR104" s="18"/>
      <c r="SFS104" s="38"/>
      <c r="SFY104" s="36"/>
      <c r="SFZ104" s="18"/>
      <c r="SGA104" s="38"/>
      <c r="SGG104" s="36"/>
      <c r="SGH104" s="18"/>
      <c r="SGI104" s="38"/>
      <c r="SGO104" s="36"/>
      <c r="SGP104" s="18"/>
      <c r="SGQ104" s="38"/>
      <c r="SGW104" s="36"/>
      <c r="SGX104" s="18"/>
      <c r="SGY104" s="38"/>
      <c r="SHE104" s="36"/>
      <c r="SHF104" s="18"/>
      <c r="SHG104" s="38"/>
      <c r="SHM104" s="36"/>
      <c r="SHN104" s="18"/>
      <c r="SHO104" s="38"/>
      <c r="SHU104" s="36"/>
      <c r="SHV104" s="18"/>
      <c r="SHW104" s="38"/>
      <c r="SIC104" s="36"/>
      <c r="SID104" s="18"/>
      <c r="SIE104" s="38"/>
      <c r="SIK104" s="36"/>
      <c r="SIL104" s="18"/>
      <c r="SIM104" s="38"/>
      <c r="SIS104" s="36"/>
      <c r="SIT104" s="18"/>
      <c r="SIU104" s="38"/>
      <c r="SJA104" s="36"/>
      <c r="SJB104" s="18"/>
      <c r="SJC104" s="38"/>
      <c r="SJI104" s="36"/>
      <c r="SJJ104" s="18"/>
      <c r="SJK104" s="38"/>
      <c r="SJQ104" s="36"/>
      <c r="SJR104" s="18"/>
      <c r="SJS104" s="38"/>
      <c r="SJY104" s="36"/>
      <c r="SJZ104" s="18"/>
      <c r="SKA104" s="38"/>
      <c r="SKG104" s="36"/>
      <c r="SKH104" s="18"/>
      <c r="SKI104" s="38"/>
      <c r="SKO104" s="36"/>
      <c r="SKP104" s="18"/>
      <c r="SKQ104" s="38"/>
      <c r="SKW104" s="36"/>
      <c r="SKX104" s="18"/>
      <c r="SKY104" s="38"/>
      <c r="SLE104" s="36"/>
      <c r="SLF104" s="18"/>
      <c r="SLG104" s="38"/>
      <c r="SLM104" s="36"/>
      <c r="SLN104" s="18"/>
      <c r="SLO104" s="38"/>
      <c r="SLU104" s="36"/>
      <c r="SLV104" s="18"/>
      <c r="SLW104" s="38"/>
      <c r="SMC104" s="36"/>
      <c r="SMD104" s="18"/>
      <c r="SME104" s="38"/>
      <c r="SMK104" s="36"/>
      <c r="SML104" s="18"/>
      <c r="SMM104" s="38"/>
      <c r="SMS104" s="36"/>
      <c r="SMT104" s="18"/>
      <c r="SMU104" s="38"/>
      <c r="SNA104" s="36"/>
      <c r="SNB104" s="18"/>
      <c r="SNC104" s="38"/>
      <c r="SNI104" s="36"/>
      <c r="SNJ104" s="18"/>
      <c r="SNK104" s="38"/>
      <c r="SNQ104" s="36"/>
      <c r="SNR104" s="18"/>
      <c r="SNS104" s="38"/>
      <c r="SNY104" s="36"/>
      <c r="SNZ104" s="18"/>
      <c r="SOA104" s="38"/>
      <c r="SOG104" s="36"/>
      <c r="SOH104" s="18"/>
      <c r="SOI104" s="38"/>
      <c r="SOO104" s="36"/>
      <c r="SOP104" s="18"/>
      <c r="SOQ104" s="38"/>
      <c r="SOW104" s="36"/>
      <c r="SOX104" s="18"/>
      <c r="SOY104" s="38"/>
      <c r="SPE104" s="36"/>
      <c r="SPF104" s="18"/>
      <c r="SPG104" s="38"/>
      <c r="SPM104" s="36"/>
      <c r="SPN104" s="18"/>
      <c r="SPO104" s="38"/>
      <c r="SPU104" s="36"/>
      <c r="SPV104" s="18"/>
      <c r="SPW104" s="38"/>
      <c r="SQC104" s="36"/>
      <c r="SQD104" s="18"/>
      <c r="SQE104" s="38"/>
      <c r="SQK104" s="36"/>
      <c r="SQL104" s="18"/>
      <c r="SQM104" s="38"/>
      <c r="SQS104" s="36"/>
      <c r="SQT104" s="18"/>
      <c r="SQU104" s="38"/>
      <c r="SRA104" s="36"/>
      <c r="SRB104" s="18"/>
      <c r="SRC104" s="38"/>
      <c r="SRI104" s="36"/>
      <c r="SRJ104" s="18"/>
      <c r="SRK104" s="38"/>
      <c r="SRQ104" s="36"/>
      <c r="SRR104" s="18"/>
      <c r="SRS104" s="38"/>
      <c r="SRY104" s="36"/>
      <c r="SRZ104" s="18"/>
      <c r="SSA104" s="38"/>
      <c r="SSG104" s="36"/>
      <c r="SSH104" s="18"/>
      <c r="SSI104" s="38"/>
      <c r="SSO104" s="36"/>
      <c r="SSP104" s="18"/>
      <c r="SSQ104" s="38"/>
      <c r="SSW104" s="36"/>
      <c r="SSX104" s="18"/>
      <c r="SSY104" s="38"/>
      <c r="STE104" s="36"/>
      <c r="STF104" s="18"/>
      <c r="STG104" s="38"/>
      <c r="STM104" s="36"/>
      <c r="STN104" s="18"/>
      <c r="STO104" s="38"/>
      <c r="STU104" s="36"/>
      <c r="STV104" s="18"/>
      <c r="STW104" s="38"/>
      <c r="SUC104" s="36"/>
      <c r="SUD104" s="18"/>
      <c r="SUE104" s="38"/>
      <c r="SUK104" s="36"/>
      <c r="SUL104" s="18"/>
      <c r="SUM104" s="38"/>
      <c r="SUS104" s="36"/>
      <c r="SUT104" s="18"/>
      <c r="SUU104" s="38"/>
      <c r="SVA104" s="36"/>
      <c r="SVB104" s="18"/>
      <c r="SVC104" s="38"/>
      <c r="SVI104" s="36"/>
      <c r="SVJ104" s="18"/>
      <c r="SVK104" s="38"/>
      <c r="SVQ104" s="36"/>
      <c r="SVR104" s="18"/>
      <c r="SVS104" s="38"/>
      <c r="SVY104" s="36"/>
      <c r="SVZ104" s="18"/>
      <c r="SWA104" s="38"/>
      <c r="SWG104" s="36"/>
      <c r="SWH104" s="18"/>
      <c r="SWI104" s="38"/>
      <c r="SWO104" s="36"/>
      <c r="SWP104" s="18"/>
      <c r="SWQ104" s="38"/>
      <c r="SWW104" s="36"/>
      <c r="SWX104" s="18"/>
      <c r="SWY104" s="38"/>
      <c r="SXE104" s="36"/>
      <c r="SXF104" s="18"/>
      <c r="SXG104" s="38"/>
      <c r="SXM104" s="36"/>
      <c r="SXN104" s="18"/>
      <c r="SXO104" s="38"/>
      <c r="SXU104" s="36"/>
      <c r="SXV104" s="18"/>
      <c r="SXW104" s="38"/>
      <c r="SYC104" s="36"/>
      <c r="SYD104" s="18"/>
      <c r="SYE104" s="38"/>
      <c r="SYK104" s="36"/>
      <c r="SYL104" s="18"/>
      <c r="SYM104" s="38"/>
      <c r="SYS104" s="36"/>
      <c r="SYT104" s="18"/>
      <c r="SYU104" s="38"/>
      <c r="SZA104" s="36"/>
      <c r="SZB104" s="18"/>
      <c r="SZC104" s="38"/>
      <c r="SZI104" s="36"/>
      <c r="SZJ104" s="18"/>
      <c r="SZK104" s="38"/>
      <c r="SZQ104" s="36"/>
      <c r="SZR104" s="18"/>
      <c r="SZS104" s="38"/>
      <c r="SZY104" s="36"/>
      <c r="SZZ104" s="18"/>
      <c r="TAA104" s="38"/>
      <c r="TAG104" s="36"/>
      <c r="TAH104" s="18"/>
      <c r="TAI104" s="38"/>
      <c r="TAO104" s="36"/>
      <c r="TAP104" s="18"/>
      <c r="TAQ104" s="38"/>
      <c r="TAW104" s="36"/>
      <c r="TAX104" s="18"/>
      <c r="TAY104" s="38"/>
      <c r="TBE104" s="36"/>
      <c r="TBF104" s="18"/>
      <c r="TBG104" s="38"/>
      <c r="TBM104" s="36"/>
      <c r="TBN104" s="18"/>
      <c r="TBO104" s="38"/>
      <c r="TBU104" s="36"/>
      <c r="TBV104" s="18"/>
      <c r="TBW104" s="38"/>
      <c r="TCC104" s="36"/>
      <c r="TCD104" s="18"/>
      <c r="TCE104" s="38"/>
      <c r="TCK104" s="36"/>
      <c r="TCL104" s="18"/>
      <c r="TCM104" s="38"/>
      <c r="TCS104" s="36"/>
      <c r="TCT104" s="18"/>
      <c r="TCU104" s="38"/>
      <c r="TDA104" s="36"/>
      <c r="TDB104" s="18"/>
      <c r="TDC104" s="38"/>
      <c r="TDI104" s="36"/>
      <c r="TDJ104" s="18"/>
      <c r="TDK104" s="38"/>
      <c r="TDQ104" s="36"/>
      <c r="TDR104" s="18"/>
      <c r="TDS104" s="38"/>
      <c r="TDY104" s="36"/>
      <c r="TDZ104" s="18"/>
      <c r="TEA104" s="38"/>
      <c r="TEG104" s="36"/>
      <c r="TEH104" s="18"/>
      <c r="TEI104" s="38"/>
      <c r="TEO104" s="36"/>
      <c r="TEP104" s="18"/>
      <c r="TEQ104" s="38"/>
      <c r="TEW104" s="36"/>
      <c r="TEX104" s="18"/>
      <c r="TEY104" s="38"/>
      <c r="TFE104" s="36"/>
      <c r="TFF104" s="18"/>
      <c r="TFG104" s="38"/>
      <c r="TFM104" s="36"/>
      <c r="TFN104" s="18"/>
      <c r="TFO104" s="38"/>
      <c r="TFU104" s="36"/>
      <c r="TFV104" s="18"/>
      <c r="TFW104" s="38"/>
      <c r="TGC104" s="36"/>
      <c r="TGD104" s="18"/>
      <c r="TGE104" s="38"/>
      <c r="TGK104" s="36"/>
      <c r="TGL104" s="18"/>
      <c r="TGM104" s="38"/>
      <c r="TGS104" s="36"/>
      <c r="TGT104" s="18"/>
      <c r="TGU104" s="38"/>
      <c r="THA104" s="36"/>
      <c r="THB104" s="18"/>
      <c r="THC104" s="38"/>
      <c r="THI104" s="36"/>
      <c r="THJ104" s="18"/>
      <c r="THK104" s="38"/>
      <c r="THQ104" s="36"/>
      <c r="THR104" s="18"/>
      <c r="THS104" s="38"/>
      <c r="THY104" s="36"/>
      <c r="THZ104" s="18"/>
      <c r="TIA104" s="38"/>
      <c r="TIG104" s="36"/>
      <c r="TIH104" s="18"/>
      <c r="TII104" s="38"/>
      <c r="TIO104" s="36"/>
      <c r="TIP104" s="18"/>
      <c r="TIQ104" s="38"/>
      <c r="TIW104" s="36"/>
      <c r="TIX104" s="18"/>
      <c r="TIY104" s="38"/>
      <c r="TJE104" s="36"/>
      <c r="TJF104" s="18"/>
      <c r="TJG104" s="38"/>
      <c r="TJM104" s="36"/>
      <c r="TJN104" s="18"/>
      <c r="TJO104" s="38"/>
      <c r="TJU104" s="36"/>
      <c r="TJV104" s="18"/>
      <c r="TJW104" s="38"/>
      <c r="TKC104" s="36"/>
      <c r="TKD104" s="18"/>
      <c r="TKE104" s="38"/>
      <c r="TKK104" s="36"/>
      <c r="TKL104" s="18"/>
      <c r="TKM104" s="38"/>
      <c r="TKS104" s="36"/>
      <c r="TKT104" s="18"/>
      <c r="TKU104" s="38"/>
      <c r="TLA104" s="36"/>
      <c r="TLB104" s="18"/>
      <c r="TLC104" s="38"/>
      <c r="TLI104" s="36"/>
      <c r="TLJ104" s="18"/>
      <c r="TLK104" s="38"/>
      <c r="TLQ104" s="36"/>
      <c r="TLR104" s="18"/>
      <c r="TLS104" s="38"/>
      <c r="TLY104" s="36"/>
      <c r="TLZ104" s="18"/>
      <c r="TMA104" s="38"/>
      <c r="TMG104" s="36"/>
      <c r="TMH104" s="18"/>
      <c r="TMI104" s="38"/>
      <c r="TMO104" s="36"/>
      <c r="TMP104" s="18"/>
      <c r="TMQ104" s="38"/>
      <c r="TMW104" s="36"/>
      <c r="TMX104" s="18"/>
      <c r="TMY104" s="38"/>
      <c r="TNE104" s="36"/>
      <c r="TNF104" s="18"/>
      <c r="TNG104" s="38"/>
      <c r="TNM104" s="36"/>
      <c r="TNN104" s="18"/>
      <c r="TNO104" s="38"/>
      <c r="TNU104" s="36"/>
      <c r="TNV104" s="18"/>
      <c r="TNW104" s="38"/>
      <c r="TOC104" s="36"/>
      <c r="TOD104" s="18"/>
      <c r="TOE104" s="38"/>
      <c r="TOK104" s="36"/>
      <c r="TOL104" s="18"/>
      <c r="TOM104" s="38"/>
      <c r="TOS104" s="36"/>
      <c r="TOT104" s="18"/>
      <c r="TOU104" s="38"/>
      <c r="TPA104" s="36"/>
      <c r="TPB104" s="18"/>
      <c r="TPC104" s="38"/>
      <c r="TPI104" s="36"/>
      <c r="TPJ104" s="18"/>
      <c r="TPK104" s="38"/>
      <c r="TPQ104" s="36"/>
      <c r="TPR104" s="18"/>
      <c r="TPS104" s="38"/>
      <c r="TPY104" s="36"/>
      <c r="TPZ104" s="18"/>
      <c r="TQA104" s="38"/>
      <c r="TQG104" s="36"/>
      <c r="TQH104" s="18"/>
      <c r="TQI104" s="38"/>
      <c r="TQO104" s="36"/>
      <c r="TQP104" s="18"/>
      <c r="TQQ104" s="38"/>
      <c r="TQW104" s="36"/>
      <c r="TQX104" s="18"/>
      <c r="TQY104" s="38"/>
      <c r="TRE104" s="36"/>
      <c r="TRF104" s="18"/>
      <c r="TRG104" s="38"/>
      <c r="TRM104" s="36"/>
      <c r="TRN104" s="18"/>
      <c r="TRO104" s="38"/>
      <c r="TRU104" s="36"/>
      <c r="TRV104" s="18"/>
      <c r="TRW104" s="38"/>
      <c r="TSC104" s="36"/>
      <c r="TSD104" s="18"/>
      <c r="TSE104" s="38"/>
      <c r="TSK104" s="36"/>
      <c r="TSL104" s="18"/>
      <c r="TSM104" s="38"/>
      <c r="TSS104" s="36"/>
      <c r="TST104" s="18"/>
      <c r="TSU104" s="38"/>
      <c r="TTA104" s="36"/>
      <c r="TTB104" s="18"/>
      <c r="TTC104" s="38"/>
      <c r="TTI104" s="36"/>
      <c r="TTJ104" s="18"/>
      <c r="TTK104" s="38"/>
      <c r="TTQ104" s="36"/>
      <c r="TTR104" s="18"/>
      <c r="TTS104" s="38"/>
      <c r="TTY104" s="36"/>
      <c r="TTZ104" s="18"/>
      <c r="TUA104" s="38"/>
      <c r="TUG104" s="36"/>
      <c r="TUH104" s="18"/>
      <c r="TUI104" s="38"/>
      <c r="TUO104" s="36"/>
      <c r="TUP104" s="18"/>
      <c r="TUQ104" s="38"/>
      <c r="TUW104" s="36"/>
      <c r="TUX104" s="18"/>
      <c r="TUY104" s="38"/>
      <c r="TVE104" s="36"/>
      <c r="TVF104" s="18"/>
      <c r="TVG104" s="38"/>
      <c r="TVM104" s="36"/>
      <c r="TVN104" s="18"/>
      <c r="TVO104" s="38"/>
      <c r="TVU104" s="36"/>
      <c r="TVV104" s="18"/>
      <c r="TVW104" s="38"/>
      <c r="TWC104" s="36"/>
      <c r="TWD104" s="18"/>
      <c r="TWE104" s="38"/>
      <c r="TWK104" s="36"/>
      <c r="TWL104" s="18"/>
      <c r="TWM104" s="38"/>
      <c r="TWS104" s="36"/>
      <c r="TWT104" s="18"/>
      <c r="TWU104" s="38"/>
      <c r="TXA104" s="36"/>
      <c r="TXB104" s="18"/>
      <c r="TXC104" s="38"/>
      <c r="TXI104" s="36"/>
      <c r="TXJ104" s="18"/>
      <c r="TXK104" s="38"/>
      <c r="TXQ104" s="36"/>
      <c r="TXR104" s="18"/>
      <c r="TXS104" s="38"/>
      <c r="TXY104" s="36"/>
      <c r="TXZ104" s="18"/>
      <c r="TYA104" s="38"/>
      <c r="TYG104" s="36"/>
      <c r="TYH104" s="18"/>
      <c r="TYI104" s="38"/>
      <c r="TYO104" s="36"/>
      <c r="TYP104" s="18"/>
      <c r="TYQ104" s="38"/>
      <c r="TYW104" s="36"/>
      <c r="TYX104" s="18"/>
      <c r="TYY104" s="38"/>
      <c r="TZE104" s="36"/>
      <c r="TZF104" s="18"/>
      <c r="TZG104" s="38"/>
      <c r="TZM104" s="36"/>
      <c r="TZN104" s="18"/>
      <c r="TZO104" s="38"/>
      <c r="TZU104" s="36"/>
      <c r="TZV104" s="18"/>
      <c r="TZW104" s="38"/>
      <c r="UAC104" s="36"/>
      <c r="UAD104" s="18"/>
      <c r="UAE104" s="38"/>
      <c r="UAK104" s="36"/>
      <c r="UAL104" s="18"/>
      <c r="UAM104" s="38"/>
      <c r="UAS104" s="36"/>
      <c r="UAT104" s="18"/>
      <c r="UAU104" s="38"/>
      <c r="UBA104" s="36"/>
      <c r="UBB104" s="18"/>
      <c r="UBC104" s="38"/>
      <c r="UBI104" s="36"/>
      <c r="UBJ104" s="18"/>
      <c r="UBK104" s="38"/>
      <c r="UBQ104" s="36"/>
      <c r="UBR104" s="18"/>
      <c r="UBS104" s="38"/>
      <c r="UBY104" s="36"/>
      <c r="UBZ104" s="18"/>
      <c r="UCA104" s="38"/>
      <c r="UCG104" s="36"/>
      <c r="UCH104" s="18"/>
      <c r="UCI104" s="38"/>
      <c r="UCO104" s="36"/>
      <c r="UCP104" s="18"/>
      <c r="UCQ104" s="38"/>
      <c r="UCW104" s="36"/>
      <c r="UCX104" s="18"/>
      <c r="UCY104" s="38"/>
      <c r="UDE104" s="36"/>
      <c r="UDF104" s="18"/>
      <c r="UDG104" s="38"/>
      <c r="UDM104" s="36"/>
      <c r="UDN104" s="18"/>
      <c r="UDO104" s="38"/>
      <c r="UDU104" s="36"/>
      <c r="UDV104" s="18"/>
      <c r="UDW104" s="38"/>
      <c r="UEC104" s="36"/>
      <c r="UED104" s="18"/>
      <c r="UEE104" s="38"/>
      <c r="UEK104" s="36"/>
      <c r="UEL104" s="18"/>
      <c r="UEM104" s="38"/>
      <c r="UES104" s="36"/>
      <c r="UET104" s="18"/>
      <c r="UEU104" s="38"/>
      <c r="UFA104" s="36"/>
      <c r="UFB104" s="18"/>
      <c r="UFC104" s="38"/>
      <c r="UFI104" s="36"/>
      <c r="UFJ104" s="18"/>
      <c r="UFK104" s="38"/>
      <c r="UFQ104" s="36"/>
      <c r="UFR104" s="18"/>
      <c r="UFS104" s="38"/>
      <c r="UFY104" s="36"/>
      <c r="UFZ104" s="18"/>
      <c r="UGA104" s="38"/>
      <c r="UGG104" s="36"/>
      <c r="UGH104" s="18"/>
      <c r="UGI104" s="38"/>
      <c r="UGO104" s="36"/>
      <c r="UGP104" s="18"/>
      <c r="UGQ104" s="38"/>
      <c r="UGW104" s="36"/>
      <c r="UGX104" s="18"/>
      <c r="UGY104" s="38"/>
      <c r="UHE104" s="36"/>
      <c r="UHF104" s="18"/>
      <c r="UHG104" s="38"/>
      <c r="UHM104" s="36"/>
      <c r="UHN104" s="18"/>
      <c r="UHO104" s="38"/>
      <c r="UHU104" s="36"/>
      <c r="UHV104" s="18"/>
      <c r="UHW104" s="38"/>
      <c r="UIC104" s="36"/>
      <c r="UID104" s="18"/>
      <c r="UIE104" s="38"/>
      <c r="UIK104" s="36"/>
      <c r="UIL104" s="18"/>
      <c r="UIM104" s="38"/>
      <c r="UIS104" s="36"/>
      <c r="UIT104" s="18"/>
      <c r="UIU104" s="38"/>
      <c r="UJA104" s="36"/>
      <c r="UJB104" s="18"/>
      <c r="UJC104" s="38"/>
      <c r="UJI104" s="36"/>
      <c r="UJJ104" s="18"/>
      <c r="UJK104" s="38"/>
      <c r="UJQ104" s="36"/>
      <c r="UJR104" s="18"/>
      <c r="UJS104" s="38"/>
      <c r="UJY104" s="36"/>
      <c r="UJZ104" s="18"/>
      <c r="UKA104" s="38"/>
      <c r="UKG104" s="36"/>
      <c r="UKH104" s="18"/>
      <c r="UKI104" s="38"/>
      <c r="UKO104" s="36"/>
      <c r="UKP104" s="18"/>
      <c r="UKQ104" s="38"/>
      <c r="UKW104" s="36"/>
      <c r="UKX104" s="18"/>
      <c r="UKY104" s="38"/>
      <c r="ULE104" s="36"/>
      <c r="ULF104" s="18"/>
      <c r="ULG104" s="38"/>
      <c r="ULM104" s="36"/>
      <c r="ULN104" s="18"/>
      <c r="ULO104" s="38"/>
      <c r="ULU104" s="36"/>
      <c r="ULV104" s="18"/>
      <c r="ULW104" s="38"/>
      <c r="UMC104" s="36"/>
      <c r="UMD104" s="18"/>
      <c r="UME104" s="38"/>
      <c r="UMK104" s="36"/>
      <c r="UML104" s="18"/>
      <c r="UMM104" s="38"/>
      <c r="UMS104" s="36"/>
      <c r="UMT104" s="18"/>
      <c r="UMU104" s="38"/>
      <c r="UNA104" s="36"/>
      <c r="UNB104" s="18"/>
      <c r="UNC104" s="38"/>
      <c r="UNI104" s="36"/>
      <c r="UNJ104" s="18"/>
      <c r="UNK104" s="38"/>
      <c r="UNQ104" s="36"/>
      <c r="UNR104" s="18"/>
      <c r="UNS104" s="38"/>
      <c r="UNY104" s="36"/>
      <c r="UNZ104" s="18"/>
      <c r="UOA104" s="38"/>
      <c r="UOG104" s="36"/>
      <c r="UOH104" s="18"/>
      <c r="UOI104" s="38"/>
      <c r="UOO104" s="36"/>
      <c r="UOP104" s="18"/>
      <c r="UOQ104" s="38"/>
      <c r="UOW104" s="36"/>
      <c r="UOX104" s="18"/>
      <c r="UOY104" s="38"/>
      <c r="UPE104" s="36"/>
      <c r="UPF104" s="18"/>
      <c r="UPG104" s="38"/>
      <c r="UPM104" s="36"/>
      <c r="UPN104" s="18"/>
      <c r="UPO104" s="38"/>
      <c r="UPU104" s="36"/>
      <c r="UPV104" s="18"/>
      <c r="UPW104" s="38"/>
      <c r="UQC104" s="36"/>
      <c r="UQD104" s="18"/>
      <c r="UQE104" s="38"/>
      <c r="UQK104" s="36"/>
      <c r="UQL104" s="18"/>
      <c r="UQM104" s="38"/>
      <c r="UQS104" s="36"/>
      <c r="UQT104" s="18"/>
      <c r="UQU104" s="38"/>
      <c r="URA104" s="36"/>
      <c r="URB104" s="18"/>
      <c r="URC104" s="38"/>
      <c r="URI104" s="36"/>
      <c r="URJ104" s="18"/>
      <c r="URK104" s="38"/>
      <c r="URQ104" s="36"/>
      <c r="URR104" s="18"/>
      <c r="URS104" s="38"/>
      <c r="URY104" s="36"/>
      <c r="URZ104" s="18"/>
      <c r="USA104" s="38"/>
      <c r="USG104" s="36"/>
      <c r="USH104" s="18"/>
      <c r="USI104" s="38"/>
      <c r="USO104" s="36"/>
      <c r="USP104" s="18"/>
      <c r="USQ104" s="38"/>
      <c r="USW104" s="36"/>
      <c r="USX104" s="18"/>
      <c r="USY104" s="38"/>
      <c r="UTE104" s="36"/>
      <c r="UTF104" s="18"/>
      <c r="UTG104" s="38"/>
      <c r="UTM104" s="36"/>
      <c r="UTN104" s="18"/>
      <c r="UTO104" s="38"/>
      <c r="UTU104" s="36"/>
      <c r="UTV104" s="18"/>
      <c r="UTW104" s="38"/>
      <c r="UUC104" s="36"/>
      <c r="UUD104" s="18"/>
      <c r="UUE104" s="38"/>
      <c r="UUK104" s="36"/>
      <c r="UUL104" s="18"/>
      <c r="UUM104" s="38"/>
      <c r="UUS104" s="36"/>
      <c r="UUT104" s="18"/>
      <c r="UUU104" s="38"/>
      <c r="UVA104" s="36"/>
      <c r="UVB104" s="18"/>
      <c r="UVC104" s="38"/>
      <c r="UVI104" s="36"/>
      <c r="UVJ104" s="18"/>
      <c r="UVK104" s="38"/>
      <c r="UVQ104" s="36"/>
      <c r="UVR104" s="18"/>
      <c r="UVS104" s="38"/>
      <c r="UVY104" s="36"/>
      <c r="UVZ104" s="18"/>
      <c r="UWA104" s="38"/>
      <c r="UWG104" s="36"/>
      <c r="UWH104" s="18"/>
      <c r="UWI104" s="38"/>
      <c r="UWO104" s="36"/>
      <c r="UWP104" s="18"/>
      <c r="UWQ104" s="38"/>
      <c r="UWW104" s="36"/>
      <c r="UWX104" s="18"/>
      <c r="UWY104" s="38"/>
      <c r="UXE104" s="36"/>
      <c r="UXF104" s="18"/>
      <c r="UXG104" s="38"/>
      <c r="UXM104" s="36"/>
      <c r="UXN104" s="18"/>
      <c r="UXO104" s="38"/>
      <c r="UXU104" s="36"/>
      <c r="UXV104" s="18"/>
      <c r="UXW104" s="38"/>
      <c r="UYC104" s="36"/>
      <c r="UYD104" s="18"/>
      <c r="UYE104" s="38"/>
      <c r="UYK104" s="36"/>
      <c r="UYL104" s="18"/>
      <c r="UYM104" s="38"/>
      <c r="UYS104" s="36"/>
      <c r="UYT104" s="18"/>
      <c r="UYU104" s="38"/>
      <c r="UZA104" s="36"/>
      <c r="UZB104" s="18"/>
      <c r="UZC104" s="38"/>
      <c r="UZI104" s="36"/>
      <c r="UZJ104" s="18"/>
      <c r="UZK104" s="38"/>
      <c r="UZQ104" s="36"/>
      <c r="UZR104" s="18"/>
      <c r="UZS104" s="38"/>
      <c r="UZY104" s="36"/>
      <c r="UZZ104" s="18"/>
      <c r="VAA104" s="38"/>
      <c r="VAG104" s="36"/>
      <c r="VAH104" s="18"/>
      <c r="VAI104" s="38"/>
      <c r="VAO104" s="36"/>
      <c r="VAP104" s="18"/>
      <c r="VAQ104" s="38"/>
      <c r="VAW104" s="36"/>
      <c r="VAX104" s="18"/>
      <c r="VAY104" s="38"/>
      <c r="VBE104" s="36"/>
      <c r="VBF104" s="18"/>
      <c r="VBG104" s="38"/>
      <c r="VBM104" s="36"/>
      <c r="VBN104" s="18"/>
      <c r="VBO104" s="38"/>
      <c r="VBU104" s="36"/>
      <c r="VBV104" s="18"/>
      <c r="VBW104" s="38"/>
      <c r="VCC104" s="36"/>
      <c r="VCD104" s="18"/>
      <c r="VCE104" s="38"/>
      <c r="VCK104" s="36"/>
      <c r="VCL104" s="18"/>
      <c r="VCM104" s="38"/>
      <c r="VCS104" s="36"/>
      <c r="VCT104" s="18"/>
      <c r="VCU104" s="38"/>
      <c r="VDA104" s="36"/>
      <c r="VDB104" s="18"/>
      <c r="VDC104" s="38"/>
      <c r="VDI104" s="36"/>
      <c r="VDJ104" s="18"/>
      <c r="VDK104" s="38"/>
      <c r="VDQ104" s="36"/>
      <c r="VDR104" s="18"/>
      <c r="VDS104" s="38"/>
      <c r="VDY104" s="36"/>
      <c r="VDZ104" s="18"/>
      <c r="VEA104" s="38"/>
      <c r="VEG104" s="36"/>
      <c r="VEH104" s="18"/>
      <c r="VEI104" s="38"/>
      <c r="VEO104" s="36"/>
      <c r="VEP104" s="18"/>
      <c r="VEQ104" s="38"/>
      <c r="VEW104" s="36"/>
      <c r="VEX104" s="18"/>
      <c r="VEY104" s="38"/>
      <c r="VFE104" s="36"/>
      <c r="VFF104" s="18"/>
      <c r="VFG104" s="38"/>
      <c r="VFM104" s="36"/>
      <c r="VFN104" s="18"/>
      <c r="VFO104" s="38"/>
      <c r="VFU104" s="36"/>
      <c r="VFV104" s="18"/>
      <c r="VFW104" s="38"/>
      <c r="VGC104" s="36"/>
      <c r="VGD104" s="18"/>
      <c r="VGE104" s="38"/>
      <c r="VGK104" s="36"/>
      <c r="VGL104" s="18"/>
      <c r="VGM104" s="38"/>
      <c r="VGS104" s="36"/>
      <c r="VGT104" s="18"/>
      <c r="VGU104" s="38"/>
      <c r="VHA104" s="36"/>
      <c r="VHB104" s="18"/>
      <c r="VHC104" s="38"/>
      <c r="VHI104" s="36"/>
      <c r="VHJ104" s="18"/>
      <c r="VHK104" s="38"/>
      <c r="VHQ104" s="36"/>
      <c r="VHR104" s="18"/>
      <c r="VHS104" s="38"/>
      <c r="VHY104" s="36"/>
      <c r="VHZ104" s="18"/>
      <c r="VIA104" s="38"/>
      <c r="VIG104" s="36"/>
      <c r="VIH104" s="18"/>
      <c r="VII104" s="38"/>
      <c r="VIO104" s="36"/>
      <c r="VIP104" s="18"/>
      <c r="VIQ104" s="38"/>
      <c r="VIW104" s="36"/>
      <c r="VIX104" s="18"/>
      <c r="VIY104" s="38"/>
      <c r="VJE104" s="36"/>
      <c r="VJF104" s="18"/>
      <c r="VJG104" s="38"/>
      <c r="VJM104" s="36"/>
      <c r="VJN104" s="18"/>
      <c r="VJO104" s="38"/>
      <c r="VJU104" s="36"/>
      <c r="VJV104" s="18"/>
      <c r="VJW104" s="38"/>
      <c r="VKC104" s="36"/>
      <c r="VKD104" s="18"/>
      <c r="VKE104" s="38"/>
      <c r="VKK104" s="36"/>
      <c r="VKL104" s="18"/>
      <c r="VKM104" s="38"/>
      <c r="VKS104" s="36"/>
      <c r="VKT104" s="18"/>
      <c r="VKU104" s="38"/>
      <c r="VLA104" s="36"/>
      <c r="VLB104" s="18"/>
      <c r="VLC104" s="38"/>
      <c r="VLI104" s="36"/>
      <c r="VLJ104" s="18"/>
      <c r="VLK104" s="38"/>
      <c r="VLQ104" s="36"/>
      <c r="VLR104" s="18"/>
      <c r="VLS104" s="38"/>
      <c r="VLY104" s="36"/>
      <c r="VLZ104" s="18"/>
      <c r="VMA104" s="38"/>
      <c r="VMG104" s="36"/>
      <c r="VMH104" s="18"/>
      <c r="VMI104" s="38"/>
      <c r="VMO104" s="36"/>
      <c r="VMP104" s="18"/>
      <c r="VMQ104" s="38"/>
      <c r="VMW104" s="36"/>
      <c r="VMX104" s="18"/>
      <c r="VMY104" s="38"/>
      <c r="VNE104" s="36"/>
      <c r="VNF104" s="18"/>
      <c r="VNG104" s="38"/>
      <c r="VNM104" s="36"/>
      <c r="VNN104" s="18"/>
      <c r="VNO104" s="38"/>
      <c r="VNU104" s="36"/>
      <c r="VNV104" s="18"/>
      <c r="VNW104" s="38"/>
      <c r="VOC104" s="36"/>
      <c r="VOD104" s="18"/>
      <c r="VOE104" s="38"/>
      <c r="VOK104" s="36"/>
      <c r="VOL104" s="18"/>
      <c r="VOM104" s="38"/>
      <c r="VOS104" s="36"/>
      <c r="VOT104" s="18"/>
      <c r="VOU104" s="38"/>
      <c r="VPA104" s="36"/>
      <c r="VPB104" s="18"/>
      <c r="VPC104" s="38"/>
      <c r="VPI104" s="36"/>
      <c r="VPJ104" s="18"/>
      <c r="VPK104" s="38"/>
      <c r="VPQ104" s="36"/>
      <c r="VPR104" s="18"/>
      <c r="VPS104" s="38"/>
      <c r="VPY104" s="36"/>
      <c r="VPZ104" s="18"/>
      <c r="VQA104" s="38"/>
      <c r="VQG104" s="36"/>
      <c r="VQH104" s="18"/>
      <c r="VQI104" s="38"/>
      <c r="VQO104" s="36"/>
      <c r="VQP104" s="18"/>
      <c r="VQQ104" s="38"/>
      <c r="VQW104" s="36"/>
      <c r="VQX104" s="18"/>
      <c r="VQY104" s="38"/>
      <c r="VRE104" s="36"/>
      <c r="VRF104" s="18"/>
      <c r="VRG104" s="38"/>
      <c r="VRM104" s="36"/>
      <c r="VRN104" s="18"/>
      <c r="VRO104" s="38"/>
      <c r="VRU104" s="36"/>
      <c r="VRV104" s="18"/>
      <c r="VRW104" s="38"/>
      <c r="VSC104" s="36"/>
      <c r="VSD104" s="18"/>
      <c r="VSE104" s="38"/>
      <c r="VSK104" s="36"/>
      <c r="VSL104" s="18"/>
      <c r="VSM104" s="38"/>
      <c r="VSS104" s="36"/>
      <c r="VST104" s="18"/>
      <c r="VSU104" s="38"/>
      <c r="VTA104" s="36"/>
      <c r="VTB104" s="18"/>
      <c r="VTC104" s="38"/>
      <c r="VTI104" s="36"/>
      <c r="VTJ104" s="18"/>
      <c r="VTK104" s="38"/>
      <c r="VTQ104" s="36"/>
      <c r="VTR104" s="18"/>
      <c r="VTS104" s="38"/>
      <c r="VTY104" s="36"/>
      <c r="VTZ104" s="18"/>
      <c r="VUA104" s="38"/>
      <c r="VUG104" s="36"/>
      <c r="VUH104" s="18"/>
      <c r="VUI104" s="38"/>
      <c r="VUO104" s="36"/>
      <c r="VUP104" s="18"/>
      <c r="VUQ104" s="38"/>
      <c r="VUW104" s="36"/>
      <c r="VUX104" s="18"/>
      <c r="VUY104" s="38"/>
      <c r="VVE104" s="36"/>
      <c r="VVF104" s="18"/>
      <c r="VVG104" s="38"/>
      <c r="VVM104" s="36"/>
      <c r="VVN104" s="18"/>
      <c r="VVO104" s="38"/>
      <c r="VVU104" s="36"/>
      <c r="VVV104" s="18"/>
      <c r="VVW104" s="38"/>
      <c r="VWC104" s="36"/>
      <c r="VWD104" s="18"/>
      <c r="VWE104" s="38"/>
      <c r="VWK104" s="36"/>
      <c r="VWL104" s="18"/>
      <c r="VWM104" s="38"/>
      <c r="VWS104" s="36"/>
      <c r="VWT104" s="18"/>
      <c r="VWU104" s="38"/>
      <c r="VXA104" s="36"/>
      <c r="VXB104" s="18"/>
      <c r="VXC104" s="38"/>
      <c r="VXI104" s="36"/>
      <c r="VXJ104" s="18"/>
      <c r="VXK104" s="38"/>
      <c r="VXQ104" s="36"/>
      <c r="VXR104" s="18"/>
      <c r="VXS104" s="38"/>
      <c r="VXY104" s="36"/>
      <c r="VXZ104" s="18"/>
      <c r="VYA104" s="38"/>
      <c r="VYG104" s="36"/>
      <c r="VYH104" s="18"/>
      <c r="VYI104" s="38"/>
      <c r="VYO104" s="36"/>
      <c r="VYP104" s="18"/>
      <c r="VYQ104" s="38"/>
      <c r="VYW104" s="36"/>
      <c r="VYX104" s="18"/>
      <c r="VYY104" s="38"/>
      <c r="VZE104" s="36"/>
      <c r="VZF104" s="18"/>
      <c r="VZG104" s="38"/>
      <c r="VZM104" s="36"/>
      <c r="VZN104" s="18"/>
      <c r="VZO104" s="38"/>
      <c r="VZU104" s="36"/>
      <c r="VZV104" s="18"/>
      <c r="VZW104" s="38"/>
      <c r="WAC104" s="36"/>
      <c r="WAD104" s="18"/>
      <c r="WAE104" s="38"/>
      <c r="WAK104" s="36"/>
      <c r="WAL104" s="18"/>
      <c r="WAM104" s="38"/>
      <c r="WAS104" s="36"/>
      <c r="WAT104" s="18"/>
      <c r="WAU104" s="38"/>
      <c r="WBA104" s="36"/>
      <c r="WBB104" s="18"/>
      <c r="WBC104" s="38"/>
      <c r="WBI104" s="36"/>
      <c r="WBJ104" s="18"/>
      <c r="WBK104" s="38"/>
      <c r="WBQ104" s="36"/>
      <c r="WBR104" s="18"/>
      <c r="WBS104" s="38"/>
      <c r="WBY104" s="36"/>
      <c r="WBZ104" s="18"/>
      <c r="WCA104" s="38"/>
      <c r="WCG104" s="36"/>
      <c r="WCH104" s="18"/>
      <c r="WCI104" s="38"/>
      <c r="WCO104" s="36"/>
      <c r="WCP104" s="18"/>
      <c r="WCQ104" s="38"/>
      <c r="WCW104" s="36"/>
      <c r="WCX104" s="18"/>
      <c r="WCY104" s="38"/>
      <c r="WDE104" s="36"/>
      <c r="WDF104" s="18"/>
      <c r="WDG104" s="38"/>
      <c r="WDM104" s="36"/>
      <c r="WDN104" s="18"/>
      <c r="WDO104" s="38"/>
      <c r="WDU104" s="36"/>
      <c r="WDV104" s="18"/>
      <c r="WDW104" s="38"/>
      <c r="WEC104" s="36"/>
      <c r="WED104" s="18"/>
      <c r="WEE104" s="38"/>
      <c r="WEK104" s="36"/>
      <c r="WEL104" s="18"/>
      <c r="WEM104" s="38"/>
      <c r="WES104" s="36"/>
      <c r="WET104" s="18"/>
      <c r="WEU104" s="38"/>
      <c r="WFA104" s="36"/>
      <c r="WFB104" s="18"/>
      <c r="WFC104" s="38"/>
      <c r="WFI104" s="36"/>
      <c r="WFJ104" s="18"/>
      <c r="WFK104" s="38"/>
      <c r="WFQ104" s="36"/>
      <c r="WFR104" s="18"/>
      <c r="WFS104" s="38"/>
      <c r="WFY104" s="36"/>
      <c r="WFZ104" s="18"/>
      <c r="WGA104" s="38"/>
      <c r="WGG104" s="36"/>
      <c r="WGH104" s="18"/>
      <c r="WGI104" s="38"/>
      <c r="WGO104" s="36"/>
      <c r="WGP104" s="18"/>
      <c r="WGQ104" s="38"/>
      <c r="WGW104" s="36"/>
      <c r="WGX104" s="18"/>
      <c r="WGY104" s="38"/>
      <c r="WHE104" s="36"/>
      <c r="WHF104" s="18"/>
      <c r="WHG104" s="38"/>
      <c r="WHM104" s="36"/>
      <c r="WHN104" s="18"/>
      <c r="WHO104" s="38"/>
      <c r="WHU104" s="36"/>
      <c r="WHV104" s="18"/>
      <c r="WHW104" s="38"/>
      <c r="WIC104" s="36"/>
      <c r="WID104" s="18"/>
      <c r="WIE104" s="38"/>
      <c r="WIK104" s="36"/>
      <c r="WIL104" s="18"/>
      <c r="WIM104" s="38"/>
      <c r="WIS104" s="36"/>
      <c r="WIT104" s="18"/>
      <c r="WIU104" s="38"/>
      <c r="WJA104" s="36"/>
      <c r="WJB104" s="18"/>
      <c r="WJC104" s="38"/>
      <c r="WJI104" s="36"/>
      <c r="WJJ104" s="18"/>
      <c r="WJK104" s="38"/>
      <c r="WJQ104" s="36"/>
      <c r="WJR104" s="18"/>
      <c r="WJS104" s="38"/>
      <c r="WJY104" s="36"/>
      <c r="WJZ104" s="18"/>
      <c r="WKA104" s="38"/>
      <c r="WKG104" s="36"/>
      <c r="WKH104" s="18"/>
      <c r="WKI104" s="38"/>
      <c r="WKO104" s="36"/>
      <c r="WKP104" s="18"/>
      <c r="WKQ104" s="38"/>
      <c r="WKW104" s="36"/>
      <c r="WKX104" s="18"/>
      <c r="WKY104" s="38"/>
      <c r="WLE104" s="36"/>
      <c r="WLF104" s="18"/>
      <c r="WLG104" s="38"/>
      <c r="WLM104" s="36"/>
      <c r="WLN104" s="18"/>
      <c r="WLO104" s="38"/>
      <c r="WLU104" s="36"/>
      <c r="WLV104" s="18"/>
      <c r="WLW104" s="38"/>
      <c r="WMC104" s="36"/>
      <c r="WMD104" s="18"/>
      <c r="WME104" s="38"/>
      <c r="WMK104" s="36"/>
      <c r="WML104" s="18"/>
      <c r="WMM104" s="38"/>
      <c r="WMS104" s="36"/>
      <c r="WMT104" s="18"/>
      <c r="WMU104" s="38"/>
      <c r="WNA104" s="36"/>
      <c r="WNB104" s="18"/>
      <c r="WNC104" s="38"/>
      <c r="WNI104" s="36"/>
      <c r="WNJ104" s="18"/>
      <c r="WNK104" s="38"/>
      <c r="WNQ104" s="36"/>
      <c r="WNR104" s="18"/>
      <c r="WNS104" s="38"/>
      <c r="WNY104" s="36"/>
      <c r="WNZ104" s="18"/>
      <c r="WOA104" s="38"/>
      <c r="WOG104" s="36"/>
      <c r="WOH104" s="18"/>
      <c r="WOI104" s="38"/>
      <c r="WOO104" s="36"/>
      <c r="WOP104" s="18"/>
      <c r="WOQ104" s="38"/>
      <c r="WOW104" s="36"/>
      <c r="WOX104" s="18"/>
      <c r="WOY104" s="38"/>
      <c r="WPE104" s="36"/>
      <c r="WPF104" s="18"/>
      <c r="WPG104" s="38"/>
      <c r="WPM104" s="36"/>
      <c r="WPN104" s="18"/>
      <c r="WPO104" s="38"/>
      <c r="WPU104" s="36"/>
      <c r="WPV104" s="18"/>
      <c r="WPW104" s="38"/>
      <c r="WQC104" s="36"/>
      <c r="WQD104" s="18"/>
      <c r="WQE104" s="38"/>
      <c r="WQK104" s="36"/>
      <c r="WQL104" s="18"/>
      <c r="WQM104" s="38"/>
      <c r="WQS104" s="36"/>
      <c r="WQT104" s="18"/>
      <c r="WQU104" s="38"/>
      <c r="WRA104" s="36"/>
      <c r="WRB104" s="18"/>
      <c r="WRC104" s="38"/>
      <c r="WRI104" s="36"/>
      <c r="WRJ104" s="18"/>
      <c r="WRK104" s="38"/>
      <c r="WRQ104" s="36"/>
      <c r="WRR104" s="18"/>
      <c r="WRS104" s="38"/>
      <c r="WRY104" s="36"/>
      <c r="WRZ104" s="18"/>
      <c r="WSA104" s="38"/>
      <c r="WSG104" s="36"/>
      <c r="WSH104" s="18"/>
      <c r="WSI104" s="38"/>
      <c r="WSO104" s="36"/>
      <c r="WSP104" s="18"/>
      <c r="WSQ104" s="38"/>
      <c r="WSW104" s="36"/>
      <c r="WSX104" s="18"/>
      <c r="WSY104" s="38"/>
      <c r="WTE104" s="36"/>
      <c r="WTF104" s="18"/>
      <c r="WTG104" s="38"/>
      <c r="WTM104" s="36"/>
      <c r="WTN104" s="18"/>
      <c r="WTO104" s="38"/>
      <c r="WTU104" s="36"/>
      <c r="WTV104" s="18"/>
      <c r="WTW104" s="38"/>
      <c r="WUC104" s="36"/>
      <c r="WUD104" s="18"/>
      <c r="WUE104" s="38"/>
      <c r="WUK104" s="36"/>
      <c r="WUL104" s="18"/>
      <c r="WUM104" s="38"/>
      <c r="WUS104" s="36"/>
      <c r="WUT104" s="18"/>
      <c r="WUU104" s="38"/>
      <c r="WVA104" s="36"/>
      <c r="WVB104" s="18"/>
      <c r="WVC104" s="38"/>
      <c r="WVI104" s="36"/>
      <c r="WVJ104" s="18"/>
      <c r="WVK104" s="38"/>
      <c r="WVQ104" s="36"/>
      <c r="WVR104" s="18"/>
      <c r="WVS104" s="38"/>
      <c r="WVY104" s="36"/>
      <c r="WVZ104" s="18"/>
      <c r="WWA104" s="38"/>
      <c r="WWG104" s="36"/>
      <c r="WWH104" s="18"/>
      <c r="WWI104" s="38"/>
      <c r="WWO104" s="36"/>
      <c r="WWP104" s="18"/>
      <c r="WWQ104" s="38"/>
      <c r="WWW104" s="36"/>
      <c r="WWX104" s="18"/>
      <c r="WWY104" s="38"/>
      <c r="WXE104" s="36"/>
      <c r="WXF104" s="18"/>
      <c r="WXG104" s="38"/>
      <c r="WXM104" s="36"/>
      <c r="WXN104" s="18"/>
      <c r="WXO104" s="38"/>
      <c r="WXU104" s="36"/>
      <c r="WXV104" s="18"/>
      <c r="WXW104" s="38"/>
      <c r="WYC104" s="36"/>
      <c r="WYD104" s="18"/>
      <c r="WYE104" s="38"/>
      <c r="WYK104" s="36"/>
      <c r="WYL104" s="18"/>
      <c r="WYM104" s="38"/>
      <c r="WYS104" s="36"/>
      <c r="WYT104" s="18"/>
      <c r="WYU104" s="38"/>
      <c r="WZA104" s="36"/>
      <c r="WZB104" s="18"/>
      <c r="WZC104" s="38"/>
      <c r="WZI104" s="36"/>
      <c r="WZJ104" s="18"/>
      <c r="WZK104" s="38"/>
      <c r="WZQ104" s="36"/>
      <c r="WZR104" s="18"/>
      <c r="WZS104" s="38"/>
      <c r="WZY104" s="36"/>
      <c r="WZZ104" s="18"/>
      <c r="XAA104" s="38"/>
      <c r="XAG104" s="36"/>
      <c r="XAH104" s="18"/>
      <c r="XAI104" s="38"/>
      <c r="XAO104" s="36"/>
      <c r="XAP104" s="18"/>
      <c r="XAQ104" s="38"/>
      <c r="XAW104" s="36"/>
      <c r="XAX104" s="18"/>
      <c r="XAY104" s="38"/>
      <c r="XBE104" s="36"/>
      <c r="XBF104" s="18"/>
      <c r="XBG104" s="38"/>
      <c r="XBM104" s="36"/>
      <c r="XBN104" s="18"/>
      <c r="XBO104" s="38"/>
      <c r="XBU104" s="36"/>
      <c r="XBV104" s="18"/>
      <c r="XBW104" s="38"/>
      <c r="XCC104" s="36"/>
      <c r="XCD104" s="18"/>
      <c r="XCE104" s="38"/>
      <c r="XCK104" s="36"/>
      <c r="XCL104" s="18"/>
      <c r="XCM104" s="38"/>
      <c r="XCS104" s="36"/>
      <c r="XCT104" s="18"/>
      <c r="XCU104" s="38"/>
      <c r="XDA104" s="36"/>
      <c r="XDB104" s="18"/>
      <c r="XDC104" s="38"/>
      <c r="XDI104" s="36"/>
      <c r="XDJ104" s="18"/>
      <c r="XDK104" s="38"/>
      <c r="XDQ104" s="36"/>
      <c r="XDR104" s="18"/>
      <c r="XDS104" s="38"/>
      <c r="XDY104" s="36"/>
      <c r="XDZ104" s="18"/>
      <c r="XEA104" s="38"/>
      <c r="XEG104" s="36"/>
      <c r="XEH104" s="18"/>
      <c r="XEI104" s="38"/>
      <c r="XEO104" s="36"/>
      <c r="XEP104" s="18"/>
      <c r="XEQ104" s="38"/>
      <c r="XEW104" s="36"/>
      <c r="XEX104" s="18"/>
      <c r="XEY104" s="38"/>
    </row>
    <row r="105" spans="1:1019 1025:2043 2049:3067 3073:4091 4097:5115 5121:6139 6145:7163 7169:8187 8193:9211 9217:10235 10241:11259 11265:12283 12289:13307 13313:14331 14337:15355 15361:16379" s="24" customFormat="1" ht="15" customHeight="1">
      <c r="A105" s="36"/>
      <c r="B105" s="18" t="s">
        <v>25</v>
      </c>
      <c r="C105" s="38">
        <v>960883</v>
      </c>
      <c r="D105" s="24">
        <v>219578</v>
      </c>
      <c r="E105" s="24">
        <v>67343</v>
      </c>
      <c r="F105" s="24">
        <v>489066</v>
      </c>
      <c r="G105" s="24">
        <v>182836</v>
      </c>
      <c r="H105" s="24">
        <v>2060</v>
      </c>
      <c r="J105" s="23"/>
      <c r="K105" s="38"/>
      <c r="Q105" s="36"/>
      <c r="R105" s="18"/>
      <c r="S105" s="38"/>
      <c r="Y105" s="36"/>
      <c r="Z105" s="18"/>
      <c r="AA105" s="38"/>
      <c r="AG105" s="36"/>
      <c r="AH105" s="18"/>
      <c r="AI105" s="38"/>
      <c r="AO105" s="36"/>
      <c r="AP105" s="18"/>
      <c r="AQ105" s="38"/>
      <c r="AW105" s="36"/>
      <c r="AX105" s="18"/>
      <c r="AY105" s="38"/>
      <c r="BE105" s="36"/>
      <c r="BF105" s="18"/>
      <c r="BG105" s="38"/>
      <c r="BM105" s="36"/>
      <c r="BN105" s="18"/>
      <c r="BO105" s="38"/>
      <c r="BU105" s="36"/>
      <c r="BV105" s="18"/>
      <c r="BW105" s="38"/>
      <c r="CC105" s="36"/>
      <c r="CD105" s="18"/>
      <c r="CE105" s="38"/>
      <c r="CK105" s="36"/>
      <c r="CL105" s="18"/>
      <c r="CM105" s="38"/>
      <c r="CS105" s="36"/>
      <c r="CT105" s="18"/>
      <c r="CU105" s="38"/>
      <c r="DA105" s="36"/>
      <c r="DB105" s="18"/>
      <c r="DC105" s="38"/>
      <c r="DI105" s="36"/>
      <c r="DJ105" s="18"/>
      <c r="DK105" s="38"/>
      <c r="DQ105" s="36"/>
      <c r="DR105" s="18"/>
      <c r="DS105" s="38"/>
      <c r="DY105" s="36"/>
      <c r="DZ105" s="18"/>
      <c r="EA105" s="38"/>
      <c r="EG105" s="36"/>
      <c r="EH105" s="18"/>
      <c r="EI105" s="38"/>
      <c r="EO105" s="36"/>
      <c r="EP105" s="18"/>
      <c r="EQ105" s="38"/>
      <c r="EW105" s="36"/>
      <c r="EX105" s="18"/>
      <c r="EY105" s="38"/>
      <c r="FE105" s="36"/>
      <c r="FF105" s="18"/>
      <c r="FG105" s="38"/>
      <c r="FM105" s="36"/>
      <c r="FN105" s="18"/>
      <c r="FO105" s="38"/>
      <c r="FU105" s="36"/>
      <c r="FV105" s="18"/>
      <c r="FW105" s="38"/>
      <c r="GC105" s="36"/>
      <c r="GD105" s="18"/>
      <c r="GE105" s="38"/>
      <c r="GK105" s="36"/>
      <c r="GL105" s="18"/>
      <c r="GM105" s="38"/>
      <c r="GS105" s="36"/>
      <c r="GT105" s="18"/>
      <c r="GU105" s="38"/>
      <c r="HA105" s="36"/>
      <c r="HB105" s="18"/>
      <c r="HC105" s="38"/>
      <c r="HI105" s="36"/>
      <c r="HJ105" s="18"/>
      <c r="HK105" s="38"/>
      <c r="HQ105" s="36"/>
      <c r="HR105" s="18"/>
      <c r="HS105" s="38"/>
      <c r="HY105" s="36"/>
      <c r="HZ105" s="18"/>
      <c r="IA105" s="38"/>
      <c r="IG105" s="36"/>
      <c r="IH105" s="18"/>
      <c r="II105" s="38"/>
      <c r="IO105" s="36"/>
      <c r="IP105" s="18"/>
      <c r="IQ105" s="38"/>
      <c r="IW105" s="36"/>
      <c r="IX105" s="18"/>
      <c r="IY105" s="38"/>
      <c r="JE105" s="36"/>
      <c r="JF105" s="18"/>
      <c r="JG105" s="38"/>
      <c r="JM105" s="36"/>
      <c r="JN105" s="18"/>
      <c r="JO105" s="38"/>
      <c r="JU105" s="36"/>
      <c r="JV105" s="18"/>
      <c r="JW105" s="38"/>
      <c r="KC105" s="36"/>
      <c r="KD105" s="18"/>
      <c r="KE105" s="38"/>
      <c r="KK105" s="36"/>
      <c r="KL105" s="18"/>
      <c r="KM105" s="38"/>
      <c r="KS105" s="36"/>
      <c r="KT105" s="18"/>
      <c r="KU105" s="38"/>
      <c r="LA105" s="36"/>
      <c r="LB105" s="18"/>
      <c r="LC105" s="38"/>
      <c r="LI105" s="36"/>
      <c r="LJ105" s="18"/>
      <c r="LK105" s="38"/>
      <c r="LQ105" s="36"/>
      <c r="LR105" s="18"/>
      <c r="LS105" s="38"/>
      <c r="LY105" s="36"/>
      <c r="LZ105" s="18"/>
      <c r="MA105" s="38"/>
      <c r="MG105" s="36"/>
      <c r="MH105" s="18"/>
      <c r="MI105" s="38"/>
      <c r="MO105" s="36"/>
      <c r="MP105" s="18"/>
      <c r="MQ105" s="38"/>
      <c r="MW105" s="36"/>
      <c r="MX105" s="18"/>
      <c r="MY105" s="38"/>
      <c r="NE105" s="36"/>
      <c r="NF105" s="18"/>
      <c r="NG105" s="38"/>
      <c r="NM105" s="36"/>
      <c r="NN105" s="18"/>
      <c r="NO105" s="38"/>
      <c r="NU105" s="36"/>
      <c r="NV105" s="18"/>
      <c r="NW105" s="38"/>
      <c r="OC105" s="36"/>
      <c r="OD105" s="18"/>
      <c r="OE105" s="38"/>
      <c r="OK105" s="36"/>
      <c r="OL105" s="18"/>
      <c r="OM105" s="38"/>
      <c r="OS105" s="36"/>
      <c r="OT105" s="18"/>
      <c r="OU105" s="38"/>
      <c r="PA105" s="36"/>
      <c r="PB105" s="18"/>
      <c r="PC105" s="38"/>
      <c r="PI105" s="36"/>
      <c r="PJ105" s="18"/>
      <c r="PK105" s="38"/>
      <c r="PQ105" s="36"/>
      <c r="PR105" s="18"/>
      <c r="PS105" s="38"/>
      <c r="PY105" s="36"/>
      <c r="PZ105" s="18"/>
      <c r="QA105" s="38"/>
      <c r="QG105" s="36"/>
      <c r="QH105" s="18"/>
      <c r="QI105" s="38"/>
      <c r="QO105" s="36"/>
      <c r="QP105" s="18"/>
      <c r="QQ105" s="38"/>
      <c r="QW105" s="36"/>
      <c r="QX105" s="18"/>
      <c r="QY105" s="38"/>
      <c r="RE105" s="36"/>
      <c r="RF105" s="18"/>
      <c r="RG105" s="38"/>
      <c r="RM105" s="36"/>
      <c r="RN105" s="18"/>
      <c r="RO105" s="38"/>
      <c r="RU105" s="36"/>
      <c r="RV105" s="18"/>
      <c r="RW105" s="38"/>
      <c r="SC105" s="36"/>
      <c r="SD105" s="18"/>
      <c r="SE105" s="38"/>
      <c r="SK105" s="36"/>
      <c r="SL105" s="18"/>
      <c r="SM105" s="38"/>
      <c r="SS105" s="36"/>
      <c r="ST105" s="18"/>
      <c r="SU105" s="38"/>
      <c r="TA105" s="36"/>
      <c r="TB105" s="18"/>
      <c r="TC105" s="38"/>
      <c r="TI105" s="36"/>
      <c r="TJ105" s="18"/>
      <c r="TK105" s="38"/>
      <c r="TQ105" s="36"/>
      <c r="TR105" s="18"/>
      <c r="TS105" s="38"/>
      <c r="TY105" s="36"/>
      <c r="TZ105" s="18"/>
      <c r="UA105" s="38"/>
      <c r="UG105" s="36"/>
      <c r="UH105" s="18"/>
      <c r="UI105" s="38"/>
      <c r="UO105" s="36"/>
      <c r="UP105" s="18"/>
      <c r="UQ105" s="38"/>
      <c r="UW105" s="36"/>
      <c r="UX105" s="18"/>
      <c r="UY105" s="38"/>
      <c r="VE105" s="36"/>
      <c r="VF105" s="18"/>
      <c r="VG105" s="38"/>
      <c r="VM105" s="36"/>
      <c r="VN105" s="18"/>
      <c r="VO105" s="38"/>
      <c r="VU105" s="36"/>
      <c r="VV105" s="18"/>
      <c r="VW105" s="38"/>
      <c r="WC105" s="36"/>
      <c r="WD105" s="18"/>
      <c r="WE105" s="38"/>
      <c r="WK105" s="36"/>
      <c r="WL105" s="18"/>
      <c r="WM105" s="38"/>
      <c r="WS105" s="36"/>
      <c r="WT105" s="18"/>
      <c r="WU105" s="38"/>
      <c r="XA105" s="36"/>
      <c r="XB105" s="18"/>
      <c r="XC105" s="38"/>
      <c r="XI105" s="36"/>
      <c r="XJ105" s="18"/>
      <c r="XK105" s="38"/>
      <c r="XQ105" s="36"/>
      <c r="XR105" s="18"/>
      <c r="XS105" s="38"/>
      <c r="XY105" s="36"/>
      <c r="XZ105" s="18"/>
      <c r="YA105" s="38"/>
      <c r="YG105" s="36"/>
      <c r="YH105" s="18"/>
      <c r="YI105" s="38"/>
      <c r="YO105" s="36"/>
      <c r="YP105" s="18"/>
      <c r="YQ105" s="38"/>
      <c r="YW105" s="36"/>
      <c r="YX105" s="18"/>
      <c r="YY105" s="38"/>
      <c r="ZE105" s="36"/>
      <c r="ZF105" s="18"/>
      <c r="ZG105" s="38"/>
      <c r="ZM105" s="36"/>
      <c r="ZN105" s="18"/>
      <c r="ZO105" s="38"/>
      <c r="ZU105" s="36"/>
      <c r="ZV105" s="18"/>
      <c r="ZW105" s="38"/>
      <c r="AAC105" s="36"/>
      <c r="AAD105" s="18"/>
      <c r="AAE105" s="38"/>
      <c r="AAK105" s="36"/>
      <c r="AAL105" s="18"/>
      <c r="AAM105" s="38"/>
      <c r="AAS105" s="36"/>
      <c r="AAT105" s="18"/>
      <c r="AAU105" s="38"/>
      <c r="ABA105" s="36"/>
      <c r="ABB105" s="18"/>
      <c r="ABC105" s="38"/>
      <c r="ABI105" s="36"/>
      <c r="ABJ105" s="18"/>
      <c r="ABK105" s="38"/>
      <c r="ABQ105" s="36"/>
      <c r="ABR105" s="18"/>
      <c r="ABS105" s="38"/>
      <c r="ABY105" s="36"/>
      <c r="ABZ105" s="18"/>
      <c r="ACA105" s="38"/>
      <c r="ACG105" s="36"/>
      <c r="ACH105" s="18"/>
      <c r="ACI105" s="38"/>
      <c r="ACO105" s="36"/>
      <c r="ACP105" s="18"/>
      <c r="ACQ105" s="38"/>
      <c r="ACW105" s="36"/>
      <c r="ACX105" s="18"/>
      <c r="ACY105" s="38"/>
      <c r="ADE105" s="36"/>
      <c r="ADF105" s="18"/>
      <c r="ADG105" s="38"/>
      <c r="ADM105" s="36"/>
      <c r="ADN105" s="18"/>
      <c r="ADO105" s="38"/>
      <c r="ADU105" s="36"/>
      <c r="ADV105" s="18"/>
      <c r="ADW105" s="38"/>
      <c r="AEC105" s="36"/>
      <c r="AED105" s="18"/>
      <c r="AEE105" s="38"/>
      <c r="AEK105" s="36"/>
      <c r="AEL105" s="18"/>
      <c r="AEM105" s="38"/>
      <c r="AES105" s="36"/>
      <c r="AET105" s="18"/>
      <c r="AEU105" s="38"/>
      <c r="AFA105" s="36"/>
      <c r="AFB105" s="18"/>
      <c r="AFC105" s="38"/>
      <c r="AFI105" s="36"/>
      <c r="AFJ105" s="18"/>
      <c r="AFK105" s="38"/>
      <c r="AFQ105" s="36"/>
      <c r="AFR105" s="18"/>
      <c r="AFS105" s="38"/>
      <c r="AFY105" s="36"/>
      <c r="AFZ105" s="18"/>
      <c r="AGA105" s="38"/>
      <c r="AGG105" s="36"/>
      <c r="AGH105" s="18"/>
      <c r="AGI105" s="38"/>
      <c r="AGO105" s="36"/>
      <c r="AGP105" s="18"/>
      <c r="AGQ105" s="38"/>
      <c r="AGW105" s="36"/>
      <c r="AGX105" s="18"/>
      <c r="AGY105" s="38"/>
      <c r="AHE105" s="36"/>
      <c r="AHF105" s="18"/>
      <c r="AHG105" s="38"/>
      <c r="AHM105" s="36"/>
      <c r="AHN105" s="18"/>
      <c r="AHO105" s="38"/>
      <c r="AHU105" s="36"/>
      <c r="AHV105" s="18"/>
      <c r="AHW105" s="38"/>
      <c r="AIC105" s="36"/>
      <c r="AID105" s="18"/>
      <c r="AIE105" s="38"/>
      <c r="AIK105" s="36"/>
      <c r="AIL105" s="18"/>
      <c r="AIM105" s="38"/>
      <c r="AIS105" s="36"/>
      <c r="AIT105" s="18"/>
      <c r="AIU105" s="38"/>
      <c r="AJA105" s="36"/>
      <c r="AJB105" s="18"/>
      <c r="AJC105" s="38"/>
      <c r="AJI105" s="36"/>
      <c r="AJJ105" s="18"/>
      <c r="AJK105" s="38"/>
      <c r="AJQ105" s="36"/>
      <c r="AJR105" s="18"/>
      <c r="AJS105" s="38"/>
      <c r="AJY105" s="36"/>
      <c r="AJZ105" s="18"/>
      <c r="AKA105" s="38"/>
      <c r="AKG105" s="36"/>
      <c r="AKH105" s="18"/>
      <c r="AKI105" s="38"/>
      <c r="AKO105" s="36"/>
      <c r="AKP105" s="18"/>
      <c r="AKQ105" s="38"/>
      <c r="AKW105" s="36"/>
      <c r="AKX105" s="18"/>
      <c r="AKY105" s="38"/>
      <c r="ALE105" s="36"/>
      <c r="ALF105" s="18"/>
      <c r="ALG105" s="38"/>
      <c r="ALM105" s="36"/>
      <c r="ALN105" s="18"/>
      <c r="ALO105" s="38"/>
      <c r="ALU105" s="36"/>
      <c r="ALV105" s="18"/>
      <c r="ALW105" s="38"/>
      <c r="AMC105" s="36"/>
      <c r="AMD105" s="18"/>
      <c r="AME105" s="38"/>
      <c r="AMK105" s="36"/>
      <c r="AML105" s="18"/>
      <c r="AMM105" s="38"/>
      <c r="AMS105" s="36"/>
      <c r="AMT105" s="18"/>
      <c r="AMU105" s="38"/>
      <c r="ANA105" s="36"/>
      <c r="ANB105" s="18"/>
      <c r="ANC105" s="38"/>
      <c r="ANI105" s="36"/>
      <c r="ANJ105" s="18"/>
      <c r="ANK105" s="38"/>
      <c r="ANQ105" s="36"/>
      <c r="ANR105" s="18"/>
      <c r="ANS105" s="38"/>
      <c r="ANY105" s="36"/>
      <c r="ANZ105" s="18"/>
      <c r="AOA105" s="38"/>
      <c r="AOG105" s="36"/>
      <c r="AOH105" s="18"/>
      <c r="AOI105" s="38"/>
      <c r="AOO105" s="36"/>
      <c r="AOP105" s="18"/>
      <c r="AOQ105" s="38"/>
      <c r="AOW105" s="36"/>
      <c r="AOX105" s="18"/>
      <c r="AOY105" s="38"/>
      <c r="APE105" s="36"/>
      <c r="APF105" s="18"/>
      <c r="APG105" s="38"/>
      <c r="APM105" s="36"/>
      <c r="APN105" s="18"/>
      <c r="APO105" s="38"/>
      <c r="APU105" s="36"/>
      <c r="APV105" s="18"/>
      <c r="APW105" s="38"/>
      <c r="AQC105" s="36"/>
      <c r="AQD105" s="18"/>
      <c r="AQE105" s="38"/>
      <c r="AQK105" s="36"/>
      <c r="AQL105" s="18"/>
      <c r="AQM105" s="38"/>
      <c r="AQS105" s="36"/>
      <c r="AQT105" s="18"/>
      <c r="AQU105" s="38"/>
      <c r="ARA105" s="36"/>
      <c r="ARB105" s="18"/>
      <c r="ARC105" s="38"/>
      <c r="ARI105" s="36"/>
      <c r="ARJ105" s="18"/>
      <c r="ARK105" s="38"/>
      <c r="ARQ105" s="36"/>
      <c r="ARR105" s="18"/>
      <c r="ARS105" s="38"/>
      <c r="ARY105" s="36"/>
      <c r="ARZ105" s="18"/>
      <c r="ASA105" s="38"/>
      <c r="ASG105" s="36"/>
      <c r="ASH105" s="18"/>
      <c r="ASI105" s="38"/>
      <c r="ASO105" s="36"/>
      <c r="ASP105" s="18"/>
      <c r="ASQ105" s="38"/>
      <c r="ASW105" s="36"/>
      <c r="ASX105" s="18"/>
      <c r="ASY105" s="38"/>
      <c r="ATE105" s="36"/>
      <c r="ATF105" s="18"/>
      <c r="ATG105" s="38"/>
      <c r="ATM105" s="36"/>
      <c r="ATN105" s="18"/>
      <c r="ATO105" s="38"/>
      <c r="ATU105" s="36"/>
      <c r="ATV105" s="18"/>
      <c r="ATW105" s="38"/>
      <c r="AUC105" s="36"/>
      <c r="AUD105" s="18"/>
      <c r="AUE105" s="38"/>
      <c r="AUK105" s="36"/>
      <c r="AUL105" s="18"/>
      <c r="AUM105" s="38"/>
      <c r="AUS105" s="36"/>
      <c r="AUT105" s="18"/>
      <c r="AUU105" s="38"/>
      <c r="AVA105" s="36"/>
      <c r="AVB105" s="18"/>
      <c r="AVC105" s="38"/>
      <c r="AVI105" s="36"/>
      <c r="AVJ105" s="18"/>
      <c r="AVK105" s="38"/>
      <c r="AVQ105" s="36"/>
      <c r="AVR105" s="18"/>
      <c r="AVS105" s="38"/>
      <c r="AVY105" s="36"/>
      <c r="AVZ105" s="18"/>
      <c r="AWA105" s="38"/>
      <c r="AWG105" s="36"/>
      <c r="AWH105" s="18"/>
      <c r="AWI105" s="38"/>
      <c r="AWO105" s="36"/>
      <c r="AWP105" s="18"/>
      <c r="AWQ105" s="38"/>
      <c r="AWW105" s="36"/>
      <c r="AWX105" s="18"/>
      <c r="AWY105" s="38"/>
      <c r="AXE105" s="36"/>
      <c r="AXF105" s="18"/>
      <c r="AXG105" s="38"/>
      <c r="AXM105" s="36"/>
      <c r="AXN105" s="18"/>
      <c r="AXO105" s="38"/>
      <c r="AXU105" s="36"/>
      <c r="AXV105" s="18"/>
      <c r="AXW105" s="38"/>
      <c r="AYC105" s="36"/>
      <c r="AYD105" s="18"/>
      <c r="AYE105" s="38"/>
      <c r="AYK105" s="36"/>
      <c r="AYL105" s="18"/>
      <c r="AYM105" s="38"/>
      <c r="AYS105" s="36"/>
      <c r="AYT105" s="18"/>
      <c r="AYU105" s="38"/>
      <c r="AZA105" s="36"/>
      <c r="AZB105" s="18"/>
      <c r="AZC105" s="38"/>
      <c r="AZI105" s="36"/>
      <c r="AZJ105" s="18"/>
      <c r="AZK105" s="38"/>
      <c r="AZQ105" s="36"/>
      <c r="AZR105" s="18"/>
      <c r="AZS105" s="38"/>
      <c r="AZY105" s="36"/>
      <c r="AZZ105" s="18"/>
      <c r="BAA105" s="38"/>
      <c r="BAG105" s="36"/>
      <c r="BAH105" s="18"/>
      <c r="BAI105" s="38"/>
      <c r="BAO105" s="36"/>
      <c r="BAP105" s="18"/>
      <c r="BAQ105" s="38"/>
      <c r="BAW105" s="36"/>
      <c r="BAX105" s="18"/>
      <c r="BAY105" s="38"/>
      <c r="BBE105" s="36"/>
      <c r="BBF105" s="18"/>
      <c r="BBG105" s="38"/>
      <c r="BBM105" s="36"/>
      <c r="BBN105" s="18"/>
      <c r="BBO105" s="38"/>
      <c r="BBU105" s="36"/>
      <c r="BBV105" s="18"/>
      <c r="BBW105" s="38"/>
      <c r="BCC105" s="36"/>
      <c r="BCD105" s="18"/>
      <c r="BCE105" s="38"/>
      <c r="BCK105" s="36"/>
      <c r="BCL105" s="18"/>
      <c r="BCM105" s="38"/>
      <c r="BCS105" s="36"/>
      <c r="BCT105" s="18"/>
      <c r="BCU105" s="38"/>
      <c r="BDA105" s="36"/>
      <c r="BDB105" s="18"/>
      <c r="BDC105" s="38"/>
      <c r="BDI105" s="36"/>
      <c r="BDJ105" s="18"/>
      <c r="BDK105" s="38"/>
      <c r="BDQ105" s="36"/>
      <c r="BDR105" s="18"/>
      <c r="BDS105" s="38"/>
      <c r="BDY105" s="36"/>
      <c r="BDZ105" s="18"/>
      <c r="BEA105" s="38"/>
      <c r="BEG105" s="36"/>
      <c r="BEH105" s="18"/>
      <c r="BEI105" s="38"/>
      <c r="BEO105" s="36"/>
      <c r="BEP105" s="18"/>
      <c r="BEQ105" s="38"/>
      <c r="BEW105" s="36"/>
      <c r="BEX105" s="18"/>
      <c r="BEY105" s="38"/>
      <c r="BFE105" s="36"/>
      <c r="BFF105" s="18"/>
      <c r="BFG105" s="38"/>
      <c r="BFM105" s="36"/>
      <c r="BFN105" s="18"/>
      <c r="BFO105" s="38"/>
      <c r="BFU105" s="36"/>
      <c r="BFV105" s="18"/>
      <c r="BFW105" s="38"/>
      <c r="BGC105" s="36"/>
      <c r="BGD105" s="18"/>
      <c r="BGE105" s="38"/>
      <c r="BGK105" s="36"/>
      <c r="BGL105" s="18"/>
      <c r="BGM105" s="38"/>
      <c r="BGS105" s="36"/>
      <c r="BGT105" s="18"/>
      <c r="BGU105" s="38"/>
      <c r="BHA105" s="36"/>
      <c r="BHB105" s="18"/>
      <c r="BHC105" s="38"/>
      <c r="BHI105" s="36"/>
      <c r="BHJ105" s="18"/>
      <c r="BHK105" s="38"/>
      <c r="BHQ105" s="36"/>
      <c r="BHR105" s="18"/>
      <c r="BHS105" s="38"/>
      <c r="BHY105" s="36"/>
      <c r="BHZ105" s="18"/>
      <c r="BIA105" s="38"/>
      <c r="BIG105" s="36"/>
      <c r="BIH105" s="18"/>
      <c r="BII105" s="38"/>
      <c r="BIO105" s="36"/>
      <c r="BIP105" s="18"/>
      <c r="BIQ105" s="38"/>
      <c r="BIW105" s="36"/>
      <c r="BIX105" s="18"/>
      <c r="BIY105" s="38"/>
      <c r="BJE105" s="36"/>
      <c r="BJF105" s="18"/>
      <c r="BJG105" s="38"/>
      <c r="BJM105" s="36"/>
      <c r="BJN105" s="18"/>
      <c r="BJO105" s="38"/>
      <c r="BJU105" s="36"/>
      <c r="BJV105" s="18"/>
      <c r="BJW105" s="38"/>
      <c r="BKC105" s="36"/>
      <c r="BKD105" s="18"/>
      <c r="BKE105" s="38"/>
      <c r="BKK105" s="36"/>
      <c r="BKL105" s="18"/>
      <c r="BKM105" s="38"/>
      <c r="BKS105" s="36"/>
      <c r="BKT105" s="18"/>
      <c r="BKU105" s="38"/>
      <c r="BLA105" s="36"/>
      <c r="BLB105" s="18"/>
      <c r="BLC105" s="38"/>
      <c r="BLI105" s="36"/>
      <c r="BLJ105" s="18"/>
      <c r="BLK105" s="38"/>
      <c r="BLQ105" s="36"/>
      <c r="BLR105" s="18"/>
      <c r="BLS105" s="38"/>
      <c r="BLY105" s="36"/>
      <c r="BLZ105" s="18"/>
      <c r="BMA105" s="38"/>
      <c r="BMG105" s="36"/>
      <c r="BMH105" s="18"/>
      <c r="BMI105" s="38"/>
      <c r="BMO105" s="36"/>
      <c r="BMP105" s="18"/>
      <c r="BMQ105" s="38"/>
      <c r="BMW105" s="36"/>
      <c r="BMX105" s="18"/>
      <c r="BMY105" s="38"/>
      <c r="BNE105" s="36"/>
      <c r="BNF105" s="18"/>
      <c r="BNG105" s="38"/>
      <c r="BNM105" s="36"/>
      <c r="BNN105" s="18"/>
      <c r="BNO105" s="38"/>
      <c r="BNU105" s="36"/>
      <c r="BNV105" s="18"/>
      <c r="BNW105" s="38"/>
      <c r="BOC105" s="36"/>
      <c r="BOD105" s="18"/>
      <c r="BOE105" s="38"/>
      <c r="BOK105" s="36"/>
      <c r="BOL105" s="18"/>
      <c r="BOM105" s="38"/>
      <c r="BOS105" s="36"/>
      <c r="BOT105" s="18"/>
      <c r="BOU105" s="38"/>
      <c r="BPA105" s="36"/>
      <c r="BPB105" s="18"/>
      <c r="BPC105" s="38"/>
      <c r="BPI105" s="36"/>
      <c r="BPJ105" s="18"/>
      <c r="BPK105" s="38"/>
      <c r="BPQ105" s="36"/>
      <c r="BPR105" s="18"/>
      <c r="BPS105" s="38"/>
      <c r="BPY105" s="36"/>
      <c r="BPZ105" s="18"/>
      <c r="BQA105" s="38"/>
      <c r="BQG105" s="36"/>
      <c r="BQH105" s="18"/>
      <c r="BQI105" s="38"/>
      <c r="BQO105" s="36"/>
      <c r="BQP105" s="18"/>
      <c r="BQQ105" s="38"/>
      <c r="BQW105" s="36"/>
      <c r="BQX105" s="18"/>
      <c r="BQY105" s="38"/>
      <c r="BRE105" s="36"/>
      <c r="BRF105" s="18"/>
      <c r="BRG105" s="38"/>
      <c r="BRM105" s="36"/>
      <c r="BRN105" s="18"/>
      <c r="BRO105" s="38"/>
      <c r="BRU105" s="36"/>
      <c r="BRV105" s="18"/>
      <c r="BRW105" s="38"/>
      <c r="BSC105" s="36"/>
      <c r="BSD105" s="18"/>
      <c r="BSE105" s="38"/>
      <c r="BSK105" s="36"/>
      <c r="BSL105" s="18"/>
      <c r="BSM105" s="38"/>
      <c r="BSS105" s="36"/>
      <c r="BST105" s="18"/>
      <c r="BSU105" s="38"/>
      <c r="BTA105" s="36"/>
      <c r="BTB105" s="18"/>
      <c r="BTC105" s="38"/>
      <c r="BTI105" s="36"/>
      <c r="BTJ105" s="18"/>
      <c r="BTK105" s="38"/>
      <c r="BTQ105" s="36"/>
      <c r="BTR105" s="18"/>
      <c r="BTS105" s="38"/>
      <c r="BTY105" s="36"/>
      <c r="BTZ105" s="18"/>
      <c r="BUA105" s="38"/>
      <c r="BUG105" s="36"/>
      <c r="BUH105" s="18"/>
      <c r="BUI105" s="38"/>
      <c r="BUO105" s="36"/>
      <c r="BUP105" s="18"/>
      <c r="BUQ105" s="38"/>
      <c r="BUW105" s="36"/>
      <c r="BUX105" s="18"/>
      <c r="BUY105" s="38"/>
      <c r="BVE105" s="36"/>
      <c r="BVF105" s="18"/>
      <c r="BVG105" s="38"/>
      <c r="BVM105" s="36"/>
      <c r="BVN105" s="18"/>
      <c r="BVO105" s="38"/>
      <c r="BVU105" s="36"/>
      <c r="BVV105" s="18"/>
      <c r="BVW105" s="38"/>
      <c r="BWC105" s="36"/>
      <c r="BWD105" s="18"/>
      <c r="BWE105" s="38"/>
      <c r="BWK105" s="36"/>
      <c r="BWL105" s="18"/>
      <c r="BWM105" s="38"/>
      <c r="BWS105" s="36"/>
      <c r="BWT105" s="18"/>
      <c r="BWU105" s="38"/>
      <c r="BXA105" s="36"/>
      <c r="BXB105" s="18"/>
      <c r="BXC105" s="38"/>
      <c r="BXI105" s="36"/>
      <c r="BXJ105" s="18"/>
      <c r="BXK105" s="38"/>
      <c r="BXQ105" s="36"/>
      <c r="BXR105" s="18"/>
      <c r="BXS105" s="38"/>
      <c r="BXY105" s="36"/>
      <c r="BXZ105" s="18"/>
      <c r="BYA105" s="38"/>
      <c r="BYG105" s="36"/>
      <c r="BYH105" s="18"/>
      <c r="BYI105" s="38"/>
      <c r="BYO105" s="36"/>
      <c r="BYP105" s="18"/>
      <c r="BYQ105" s="38"/>
      <c r="BYW105" s="36"/>
      <c r="BYX105" s="18"/>
      <c r="BYY105" s="38"/>
      <c r="BZE105" s="36"/>
      <c r="BZF105" s="18"/>
      <c r="BZG105" s="38"/>
      <c r="BZM105" s="36"/>
      <c r="BZN105" s="18"/>
      <c r="BZO105" s="38"/>
      <c r="BZU105" s="36"/>
      <c r="BZV105" s="18"/>
      <c r="BZW105" s="38"/>
      <c r="CAC105" s="36"/>
      <c r="CAD105" s="18"/>
      <c r="CAE105" s="38"/>
      <c r="CAK105" s="36"/>
      <c r="CAL105" s="18"/>
      <c r="CAM105" s="38"/>
      <c r="CAS105" s="36"/>
      <c r="CAT105" s="18"/>
      <c r="CAU105" s="38"/>
      <c r="CBA105" s="36"/>
      <c r="CBB105" s="18"/>
      <c r="CBC105" s="38"/>
      <c r="CBI105" s="36"/>
      <c r="CBJ105" s="18"/>
      <c r="CBK105" s="38"/>
      <c r="CBQ105" s="36"/>
      <c r="CBR105" s="18"/>
      <c r="CBS105" s="38"/>
      <c r="CBY105" s="36"/>
      <c r="CBZ105" s="18"/>
      <c r="CCA105" s="38"/>
      <c r="CCG105" s="36"/>
      <c r="CCH105" s="18"/>
      <c r="CCI105" s="38"/>
      <c r="CCO105" s="36"/>
      <c r="CCP105" s="18"/>
      <c r="CCQ105" s="38"/>
      <c r="CCW105" s="36"/>
      <c r="CCX105" s="18"/>
      <c r="CCY105" s="38"/>
      <c r="CDE105" s="36"/>
      <c r="CDF105" s="18"/>
      <c r="CDG105" s="38"/>
      <c r="CDM105" s="36"/>
      <c r="CDN105" s="18"/>
      <c r="CDO105" s="38"/>
      <c r="CDU105" s="36"/>
      <c r="CDV105" s="18"/>
      <c r="CDW105" s="38"/>
      <c r="CEC105" s="36"/>
      <c r="CED105" s="18"/>
      <c r="CEE105" s="38"/>
      <c r="CEK105" s="36"/>
      <c r="CEL105" s="18"/>
      <c r="CEM105" s="38"/>
      <c r="CES105" s="36"/>
      <c r="CET105" s="18"/>
      <c r="CEU105" s="38"/>
      <c r="CFA105" s="36"/>
      <c r="CFB105" s="18"/>
      <c r="CFC105" s="38"/>
      <c r="CFI105" s="36"/>
      <c r="CFJ105" s="18"/>
      <c r="CFK105" s="38"/>
      <c r="CFQ105" s="36"/>
      <c r="CFR105" s="18"/>
      <c r="CFS105" s="38"/>
      <c r="CFY105" s="36"/>
      <c r="CFZ105" s="18"/>
      <c r="CGA105" s="38"/>
      <c r="CGG105" s="36"/>
      <c r="CGH105" s="18"/>
      <c r="CGI105" s="38"/>
      <c r="CGO105" s="36"/>
      <c r="CGP105" s="18"/>
      <c r="CGQ105" s="38"/>
      <c r="CGW105" s="36"/>
      <c r="CGX105" s="18"/>
      <c r="CGY105" s="38"/>
      <c r="CHE105" s="36"/>
      <c r="CHF105" s="18"/>
      <c r="CHG105" s="38"/>
      <c r="CHM105" s="36"/>
      <c r="CHN105" s="18"/>
      <c r="CHO105" s="38"/>
      <c r="CHU105" s="36"/>
      <c r="CHV105" s="18"/>
      <c r="CHW105" s="38"/>
      <c r="CIC105" s="36"/>
      <c r="CID105" s="18"/>
      <c r="CIE105" s="38"/>
      <c r="CIK105" s="36"/>
      <c r="CIL105" s="18"/>
      <c r="CIM105" s="38"/>
      <c r="CIS105" s="36"/>
      <c r="CIT105" s="18"/>
      <c r="CIU105" s="38"/>
      <c r="CJA105" s="36"/>
      <c r="CJB105" s="18"/>
      <c r="CJC105" s="38"/>
      <c r="CJI105" s="36"/>
      <c r="CJJ105" s="18"/>
      <c r="CJK105" s="38"/>
      <c r="CJQ105" s="36"/>
      <c r="CJR105" s="18"/>
      <c r="CJS105" s="38"/>
      <c r="CJY105" s="36"/>
      <c r="CJZ105" s="18"/>
      <c r="CKA105" s="38"/>
      <c r="CKG105" s="36"/>
      <c r="CKH105" s="18"/>
      <c r="CKI105" s="38"/>
      <c r="CKO105" s="36"/>
      <c r="CKP105" s="18"/>
      <c r="CKQ105" s="38"/>
      <c r="CKW105" s="36"/>
      <c r="CKX105" s="18"/>
      <c r="CKY105" s="38"/>
      <c r="CLE105" s="36"/>
      <c r="CLF105" s="18"/>
      <c r="CLG105" s="38"/>
      <c r="CLM105" s="36"/>
      <c r="CLN105" s="18"/>
      <c r="CLO105" s="38"/>
      <c r="CLU105" s="36"/>
      <c r="CLV105" s="18"/>
      <c r="CLW105" s="38"/>
      <c r="CMC105" s="36"/>
      <c r="CMD105" s="18"/>
      <c r="CME105" s="38"/>
      <c r="CMK105" s="36"/>
      <c r="CML105" s="18"/>
      <c r="CMM105" s="38"/>
      <c r="CMS105" s="36"/>
      <c r="CMT105" s="18"/>
      <c r="CMU105" s="38"/>
      <c r="CNA105" s="36"/>
      <c r="CNB105" s="18"/>
      <c r="CNC105" s="38"/>
      <c r="CNI105" s="36"/>
      <c r="CNJ105" s="18"/>
      <c r="CNK105" s="38"/>
      <c r="CNQ105" s="36"/>
      <c r="CNR105" s="18"/>
      <c r="CNS105" s="38"/>
      <c r="CNY105" s="36"/>
      <c r="CNZ105" s="18"/>
      <c r="COA105" s="38"/>
      <c r="COG105" s="36"/>
      <c r="COH105" s="18"/>
      <c r="COI105" s="38"/>
      <c r="COO105" s="36"/>
      <c r="COP105" s="18"/>
      <c r="COQ105" s="38"/>
      <c r="COW105" s="36"/>
      <c r="COX105" s="18"/>
      <c r="COY105" s="38"/>
      <c r="CPE105" s="36"/>
      <c r="CPF105" s="18"/>
      <c r="CPG105" s="38"/>
      <c r="CPM105" s="36"/>
      <c r="CPN105" s="18"/>
      <c r="CPO105" s="38"/>
      <c r="CPU105" s="36"/>
      <c r="CPV105" s="18"/>
      <c r="CPW105" s="38"/>
      <c r="CQC105" s="36"/>
      <c r="CQD105" s="18"/>
      <c r="CQE105" s="38"/>
      <c r="CQK105" s="36"/>
      <c r="CQL105" s="18"/>
      <c r="CQM105" s="38"/>
      <c r="CQS105" s="36"/>
      <c r="CQT105" s="18"/>
      <c r="CQU105" s="38"/>
      <c r="CRA105" s="36"/>
      <c r="CRB105" s="18"/>
      <c r="CRC105" s="38"/>
      <c r="CRI105" s="36"/>
      <c r="CRJ105" s="18"/>
      <c r="CRK105" s="38"/>
      <c r="CRQ105" s="36"/>
      <c r="CRR105" s="18"/>
      <c r="CRS105" s="38"/>
      <c r="CRY105" s="36"/>
      <c r="CRZ105" s="18"/>
      <c r="CSA105" s="38"/>
      <c r="CSG105" s="36"/>
      <c r="CSH105" s="18"/>
      <c r="CSI105" s="38"/>
      <c r="CSO105" s="36"/>
      <c r="CSP105" s="18"/>
      <c r="CSQ105" s="38"/>
      <c r="CSW105" s="36"/>
      <c r="CSX105" s="18"/>
      <c r="CSY105" s="38"/>
      <c r="CTE105" s="36"/>
      <c r="CTF105" s="18"/>
      <c r="CTG105" s="38"/>
      <c r="CTM105" s="36"/>
      <c r="CTN105" s="18"/>
      <c r="CTO105" s="38"/>
      <c r="CTU105" s="36"/>
      <c r="CTV105" s="18"/>
      <c r="CTW105" s="38"/>
      <c r="CUC105" s="36"/>
      <c r="CUD105" s="18"/>
      <c r="CUE105" s="38"/>
      <c r="CUK105" s="36"/>
      <c r="CUL105" s="18"/>
      <c r="CUM105" s="38"/>
      <c r="CUS105" s="36"/>
      <c r="CUT105" s="18"/>
      <c r="CUU105" s="38"/>
      <c r="CVA105" s="36"/>
      <c r="CVB105" s="18"/>
      <c r="CVC105" s="38"/>
      <c r="CVI105" s="36"/>
      <c r="CVJ105" s="18"/>
      <c r="CVK105" s="38"/>
      <c r="CVQ105" s="36"/>
      <c r="CVR105" s="18"/>
      <c r="CVS105" s="38"/>
      <c r="CVY105" s="36"/>
      <c r="CVZ105" s="18"/>
      <c r="CWA105" s="38"/>
      <c r="CWG105" s="36"/>
      <c r="CWH105" s="18"/>
      <c r="CWI105" s="38"/>
      <c r="CWO105" s="36"/>
      <c r="CWP105" s="18"/>
      <c r="CWQ105" s="38"/>
      <c r="CWW105" s="36"/>
      <c r="CWX105" s="18"/>
      <c r="CWY105" s="38"/>
      <c r="CXE105" s="36"/>
      <c r="CXF105" s="18"/>
      <c r="CXG105" s="38"/>
      <c r="CXM105" s="36"/>
      <c r="CXN105" s="18"/>
      <c r="CXO105" s="38"/>
      <c r="CXU105" s="36"/>
      <c r="CXV105" s="18"/>
      <c r="CXW105" s="38"/>
      <c r="CYC105" s="36"/>
      <c r="CYD105" s="18"/>
      <c r="CYE105" s="38"/>
      <c r="CYK105" s="36"/>
      <c r="CYL105" s="18"/>
      <c r="CYM105" s="38"/>
      <c r="CYS105" s="36"/>
      <c r="CYT105" s="18"/>
      <c r="CYU105" s="38"/>
      <c r="CZA105" s="36"/>
      <c r="CZB105" s="18"/>
      <c r="CZC105" s="38"/>
      <c r="CZI105" s="36"/>
      <c r="CZJ105" s="18"/>
      <c r="CZK105" s="38"/>
      <c r="CZQ105" s="36"/>
      <c r="CZR105" s="18"/>
      <c r="CZS105" s="38"/>
      <c r="CZY105" s="36"/>
      <c r="CZZ105" s="18"/>
      <c r="DAA105" s="38"/>
      <c r="DAG105" s="36"/>
      <c r="DAH105" s="18"/>
      <c r="DAI105" s="38"/>
      <c r="DAO105" s="36"/>
      <c r="DAP105" s="18"/>
      <c r="DAQ105" s="38"/>
      <c r="DAW105" s="36"/>
      <c r="DAX105" s="18"/>
      <c r="DAY105" s="38"/>
      <c r="DBE105" s="36"/>
      <c r="DBF105" s="18"/>
      <c r="DBG105" s="38"/>
      <c r="DBM105" s="36"/>
      <c r="DBN105" s="18"/>
      <c r="DBO105" s="38"/>
      <c r="DBU105" s="36"/>
      <c r="DBV105" s="18"/>
      <c r="DBW105" s="38"/>
      <c r="DCC105" s="36"/>
      <c r="DCD105" s="18"/>
      <c r="DCE105" s="38"/>
      <c r="DCK105" s="36"/>
      <c r="DCL105" s="18"/>
      <c r="DCM105" s="38"/>
      <c r="DCS105" s="36"/>
      <c r="DCT105" s="18"/>
      <c r="DCU105" s="38"/>
      <c r="DDA105" s="36"/>
      <c r="DDB105" s="18"/>
      <c r="DDC105" s="38"/>
      <c r="DDI105" s="36"/>
      <c r="DDJ105" s="18"/>
      <c r="DDK105" s="38"/>
      <c r="DDQ105" s="36"/>
      <c r="DDR105" s="18"/>
      <c r="DDS105" s="38"/>
      <c r="DDY105" s="36"/>
      <c r="DDZ105" s="18"/>
      <c r="DEA105" s="38"/>
      <c r="DEG105" s="36"/>
      <c r="DEH105" s="18"/>
      <c r="DEI105" s="38"/>
      <c r="DEO105" s="36"/>
      <c r="DEP105" s="18"/>
      <c r="DEQ105" s="38"/>
      <c r="DEW105" s="36"/>
      <c r="DEX105" s="18"/>
      <c r="DEY105" s="38"/>
      <c r="DFE105" s="36"/>
      <c r="DFF105" s="18"/>
      <c r="DFG105" s="38"/>
      <c r="DFM105" s="36"/>
      <c r="DFN105" s="18"/>
      <c r="DFO105" s="38"/>
      <c r="DFU105" s="36"/>
      <c r="DFV105" s="18"/>
      <c r="DFW105" s="38"/>
      <c r="DGC105" s="36"/>
      <c r="DGD105" s="18"/>
      <c r="DGE105" s="38"/>
      <c r="DGK105" s="36"/>
      <c r="DGL105" s="18"/>
      <c r="DGM105" s="38"/>
      <c r="DGS105" s="36"/>
      <c r="DGT105" s="18"/>
      <c r="DGU105" s="38"/>
      <c r="DHA105" s="36"/>
      <c r="DHB105" s="18"/>
      <c r="DHC105" s="38"/>
      <c r="DHI105" s="36"/>
      <c r="DHJ105" s="18"/>
      <c r="DHK105" s="38"/>
      <c r="DHQ105" s="36"/>
      <c r="DHR105" s="18"/>
      <c r="DHS105" s="38"/>
      <c r="DHY105" s="36"/>
      <c r="DHZ105" s="18"/>
      <c r="DIA105" s="38"/>
      <c r="DIG105" s="36"/>
      <c r="DIH105" s="18"/>
      <c r="DII105" s="38"/>
      <c r="DIO105" s="36"/>
      <c r="DIP105" s="18"/>
      <c r="DIQ105" s="38"/>
      <c r="DIW105" s="36"/>
      <c r="DIX105" s="18"/>
      <c r="DIY105" s="38"/>
      <c r="DJE105" s="36"/>
      <c r="DJF105" s="18"/>
      <c r="DJG105" s="38"/>
      <c r="DJM105" s="36"/>
      <c r="DJN105" s="18"/>
      <c r="DJO105" s="38"/>
      <c r="DJU105" s="36"/>
      <c r="DJV105" s="18"/>
      <c r="DJW105" s="38"/>
      <c r="DKC105" s="36"/>
      <c r="DKD105" s="18"/>
      <c r="DKE105" s="38"/>
      <c r="DKK105" s="36"/>
      <c r="DKL105" s="18"/>
      <c r="DKM105" s="38"/>
      <c r="DKS105" s="36"/>
      <c r="DKT105" s="18"/>
      <c r="DKU105" s="38"/>
      <c r="DLA105" s="36"/>
      <c r="DLB105" s="18"/>
      <c r="DLC105" s="38"/>
      <c r="DLI105" s="36"/>
      <c r="DLJ105" s="18"/>
      <c r="DLK105" s="38"/>
      <c r="DLQ105" s="36"/>
      <c r="DLR105" s="18"/>
      <c r="DLS105" s="38"/>
      <c r="DLY105" s="36"/>
      <c r="DLZ105" s="18"/>
      <c r="DMA105" s="38"/>
      <c r="DMG105" s="36"/>
      <c r="DMH105" s="18"/>
      <c r="DMI105" s="38"/>
      <c r="DMO105" s="36"/>
      <c r="DMP105" s="18"/>
      <c r="DMQ105" s="38"/>
      <c r="DMW105" s="36"/>
      <c r="DMX105" s="18"/>
      <c r="DMY105" s="38"/>
      <c r="DNE105" s="36"/>
      <c r="DNF105" s="18"/>
      <c r="DNG105" s="38"/>
      <c r="DNM105" s="36"/>
      <c r="DNN105" s="18"/>
      <c r="DNO105" s="38"/>
      <c r="DNU105" s="36"/>
      <c r="DNV105" s="18"/>
      <c r="DNW105" s="38"/>
      <c r="DOC105" s="36"/>
      <c r="DOD105" s="18"/>
      <c r="DOE105" s="38"/>
      <c r="DOK105" s="36"/>
      <c r="DOL105" s="18"/>
      <c r="DOM105" s="38"/>
      <c r="DOS105" s="36"/>
      <c r="DOT105" s="18"/>
      <c r="DOU105" s="38"/>
      <c r="DPA105" s="36"/>
      <c r="DPB105" s="18"/>
      <c r="DPC105" s="38"/>
      <c r="DPI105" s="36"/>
      <c r="DPJ105" s="18"/>
      <c r="DPK105" s="38"/>
      <c r="DPQ105" s="36"/>
      <c r="DPR105" s="18"/>
      <c r="DPS105" s="38"/>
      <c r="DPY105" s="36"/>
      <c r="DPZ105" s="18"/>
      <c r="DQA105" s="38"/>
      <c r="DQG105" s="36"/>
      <c r="DQH105" s="18"/>
      <c r="DQI105" s="38"/>
      <c r="DQO105" s="36"/>
      <c r="DQP105" s="18"/>
      <c r="DQQ105" s="38"/>
      <c r="DQW105" s="36"/>
      <c r="DQX105" s="18"/>
      <c r="DQY105" s="38"/>
      <c r="DRE105" s="36"/>
      <c r="DRF105" s="18"/>
      <c r="DRG105" s="38"/>
      <c r="DRM105" s="36"/>
      <c r="DRN105" s="18"/>
      <c r="DRO105" s="38"/>
      <c r="DRU105" s="36"/>
      <c r="DRV105" s="18"/>
      <c r="DRW105" s="38"/>
      <c r="DSC105" s="36"/>
      <c r="DSD105" s="18"/>
      <c r="DSE105" s="38"/>
      <c r="DSK105" s="36"/>
      <c r="DSL105" s="18"/>
      <c r="DSM105" s="38"/>
      <c r="DSS105" s="36"/>
      <c r="DST105" s="18"/>
      <c r="DSU105" s="38"/>
      <c r="DTA105" s="36"/>
      <c r="DTB105" s="18"/>
      <c r="DTC105" s="38"/>
      <c r="DTI105" s="36"/>
      <c r="DTJ105" s="18"/>
      <c r="DTK105" s="38"/>
      <c r="DTQ105" s="36"/>
      <c r="DTR105" s="18"/>
      <c r="DTS105" s="38"/>
      <c r="DTY105" s="36"/>
      <c r="DTZ105" s="18"/>
      <c r="DUA105" s="38"/>
      <c r="DUG105" s="36"/>
      <c r="DUH105" s="18"/>
      <c r="DUI105" s="38"/>
      <c r="DUO105" s="36"/>
      <c r="DUP105" s="18"/>
      <c r="DUQ105" s="38"/>
      <c r="DUW105" s="36"/>
      <c r="DUX105" s="18"/>
      <c r="DUY105" s="38"/>
      <c r="DVE105" s="36"/>
      <c r="DVF105" s="18"/>
      <c r="DVG105" s="38"/>
      <c r="DVM105" s="36"/>
      <c r="DVN105" s="18"/>
      <c r="DVO105" s="38"/>
      <c r="DVU105" s="36"/>
      <c r="DVV105" s="18"/>
      <c r="DVW105" s="38"/>
      <c r="DWC105" s="36"/>
      <c r="DWD105" s="18"/>
      <c r="DWE105" s="38"/>
      <c r="DWK105" s="36"/>
      <c r="DWL105" s="18"/>
      <c r="DWM105" s="38"/>
      <c r="DWS105" s="36"/>
      <c r="DWT105" s="18"/>
      <c r="DWU105" s="38"/>
      <c r="DXA105" s="36"/>
      <c r="DXB105" s="18"/>
      <c r="DXC105" s="38"/>
      <c r="DXI105" s="36"/>
      <c r="DXJ105" s="18"/>
      <c r="DXK105" s="38"/>
      <c r="DXQ105" s="36"/>
      <c r="DXR105" s="18"/>
      <c r="DXS105" s="38"/>
      <c r="DXY105" s="36"/>
      <c r="DXZ105" s="18"/>
      <c r="DYA105" s="38"/>
      <c r="DYG105" s="36"/>
      <c r="DYH105" s="18"/>
      <c r="DYI105" s="38"/>
      <c r="DYO105" s="36"/>
      <c r="DYP105" s="18"/>
      <c r="DYQ105" s="38"/>
      <c r="DYW105" s="36"/>
      <c r="DYX105" s="18"/>
      <c r="DYY105" s="38"/>
      <c r="DZE105" s="36"/>
      <c r="DZF105" s="18"/>
      <c r="DZG105" s="38"/>
      <c r="DZM105" s="36"/>
      <c r="DZN105" s="18"/>
      <c r="DZO105" s="38"/>
      <c r="DZU105" s="36"/>
      <c r="DZV105" s="18"/>
      <c r="DZW105" s="38"/>
      <c r="EAC105" s="36"/>
      <c r="EAD105" s="18"/>
      <c r="EAE105" s="38"/>
      <c r="EAK105" s="36"/>
      <c r="EAL105" s="18"/>
      <c r="EAM105" s="38"/>
      <c r="EAS105" s="36"/>
      <c r="EAT105" s="18"/>
      <c r="EAU105" s="38"/>
      <c r="EBA105" s="36"/>
      <c r="EBB105" s="18"/>
      <c r="EBC105" s="38"/>
      <c r="EBI105" s="36"/>
      <c r="EBJ105" s="18"/>
      <c r="EBK105" s="38"/>
      <c r="EBQ105" s="36"/>
      <c r="EBR105" s="18"/>
      <c r="EBS105" s="38"/>
      <c r="EBY105" s="36"/>
      <c r="EBZ105" s="18"/>
      <c r="ECA105" s="38"/>
      <c r="ECG105" s="36"/>
      <c r="ECH105" s="18"/>
      <c r="ECI105" s="38"/>
      <c r="ECO105" s="36"/>
      <c r="ECP105" s="18"/>
      <c r="ECQ105" s="38"/>
      <c r="ECW105" s="36"/>
      <c r="ECX105" s="18"/>
      <c r="ECY105" s="38"/>
      <c r="EDE105" s="36"/>
      <c r="EDF105" s="18"/>
      <c r="EDG105" s="38"/>
      <c r="EDM105" s="36"/>
      <c r="EDN105" s="18"/>
      <c r="EDO105" s="38"/>
      <c r="EDU105" s="36"/>
      <c r="EDV105" s="18"/>
      <c r="EDW105" s="38"/>
      <c r="EEC105" s="36"/>
      <c r="EED105" s="18"/>
      <c r="EEE105" s="38"/>
      <c r="EEK105" s="36"/>
      <c r="EEL105" s="18"/>
      <c r="EEM105" s="38"/>
      <c r="EES105" s="36"/>
      <c r="EET105" s="18"/>
      <c r="EEU105" s="38"/>
      <c r="EFA105" s="36"/>
      <c r="EFB105" s="18"/>
      <c r="EFC105" s="38"/>
      <c r="EFI105" s="36"/>
      <c r="EFJ105" s="18"/>
      <c r="EFK105" s="38"/>
      <c r="EFQ105" s="36"/>
      <c r="EFR105" s="18"/>
      <c r="EFS105" s="38"/>
      <c r="EFY105" s="36"/>
      <c r="EFZ105" s="18"/>
      <c r="EGA105" s="38"/>
      <c r="EGG105" s="36"/>
      <c r="EGH105" s="18"/>
      <c r="EGI105" s="38"/>
      <c r="EGO105" s="36"/>
      <c r="EGP105" s="18"/>
      <c r="EGQ105" s="38"/>
      <c r="EGW105" s="36"/>
      <c r="EGX105" s="18"/>
      <c r="EGY105" s="38"/>
      <c r="EHE105" s="36"/>
      <c r="EHF105" s="18"/>
      <c r="EHG105" s="38"/>
      <c r="EHM105" s="36"/>
      <c r="EHN105" s="18"/>
      <c r="EHO105" s="38"/>
      <c r="EHU105" s="36"/>
      <c r="EHV105" s="18"/>
      <c r="EHW105" s="38"/>
      <c r="EIC105" s="36"/>
      <c r="EID105" s="18"/>
      <c r="EIE105" s="38"/>
      <c r="EIK105" s="36"/>
      <c r="EIL105" s="18"/>
      <c r="EIM105" s="38"/>
      <c r="EIS105" s="36"/>
      <c r="EIT105" s="18"/>
      <c r="EIU105" s="38"/>
      <c r="EJA105" s="36"/>
      <c r="EJB105" s="18"/>
      <c r="EJC105" s="38"/>
      <c r="EJI105" s="36"/>
      <c r="EJJ105" s="18"/>
      <c r="EJK105" s="38"/>
      <c r="EJQ105" s="36"/>
      <c r="EJR105" s="18"/>
      <c r="EJS105" s="38"/>
      <c r="EJY105" s="36"/>
      <c r="EJZ105" s="18"/>
      <c r="EKA105" s="38"/>
      <c r="EKG105" s="36"/>
      <c r="EKH105" s="18"/>
      <c r="EKI105" s="38"/>
      <c r="EKO105" s="36"/>
      <c r="EKP105" s="18"/>
      <c r="EKQ105" s="38"/>
      <c r="EKW105" s="36"/>
      <c r="EKX105" s="18"/>
      <c r="EKY105" s="38"/>
      <c r="ELE105" s="36"/>
      <c r="ELF105" s="18"/>
      <c r="ELG105" s="38"/>
      <c r="ELM105" s="36"/>
      <c r="ELN105" s="18"/>
      <c r="ELO105" s="38"/>
      <c r="ELU105" s="36"/>
      <c r="ELV105" s="18"/>
      <c r="ELW105" s="38"/>
      <c r="EMC105" s="36"/>
      <c r="EMD105" s="18"/>
      <c r="EME105" s="38"/>
      <c r="EMK105" s="36"/>
      <c r="EML105" s="18"/>
      <c r="EMM105" s="38"/>
      <c r="EMS105" s="36"/>
      <c r="EMT105" s="18"/>
      <c r="EMU105" s="38"/>
      <c r="ENA105" s="36"/>
      <c r="ENB105" s="18"/>
      <c r="ENC105" s="38"/>
      <c r="ENI105" s="36"/>
      <c r="ENJ105" s="18"/>
      <c r="ENK105" s="38"/>
      <c r="ENQ105" s="36"/>
      <c r="ENR105" s="18"/>
      <c r="ENS105" s="38"/>
      <c r="ENY105" s="36"/>
      <c r="ENZ105" s="18"/>
      <c r="EOA105" s="38"/>
      <c r="EOG105" s="36"/>
      <c r="EOH105" s="18"/>
      <c r="EOI105" s="38"/>
      <c r="EOO105" s="36"/>
      <c r="EOP105" s="18"/>
      <c r="EOQ105" s="38"/>
      <c r="EOW105" s="36"/>
      <c r="EOX105" s="18"/>
      <c r="EOY105" s="38"/>
      <c r="EPE105" s="36"/>
      <c r="EPF105" s="18"/>
      <c r="EPG105" s="38"/>
      <c r="EPM105" s="36"/>
      <c r="EPN105" s="18"/>
      <c r="EPO105" s="38"/>
      <c r="EPU105" s="36"/>
      <c r="EPV105" s="18"/>
      <c r="EPW105" s="38"/>
      <c r="EQC105" s="36"/>
      <c r="EQD105" s="18"/>
      <c r="EQE105" s="38"/>
      <c r="EQK105" s="36"/>
      <c r="EQL105" s="18"/>
      <c r="EQM105" s="38"/>
      <c r="EQS105" s="36"/>
      <c r="EQT105" s="18"/>
      <c r="EQU105" s="38"/>
      <c r="ERA105" s="36"/>
      <c r="ERB105" s="18"/>
      <c r="ERC105" s="38"/>
      <c r="ERI105" s="36"/>
      <c r="ERJ105" s="18"/>
      <c r="ERK105" s="38"/>
      <c r="ERQ105" s="36"/>
      <c r="ERR105" s="18"/>
      <c r="ERS105" s="38"/>
      <c r="ERY105" s="36"/>
      <c r="ERZ105" s="18"/>
      <c r="ESA105" s="38"/>
      <c r="ESG105" s="36"/>
      <c r="ESH105" s="18"/>
      <c r="ESI105" s="38"/>
      <c r="ESO105" s="36"/>
      <c r="ESP105" s="18"/>
      <c r="ESQ105" s="38"/>
      <c r="ESW105" s="36"/>
      <c r="ESX105" s="18"/>
      <c r="ESY105" s="38"/>
      <c r="ETE105" s="36"/>
      <c r="ETF105" s="18"/>
      <c r="ETG105" s="38"/>
      <c r="ETM105" s="36"/>
      <c r="ETN105" s="18"/>
      <c r="ETO105" s="38"/>
      <c r="ETU105" s="36"/>
      <c r="ETV105" s="18"/>
      <c r="ETW105" s="38"/>
      <c r="EUC105" s="36"/>
      <c r="EUD105" s="18"/>
      <c r="EUE105" s="38"/>
      <c r="EUK105" s="36"/>
      <c r="EUL105" s="18"/>
      <c r="EUM105" s="38"/>
      <c r="EUS105" s="36"/>
      <c r="EUT105" s="18"/>
      <c r="EUU105" s="38"/>
      <c r="EVA105" s="36"/>
      <c r="EVB105" s="18"/>
      <c r="EVC105" s="38"/>
      <c r="EVI105" s="36"/>
      <c r="EVJ105" s="18"/>
      <c r="EVK105" s="38"/>
      <c r="EVQ105" s="36"/>
      <c r="EVR105" s="18"/>
      <c r="EVS105" s="38"/>
      <c r="EVY105" s="36"/>
      <c r="EVZ105" s="18"/>
      <c r="EWA105" s="38"/>
      <c r="EWG105" s="36"/>
      <c r="EWH105" s="18"/>
      <c r="EWI105" s="38"/>
      <c r="EWO105" s="36"/>
      <c r="EWP105" s="18"/>
      <c r="EWQ105" s="38"/>
      <c r="EWW105" s="36"/>
      <c r="EWX105" s="18"/>
      <c r="EWY105" s="38"/>
      <c r="EXE105" s="36"/>
      <c r="EXF105" s="18"/>
      <c r="EXG105" s="38"/>
      <c r="EXM105" s="36"/>
      <c r="EXN105" s="18"/>
      <c r="EXO105" s="38"/>
      <c r="EXU105" s="36"/>
      <c r="EXV105" s="18"/>
      <c r="EXW105" s="38"/>
      <c r="EYC105" s="36"/>
      <c r="EYD105" s="18"/>
      <c r="EYE105" s="38"/>
      <c r="EYK105" s="36"/>
      <c r="EYL105" s="18"/>
      <c r="EYM105" s="38"/>
      <c r="EYS105" s="36"/>
      <c r="EYT105" s="18"/>
      <c r="EYU105" s="38"/>
      <c r="EZA105" s="36"/>
      <c r="EZB105" s="18"/>
      <c r="EZC105" s="38"/>
      <c r="EZI105" s="36"/>
      <c r="EZJ105" s="18"/>
      <c r="EZK105" s="38"/>
      <c r="EZQ105" s="36"/>
      <c r="EZR105" s="18"/>
      <c r="EZS105" s="38"/>
      <c r="EZY105" s="36"/>
      <c r="EZZ105" s="18"/>
      <c r="FAA105" s="38"/>
      <c r="FAG105" s="36"/>
      <c r="FAH105" s="18"/>
      <c r="FAI105" s="38"/>
      <c r="FAO105" s="36"/>
      <c r="FAP105" s="18"/>
      <c r="FAQ105" s="38"/>
      <c r="FAW105" s="36"/>
      <c r="FAX105" s="18"/>
      <c r="FAY105" s="38"/>
      <c r="FBE105" s="36"/>
      <c r="FBF105" s="18"/>
      <c r="FBG105" s="38"/>
      <c r="FBM105" s="36"/>
      <c r="FBN105" s="18"/>
      <c r="FBO105" s="38"/>
      <c r="FBU105" s="36"/>
      <c r="FBV105" s="18"/>
      <c r="FBW105" s="38"/>
      <c r="FCC105" s="36"/>
      <c r="FCD105" s="18"/>
      <c r="FCE105" s="38"/>
      <c r="FCK105" s="36"/>
      <c r="FCL105" s="18"/>
      <c r="FCM105" s="38"/>
      <c r="FCS105" s="36"/>
      <c r="FCT105" s="18"/>
      <c r="FCU105" s="38"/>
      <c r="FDA105" s="36"/>
      <c r="FDB105" s="18"/>
      <c r="FDC105" s="38"/>
      <c r="FDI105" s="36"/>
      <c r="FDJ105" s="18"/>
      <c r="FDK105" s="38"/>
      <c r="FDQ105" s="36"/>
      <c r="FDR105" s="18"/>
      <c r="FDS105" s="38"/>
      <c r="FDY105" s="36"/>
      <c r="FDZ105" s="18"/>
      <c r="FEA105" s="38"/>
      <c r="FEG105" s="36"/>
      <c r="FEH105" s="18"/>
      <c r="FEI105" s="38"/>
      <c r="FEO105" s="36"/>
      <c r="FEP105" s="18"/>
      <c r="FEQ105" s="38"/>
      <c r="FEW105" s="36"/>
      <c r="FEX105" s="18"/>
      <c r="FEY105" s="38"/>
      <c r="FFE105" s="36"/>
      <c r="FFF105" s="18"/>
      <c r="FFG105" s="38"/>
      <c r="FFM105" s="36"/>
      <c r="FFN105" s="18"/>
      <c r="FFO105" s="38"/>
      <c r="FFU105" s="36"/>
      <c r="FFV105" s="18"/>
      <c r="FFW105" s="38"/>
      <c r="FGC105" s="36"/>
      <c r="FGD105" s="18"/>
      <c r="FGE105" s="38"/>
      <c r="FGK105" s="36"/>
      <c r="FGL105" s="18"/>
      <c r="FGM105" s="38"/>
      <c r="FGS105" s="36"/>
      <c r="FGT105" s="18"/>
      <c r="FGU105" s="38"/>
      <c r="FHA105" s="36"/>
      <c r="FHB105" s="18"/>
      <c r="FHC105" s="38"/>
      <c r="FHI105" s="36"/>
      <c r="FHJ105" s="18"/>
      <c r="FHK105" s="38"/>
      <c r="FHQ105" s="36"/>
      <c r="FHR105" s="18"/>
      <c r="FHS105" s="38"/>
      <c r="FHY105" s="36"/>
      <c r="FHZ105" s="18"/>
      <c r="FIA105" s="38"/>
      <c r="FIG105" s="36"/>
      <c r="FIH105" s="18"/>
      <c r="FII105" s="38"/>
      <c r="FIO105" s="36"/>
      <c r="FIP105" s="18"/>
      <c r="FIQ105" s="38"/>
      <c r="FIW105" s="36"/>
      <c r="FIX105" s="18"/>
      <c r="FIY105" s="38"/>
      <c r="FJE105" s="36"/>
      <c r="FJF105" s="18"/>
      <c r="FJG105" s="38"/>
      <c r="FJM105" s="36"/>
      <c r="FJN105" s="18"/>
      <c r="FJO105" s="38"/>
      <c r="FJU105" s="36"/>
      <c r="FJV105" s="18"/>
      <c r="FJW105" s="38"/>
      <c r="FKC105" s="36"/>
      <c r="FKD105" s="18"/>
      <c r="FKE105" s="38"/>
      <c r="FKK105" s="36"/>
      <c r="FKL105" s="18"/>
      <c r="FKM105" s="38"/>
      <c r="FKS105" s="36"/>
      <c r="FKT105" s="18"/>
      <c r="FKU105" s="38"/>
      <c r="FLA105" s="36"/>
      <c r="FLB105" s="18"/>
      <c r="FLC105" s="38"/>
      <c r="FLI105" s="36"/>
      <c r="FLJ105" s="18"/>
      <c r="FLK105" s="38"/>
      <c r="FLQ105" s="36"/>
      <c r="FLR105" s="18"/>
      <c r="FLS105" s="38"/>
      <c r="FLY105" s="36"/>
      <c r="FLZ105" s="18"/>
      <c r="FMA105" s="38"/>
      <c r="FMG105" s="36"/>
      <c r="FMH105" s="18"/>
      <c r="FMI105" s="38"/>
      <c r="FMO105" s="36"/>
      <c r="FMP105" s="18"/>
      <c r="FMQ105" s="38"/>
      <c r="FMW105" s="36"/>
      <c r="FMX105" s="18"/>
      <c r="FMY105" s="38"/>
      <c r="FNE105" s="36"/>
      <c r="FNF105" s="18"/>
      <c r="FNG105" s="38"/>
      <c r="FNM105" s="36"/>
      <c r="FNN105" s="18"/>
      <c r="FNO105" s="38"/>
      <c r="FNU105" s="36"/>
      <c r="FNV105" s="18"/>
      <c r="FNW105" s="38"/>
      <c r="FOC105" s="36"/>
      <c r="FOD105" s="18"/>
      <c r="FOE105" s="38"/>
      <c r="FOK105" s="36"/>
      <c r="FOL105" s="18"/>
      <c r="FOM105" s="38"/>
      <c r="FOS105" s="36"/>
      <c r="FOT105" s="18"/>
      <c r="FOU105" s="38"/>
      <c r="FPA105" s="36"/>
      <c r="FPB105" s="18"/>
      <c r="FPC105" s="38"/>
      <c r="FPI105" s="36"/>
      <c r="FPJ105" s="18"/>
      <c r="FPK105" s="38"/>
      <c r="FPQ105" s="36"/>
      <c r="FPR105" s="18"/>
      <c r="FPS105" s="38"/>
      <c r="FPY105" s="36"/>
      <c r="FPZ105" s="18"/>
      <c r="FQA105" s="38"/>
      <c r="FQG105" s="36"/>
      <c r="FQH105" s="18"/>
      <c r="FQI105" s="38"/>
      <c r="FQO105" s="36"/>
      <c r="FQP105" s="18"/>
      <c r="FQQ105" s="38"/>
      <c r="FQW105" s="36"/>
      <c r="FQX105" s="18"/>
      <c r="FQY105" s="38"/>
      <c r="FRE105" s="36"/>
      <c r="FRF105" s="18"/>
      <c r="FRG105" s="38"/>
      <c r="FRM105" s="36"/>
      <c r="FRN105" s="18"/>
      <c r="FRO105" s="38"/>
      <c r="FRU105" s="36"/>
      <c r="FRV105" s="18"/>
      <c r="FRW105" s="38"/>
      <c r="FSC105" s="36"/>
      <c r="FSD105" s="18"/>
      <c r="FSE105" s="38"/>
      <c r="FSK105" s="36"/>
      <c r="FSL105" s="18"/>
      <c r="FSM105" s="38"/>
      <c r="FSS105" s="36"/>
      <c r="FST105" s="18"/>
      <c r="FSU105" s="38"/>
      <c r="FTA105" s="36"/>
      <c r="FTB105" s="18"/>
      <c r="FTC105" s="38"/>
      <c r="FTI105" s="36"/>
      <c r="FTJ105" s="18"/>
      <c r="FTK105" s="38"/>
      <c r="FTQ105" s="36"/>
      <c r="FTR105" s="18"/>
      <c r="FTS105" s="38"/>
      <c r="FTY105" s="36"/>
      <c r="FTZ105" s="18"/>
      <c r="FUA105" s="38"/>
      <c r="FUG105" s="36"/>
      <c r="FUH105" s="18"/>
      <c r="FUI105" s="38"/>
      <c r="FUO105" s="36"/>
      <c r="FUP105" s="18"/>
      <c r="FUQ105" s="38"/>
      <c r="FUW105" s="36"/>
      <c r="FUX105" s="18"/>
      <c r="FUY105" s="38"/>
      <c r="FVE105" s="36"/>
      <c r="FVF105" s="18"/>
      <c r="FVG105" s="38"/>
      <c r="FVM105" s="36"/>
      <c r="FVN105" s="18"/>
      <c r="FVO105" s="38"/>
      <c r="FVU105" s="36"/>
      <c r="FVV105" s="18"/>
      <c r="FVW105" s="38"/>
      <c r="FWC105" s="36"/>
      <c r="FWD105" s="18"/>
      <c r="FWE105" s="38"/>
      <c r="FWK105" s="36"/>
      <c r="FWL105" s="18"/>
      <c r="FWM105" s="38"/>
      <c r="FWS105" s="36"/>
      <c r="FWT105" s="18"/>
      <c r="FWU105" s="38"/>
      <c r="FXA105" s="36"/>
      <c r="FXB105" s="18"/>
      <c r="FXC105" s="38"/>
      <c r="FXI105" s="36"/>
      <c r="FXJ105" s="18"/>
      <c r="FXK105" s="38"/>
      <c r="FXQ105" s="36"/>
      <c r="FXR105" s="18"/>
      <c r="FXS105" s="38"/>
      <c r="FXY105" s="36"/>
      <c r="FXZ105" s="18"/>
      <c r="FYA105" s="38"/>
      <c r="FYG105" s="36"/>
      <c r="FYH105" s="18"/>
      <c r="FYI105" s="38"/>
      <c r="FYO105" s="36"/>
      <c r="FYP105" s="18"/>
      <c r="FYQ105" s="38"/>
      <c r="FYW105" s="36"/>
      <c r="FYX105" s="18"/>
      <c r="FYY105" s="38"/>
      <c r="FZE105" s="36"/>
      <c r="FZF105" s="18"/>
      <c r="FZG105" s="38"/>
      <c r="FZM105" s="36"/>
      <c r="FZN105" s="18"/>
      <c r="FZO105" s="38"/>
      <c r="FZU105" s="36"/>
      <c r="FZV105" s="18"/>
      <c r="FZW105" s="38"/>
      <c r="GAC105" s="36"/>
      <c r="GAD105" s="18"/>
      <c r="GAE105" s="38"/>
      <c r="GAK105" s="36"/>
      <c r="GAL105" s="18"/>
      <c r="GAM105" s="38"/>
      <c r="GAS105" s="36"/>
      <c r="GAT105" s="18"/>
      <c r="GAU105" s="38"/>
      <c r="GBA105" s="36"/>
      <c r="GBB105" s="18"/>
      <c r="GBC105" s="38"/>
      <c r="GBI105" s="36"/>
      <c r="GBJ105" s="18"/>
      <c r="GBK105" s="38"/>
      <c r="GBQ105" s="36"/>
      <c r="GBR105" s="18"/>
      <c r="GBS105" s="38"/>
      <c r="GBY105" s="36"/>
      <c r="GBZ105" s="18"/>
      <c r="GCA105" s="38"/>
      <c r="GCG105" s="36"/>
      <c r="GCH105" s="18"/>
      <c r="GCI105" s="38"/>
      <c r="GCO105" s="36"/>
      <c r="GCP105" s="18"/>
      <c r="GCQ105" s="38"/>
      <c r="GCW105" s="36"/>
      <c r="GCX105" s="18"/>
      <c r="GCY105" s="38"/>
      <c r="GDE105" s="36"/>
      <c r="GDF105" s="18"/>
      <c r="GDG105" s="38"/>
      <c r="GDM105" s="36"/>
      <c r="GDN105" s="18"/>
      <c r="GDO105" s="38"/>
      <c r="GDU105" s="36"/>
      <c r="GDV105" s="18"/>
      <c r="GDW105" s="38"/>
      <c r="GEC105" s="36"/>
      <c r="GED105" s="18"/>
      <c r="GEE105" s="38"/>
      <c r="GEK105" s="36"/>
      <c r="GEL105" s="18"/>
      <c r="GEM105" s="38"/>
      <c r="GES105" s="36"/>
      <c r="GET105" s="18"/>
      <c r="GEU105" s="38"/>
      <c r="GFA105" s="36"/>
      <c r="GFB105" s="18"/>
      <c r="GFC105" s="38"/>
      <c r="GFI105" s="36"/>
      <c r="GFJ105" s="18"/>
      <c r="GFK105" s="38"/>
      <c r="GFQ105" s="36"/>
      <c r="GFR105" s="18"/>
      <c r="GFS105" s="38"/>
      <c r="GFY105" s="36"/>
      <c r="GFZ105" s="18"/>
      <c r="GGA105" s="38"/>
      <c r="GGG105" s="36"/>
      <c r="GGH105" s="18"/>
      <c r="GGI105" s="38"/>
      <c r="GGO105" s="36"/>
      <c r="GGP105" s="18"/>
      <c r="GGQ105" s="38"/>
      <c r="GGW105" s="36"/>
      <c r="GGX105" s="18"/>
      <c r="GGY105" s="38"/>
      <c r="GHE105" s="36"/>
      <c r="GHF105" s="18"/>
      <c r="GHG105" s="38"/>
      <c r="GHM105" s="36"/>
      <c r="GHN105" s="18"/>
      <c r="GHO105" s="38"/>
      <c r="GHU105" s="36"/>
      <c r="GHV105" s="18"/>
      <c r="GHW105" s="38"/>
      <c r="GIC105" s="36"/>
      <c r="GID105" s="18"/>
      <c r="GIE105" s="38"/>
      <c r="GIK105" s="36"/>
      <c r="GIL105" s="18"/>
      <c r="GIM105" s="38"/>
      <c r="GIS105" s="36"/>
      <c r="GIT105" s="18"/>
      <c r="GIU105" s="38"/>
      <c r="GJA105" s="36"/>
      <c r="GJB105" s="18"/>
      <c r="GJC105" s="38"/>
      <c r="GJI105" s="36"/>
      <c r="GJJ105" s="18"/>
      <c r="GJK105" s="38"/>
      <c r="GJQ105" s="36"/>
      <c r="GJR105" s="18"/>
      <c r="GJS105" s="38"/>
      <c r="GJY105" s="36"/>
      <c r="GJZ105" s="18"/>
      <c r="GKA105" s="38"/>
      <c r="GKG105" s="36"/>
      <c r="GKH105" s="18"/>
      <c r="GKI105" s="38"/>
      <c r="GKO105" s="36"/>
      <c r="GKP105" s="18"/>
      <c r="GKQ105" s="38"/>
      <c r="GKW105" s="36"/>
      <c r="GKX105" s="18"/>
      <c r="GKY105" s="38"/>
      <c r="GLE105" s="36"/>
      <c r="GLF105" s="18"/>
      <c r="GLG105" s="38"/>
      <c r="GLM105" s="36"/>
      <c r="GLN105" s="18"/>
      <c r="GLO105" s="38"/>
      <c r="GLU105" s="36"/>
      <c r="GLV105" s="18"/>
      <c r="GLW105" s="38"/>
      <c r="GMC105" s="36"/>
      <c r="GMD105" s="18"/>
      <c r="GME105" s="38"/>
      <c r="GMK105" s="36"/>
      <c r="GML105" s="18"/>
      <c r="GMM105" s="38"/>
      <c r="GMS105" s="36"/>
      <c r="GMT105" s="18"/>
      <c r="GMU105" s="38"/>
      <c r="GNA105" s="36"/>
      <c r="GNB105" s="18"/>
      <c r="GNC105" s="38"/>
      <c r="GNI105" s="36"/>
      <c r="GNJ105" s="18"/>
      <c r="GNK105" s="38"/>
      <c r="GNQ105" s="36"/>
      <c r="GNR105" s="18"/>
      <c r="GNS105" s="38"/>
      <c r="GNY105" s="36"/>
      <c r="GNZ105" s="18"/>
      <c r="GOA105" s="38"/>
      <c r="GOG105" s="36"/>
      <c r="GOH105" s="18"/>
      <c r="GOI105" s="38"/>
      <c r="GOO105" s="36"/>
      <c r="GOP105" s="18"/>
      <c r="GOQ105" s="38"/>
      <c r="GOW105" s="36"/>
      <c r="GOX105" s="18"/>
      <c r="GOY105" s="38"/>
      <c r="GPE105" s="36"/>
      <c r="GPF105" s="18"/>
      <c r="GPG105" s="38"/>
      <c r="GPM105" s="36"/>
      <c r="GPN105" s="18"/>
      <c r="GPO105" s="38"/>
      <c r="GPU105" s="36"/>
      <c r="GPV105" s="18"/>
      <c r="GPW105" s="38"/>
      <c r="GQC105" s="36"/>
      <c r="GQD105" s="18"/>
      <c r="GQE105" s="38"/>
      <c r="GQK105" s="36"/>
      <c r="GQL105" s="18"/>
      <c r="GQM105" s="38"/>
      <c r="GQS105" s="36"/>
      <c r="GQT105" s="18"/>
      <c r="GQU105" s="38"/>
      <c r="GRA105" s="36"/>
      <c r="GRB105" s="18"/>
      <c r="GRC105" s="38"/>
      <c r="GRI105" s="36"/>
      <c r="GRJ105" s="18"/>
      <c r="GRK105" s="38"/>
      <c r="GRQ105" s="36"/>
      <c r="GRR105" s="18"/>
      <c r="GRS105" s="38"/>
      <c r="GRY105" s="36"/>
      <c r="GRZ105" s="18"/>
      <c r="GSA105" s="38"/>
      <c r="GSG105" s="36"/>
      <c r="GSH105" s="18"/>
      <c r="GSI105" s="38"/>
      <c r="GSO105" s="36"/>
      <c r="GSP105" s="18"/>
      <c r="GSQ105" s="38"/>
      <c r="GSW105" s="36"/>
      <c r="GSX105" s="18"/>
      <c r="GSY105" s="38"/>
      <c r="GTE105" s="36"/>
      <c r="GTF105" s="18"/>
      <c r="GTG105" s="38"/>
      <c r="GTM105" s="36"/>
      <c r="GTN105" s="18"/>
      <c r="GTO105" s="38"/>
      <c r="GTU105" s="36"/>
      <c r="GTV105" s="18"/>
      <c r="GTW105" s="38"/>
      <c r="GUC105" s="36"/>
      <c r="GUD105" s="18"/>
      <c r="GUE105" s="38"/>
      <c r="GUK105" s="36"/>
      <c r="GUL105" s="18"/>
      <c r="GUM105" s="38"/>
      <c r="GUS105" s="36"/>
      <c r="GUT105" s="18"/>
      <c r="GUU105" s="38"/>
      <c r="GVA105" s="36"/>
      <c r="GVB105" s="18"/>
      <c r="GVC105" s="38"/>
      <c r="GVI105" s="36"/>
      <c r="GVJ105" s="18"/>
      <c r="GVK105" s="38"/>
      <c r="GVQ105" s="36"/>
      <c r="GVR105" s="18"/>
      <c r="GVS105" s="38"/>
      <c r="GVY105" s="36"/>
      <c r="GVZ105" s="18"/>
      <c r="GWA105" s="38"/>
      <c r="GWG105" s="36"/>
      <c r="GWH105" s="18"/>
      <c r="GWI105" s="38"/>
      <c r="GWO105" s="36"/>
      <c r="GWP105" s="18"/>
      <c r="GWQ105" s="38"/>
      <c r="GWW105" s="36"/>
      <c r="GWX105" s="18"/>
      <c r="GWY105" s="38"/>
      <c r="GXE105" s="36"/>
      <c r="GXF105" s="18"/>
      <c r="GXG105" s="38"/>
      <c r="GXM105" s="36"/>
      <c r="GXN105" s="18"/>
      <c r="GXO105" s="38"/>
      <c r="GXU105" s="36"/>
      <c r="GXV105" s="18"/>
      <c r="GXW105" s="38"/>
      <c r="GYC105" s="36"/>
      <c r="GYD105" s="18"/>
      <c r="GYE105" s="38"/>
      <c r="GYK105" s="36"/>
      <c r="GYL105" s="18"/>
      <c r="GYM105" s="38"/>
      <c r="GYS105" s="36"/>
      <c r="GYT105" s="18"/>
      <c r="GYU105" s="38"/>
      <c r="GZA105" s="36"/>
      <c r="GZB105" s="18"/>
      <c r="GZC105" s="38"/>
      <c r="GZI105" s="36"/>
      <c r="GZJ105" s="18"/>
      <c r="GZK105" s="38"/>
      <c r="GZQ105" s="36"/>
      <c r="GZR105" s="18"/>
      <c r="GZS105" s="38"/>
      <c r="GZY105" s="36"/>
      <c r="GZZ105" s="18"/>
      <c r="HAA105" s="38"/>
      <c r="HAG105" s="36"/>
      <c r="HAH105" s="18"/>
      <c r="HAI105" s="38"/>
      <c r="HAO105" s="36"/>
      <c r="HAP105" s="18"/>
      <c r="HAQ105" s="38"/>
      <c r="HAW105" s="36"/>
      <c r="HAX105" s="18"/>
      <c r="HAY105" s="38"/>
      <c r="HBE105" s="36"/>
      <c r="HBF105" s="18"/>
      <c r="HBG105" s="38"/>
      <c r="HBM105" s="36"/>
      <c r="HBN105" s="18"/>
      <c r="HBO105" s="38"/>
      <c r="HBU105" s="36"/>
      <c r="HBV105" s="18"/>
      <c r="HBW105" s="38"/>
      <c r="HCC105" s="36"/>
      <c r="HCD105" s="18"/>
      <c r="HCE105" s="38"/>
      <c r="HCK105" s="36"/>
      <c r="HCL105" s="18"/>
      <c r="HCM105" s="38"/>
      <c r="HCS105" s="36"/>
      <c r="HCT105" s="18"/>
      <c r="HCU105" s="38"/>
      <c r="HDA105" s="36"/>
      <c r="HDB105" s="18"/>
      <c r="HDC105" s="38"/>
      <c r="HDI105" s="36"/>
      <c r="HDJ105" s="18"/>
      <c r="HDK105" s="38"/>
      <c r="HDQ105" s="36"/>
      <c r="HDR105" s="18"/>
      <c r="HDS105" s="38"/>
      <c r="HDY105" s="36"/>
      <c r="HDZ105" s="18"/>
      <c r="HEA105" s="38"/>
      <c r="HEG105" s="36"/>
      <c r="HEH105" s="18"/>
      <c r="HEI105" s="38"/>
      <c r="HEO105" s="36"/>
      <c r="HEP105" s="18"/>
      <c r="HEQ105" s="38"/>
      <c r="HEW105" s="36"/>
      <c r="HEX105" s="18"/>
      <c r="HEY105" s="38"/>
      <c r="HFE105" s="36"/>
      <c r="HFF105" s="18"/>
      <c r="HFG105" s="38"/>
      <c r="HFM105" s="36"/>
      <c r="HFN105" s="18"/>
      <c r="HFO105" s="38"/>
      <c r="HFU105" s="36"/>
      <c r="HFV105" s="18"/>
      <c r="HFW105" s="38"/>
      <c r="HGC105" s="36"/>
      <c r="HGD105" s="18"/>
      <c r="HGE105" s="38"/>
      <c r="HGK105" s="36"/>
      <c r="HGL105" s="18"/>
      <c r="HGM105" s="38"/>
      <c r="HGS105" s="36"/>
      <c r="HGT105" s="18"/>
      <c r="HGU105" s="38"/>
      <c r="HHA105" s="36"/>
      <c r="HHB105" s="18"/>
      <c r="HHC105" s="38"/>
      <c r="HHI105" s="36"/>
      <c r="HHJ105" s="18"/>
      <c r="HHK105" s="38"/>
      <c r="HHQ105" s="36"/>
      <c r="HHR105" s="18"/>
      <c r="HHS105" s="38"/>
      <c r="HHY105" s="36"/>
      <c r="HHZ105" s="18"/>
      <c r="HIA105" s="38"/>
      <c r="HIG105" s="36"/>
      <c r="HIH105" s="18"/>
      <c r="HII105" s="38"/>
      <c r="HIO105" s="36"/>
      <c r="HIP105" s="18"/>
      <c r="HIQ105" s="38"/>
      <c r="HIW105" s="36"/>
      <c r="HIX105" s="18"/>
      <c r="HIY105" s="38"/>
      <c r="HJE105" s="36"/>
      <c r="HJF105" s="18"/>
      <c r="HJG105" s="38"/>
      <c r="HJM105" s="36"/>
      <c r="HJN105" s="18"/>
      <c r="HJO105" s="38"/>
      <c r="HJU105" s="36"/>
      <c r="HJV105" s="18"/>
      <c r="HJW105" s="38"/>
      <c r="HKC105" s="36"/>
      <c r="HKD105" s="18"/>
      <c r="HKE105" s="38"/>
      <c r="HKK105" s="36"/>
      <c r="HKL105" s="18"/>
      <c r="HKM105" s="38"/>
      <c r="HKS105" s="36"/>
      <c r="HKT105" s="18"/>
      <c r="HKU105" s="38"/>
      <c r="HLA105" s="36"/>
      <c r="HLB105" s="18"/>
      <c r="HLC105" s="38"/>
      <c r="HLI105" s="36"/>
      <c r="HLJ105" s="18"/>
      <c r="HLK105" s="38"/>
      <c r="HLQ105" s="36"/>
      <c r="HLR105" s="18"/>
      <c r="HLS105" s="38"/>
      <c r="HLY105" s="36"/>
      <c r="HLZ105" s="18"/>
      <c r="HMA105" s="38"/>
      <c r="HMG105" s="36"/>
      <c r="HMH105" s="18"/>
      <c r="HMI105" s="38"/>
      <c r="HMO105" s="36"/>
      <c r="HMP105" s="18"/>
      <c r="HMQ105" s="38"/>
      <c r="HMW105" s="36"/>
      <c r="HMX105" s="18"/>
      <c r="HMY105" s="38"/>
      <c r="HNE105" s="36"/>
      <c r="HNF105" s="18"/>
      <c r="HNG105" s="38"/>
      <c r="HNM105" s="36"/>
      <c r="HNN105" s="18"/>
      <c r="HNO105" s="38"/>
      <c r="HNU105" s="36"/>
      <c r="HNV105" s="18"/>
      <c r="HNW105" s="38"/>
      <c r="HOC105" s="36"/>
      <c r="HOD105" s="18"/>
      <c r="HOE105" s="38"/>
      <c r="HOK105" s="36"/>
      <c r="HOL105" s="18"/>
      <c r="HOM105" s="38"/>
      <c r="HOS105" s="36"/>
      <c r="HOT105" s="18"/>
      <c r="HOU105" s="38"/>
      <c r="HPA105" s="36"/>
      <c r="HPB105" s="18"/>
      <c r="HPC105" s="38"/>
      <c r="HPI105" s="36"/>
      <c r="HPJ105" s="18"/>
      <c r="HPK105" s="38"/>
      <c r="HPQ105" s="36"/>
      <c r="HPR105" s="18"/>
      <c r="HPS105" s="38"/>
      <c r="HPY105" s="36"/>
      <c r="HPZ105" s="18"/>
      <c r="HQA105" s="38"/>
      <c r="HQG105" s="36"/>
      <c r="HQH105" s="18"/>
      <c r="HQI105" s="38"/>
      <c r="HQO105" s="36"/>
      <c r="HQP105" s="18"/>
      <c r="HQQ105" s="38"/>
      <c r="HQW105" s="36"/>
      <c r="HQX105" s="18"/>
      <c r="HQY105" s="38"/>
      <c r="HRE105" s="36"/>
      <c r="HRF105" s="18"/>
      <c r="HRG105" s="38"/>
      <c r="HRM105" s="36"/>
      <c r="HRN105" s="18"/>
      <c r="HRO105" s="38"/>
      <c r="HRU105" s="36"/>
      <c r="HRV105" s="18"/>
      <c r="HRW105" s="38"/>
      <c r="HSC105" s="36"/>
      <c r="HSD105" s="18"/>
      <c r="HSE105" s="38"/>
      <c r="HSK105" s="36"/>
      <c r="HSL105" s="18"/>
      <c r="HSM105" s="38"/>
      <c r="HSS105" s="36"/>
      <c r="HST105" s="18"/>
      <c r="HSU105" s="38"/>
      <c r="HTA105" s="36"/>
      <c r="HTB105" s="18"/>
      <c r="HTC105" s="38"/>
      <c r="HTI105" s="36"/>
      <c r="HTJ105" s="18"/>
      <c r="HTK105" s="38"/>
      <c r="HTQ105" s="36"/>
      <c r="HTR105" s="18"/>
      <c r="HTS105" s="38"/>
      <c r="HTY105" s="36"/>
      <c r="HTZ105" s="18"/>
      <c r="HUA105" s="38"/>
      <c r="HUG105" s="36"/>
      <c r="HUH105" s="18"/>
      <c r="HUI105" s="38"/>
      <c r="HUO105" s="36"/>
      <c r="HUP105" s="18"/>
      <c r="HUQ105" s="38"/>
      <c r="HUW105" s="36"/>
      <c r="HUX105" s="18"/>
      <c r="HUY105" s="38"/>
      <c r="HVE105" s="36"/>
      <c r="HVF105" s="18"/>
      <c r="HVG105" s="38"/>
      <c r="HVM105" s="36"/>
      <c r="HVN105" s="18"/>
      <c r="HVO105" s="38"/>
      <c r="HVU105" s="36"/>
      <c r="HVV105" s="18"/>
      <c r="HVW105" s="38"/>
      <c r="HWC105" s="36"/>
      <c r="HWD105" s="18"/>
      <c r="HWE105" s="38"/>
      <c r="HWK105" s="36"/>
      <c r="HWL105" s="18"/>
      <c r="HWM105" s="38"/>
      <c r="HWS105" s="36"/>
      <c r="HWT105" s="18"/>
      <c r="HWU105" s="38"/>
      <c r="HXA105" s="36"/>
      <c r="HXB105" s="18"/>
      <c r="HXC105" s="38"/>
      <c r="HXI105" s="36"/>
      <c r="HXJ105" s="18"/>
      <c r="HXK105" s="38"/>
      <c r="HXQ105" s="36"/>
      <c r="HXR105" s="18"/>
      <c r="HXS105" s="38"/>
      <c r="HXY105" s="36"/>
      <c r="HXZ105" s="18"/>
      <c r="HYA105" s="38"/>
      <c r="HYG105" s="36"/>
      <c r="HYH105" s="18"/>
      <c r="HYI105" s="38"/>
      <c r="HYO105" s="36"/>
      <c r="HYP105" s="18"/>
      <c r="HYQ105" s="38"/>
      <c r="HYW105" s="36"/>
      <c r="HYX105" s="18"/>
      <c r="HYY105" s="38"/>
      <c r="HZE105" s="36"/>
      <c r="HZF105" s="18"/>
      <c r="HZG105" s="38"/>
      <c r="HZM105" s="36"/>
      <c r="HZN105" s="18"/>
      <c r="HZO105" s="38"/>
      <c r="HZU105" s="36"/>
      <c r="HZV105" s="18"/>
      <c r="HZW105" s="38"/>
      <c r="IAC105" s="36"/>
      <c r="IAD105" s="18"/>
      <c r="IAE105" s="38"/>
      <c r="IAK105" s="36"/>
      <c r="IAL105" s="18"/>
      <c r="IAM105" s="38"/>
      <c r="IAS105" s="36"/>
      <c r="IAT105" s="18"/>
      <c r="IAU105" s="38"/>
      <c r="IBA105" s="36"/>
      <c r="IBB105" s="18"/>
      <c r="IBC105" s="38"/>
      <c r="IBI105" s="36"/>
      <c r="IBJ105" s="18"/>
      <c r="IBK105" s="38"/>
      <c r="IBQ105" s="36"/>
      <c r="IBR105" s="18"/>
      <c r="IBS105" s="38"/>
      <c r="IBY105" s="36"/>
      <c r="IBZ105" s="18"/>
      <c r="ICA105" s="38"/>
      <c r="ICG105" s="36"/>
      <c r="ICH105" s="18"/>
      <c r="ICI105" s="38"/>
      <c r="ICO105" s="36"/>
      <c r="ICP105" s="18"/>
      <c r="ICQ105" s="38"/>
      <c r="ICW105" s="36"/>
      <c r="ICX105" s="18"/>
      <c r="ICY105" s="38"/>
      <c r="IDE105" s="36"/>
      <c r="IDF105" s="18"/>
      <c r="IDG105" s="38"/>
      <c r="IDM105" s="36"/>
      <c r="IDN105" s="18"/>
      <c r="IDO105" s="38"/>
      <c r="IDU105" s="36"/>
      <c r="IDV105" s="18"/>
      <c r="IDW105" s="38"/>
      <c r="IEC105" s="36"/>
      <c r="IED105" s="18"/>
      <c r="IEE105" s="38"/>
      <c r="IEK105" s="36"/>
      <c r="IEL105" s="18"/>
      <c r="IEM105" s="38"/>
      <c r="IES105" s="36"/>
      <c r="IET105" s="18"/>
      <c r="IEU105" s="38"/>
      <c r="IFA105" s="36"/>
      <c r="IFB105" s="18"/>
      <c r="IFC105" s="38"/>
      <c r="IFI105" s="36"/>
      <c r="IFJ105" s="18"/>
      <c r="IFK105" s="38"/>
      <c r="IFQ105" s="36"/>
      <c r="IFR105" s="18"/>
      <c r="IFS105" s="38"/>
      <c r="IFY105" s="36"/>
      <c r="IFZ105" s="18"/>
      <c r="IGA105" s="38"/>
      <c r="IGG105" s="36"/>
      <c r="IGH105" s="18"/>
      <c r="IGI105" s="38"/>
      <c r="IGO105" s="36"/>
      <c r="IGP105" s="18"/>
      <c r="IGQ105" s="38"/>
      <c r="IGW105" s="36"/>
      <c r="IGX105" s="18"/>
      <c r="IGY105" s="38"/>
      <c r="IHE105" s="36"/>
      <c r="IHF105" s="18"/>
      <c r="IHG105" s="38"/>
      <c r="IHM105" s="36"/>
      <c r="IHN105" s="18"/>
      <c r="IHO105" s="38"/>
      <c r="IHU105" s="36"/>
      <c r="IHV105" s="18"/>
      <c r="IHW105" s="38"/>
      <c r="IIC105" s="36"/>
      <c r="IID105" s="18"/>
      <c r="IIE105" s="38"/>
      <c r="IIK105" s="36"/>
      <c r="IIL105" s="18"/>
      <c r="IIM105" s="38"/>
      <c r="IIS105" s="36"/>
      <c r="IIT105" s="18"/>
      <c r="IIU105" s="38"/>
      <c r="IJA105" s="36"/>
      <c r="IJB105" s="18"/>
      <c r="IJC105" s="38"/>
      <c r="IJI105" s="36"/>
      <c r="IJJ105" s="18"/>
      <c r="IJK105" s="38"/>
      <c r="IJQ105" s="36"/>
      <c r="IJR105" s="18"/>
      <c r="IJS105" s="38"/>
      <c r="IJY105" s="36"/>
      <c r="IJZ105" s="18"/>
      <c r="IKA105" s="38"/>
      <c r="IKG105" s="36"/>
      <c r="IKH105" s="18"/>
      <c r="IKI105" s="38"/>
      <c r="IKO105" s="36"/>
      <c r="IKP105" s="18"/>
      <c r="IKQ105" s="38"/>
      <c r="IKW105" s="36"/>
      <c r="IKX105" s="18"/>
      <c r="IKY105" s="38"/>
      <c r="ILE105" s="36"/>
      <c r="ILF105" s="18"/>
      <c r="ILG105" s="38"/>
      <c r="ILM105" s="36"/>
      <c r="ILN105" s="18"/>
      <c r="ILO105" s="38"/>
      <c r="ILU105" s="36"/>
      <c r="ILV105" s="18"/>
      <c r="ILW105" s="38"/>
      <c r="IMC105" s="36"/>
      <c r="IMD105" s="18"/>
      <c r="IME105" s="38"/>
      <c r="IMK105" s="36"/>
      <c r="IML105" s="18"/>
      <c r="IMM105" s="38"/>
      <c r="IMS105" s="36"/>
      <c r="IMT105" s="18"/>
      <c r="IMU105" s="38"/>
      <c r="INA105" s="36"/>
      <c r="INB105" s="18"/>
      <c r="INC105" s="38"/>
      <c r="INI105" s="36"/>
      <c r="INJ105" s="18"/>
      <c r="INK105" s="38"/>
      <c r="INQ105" s="36"/>
      <c r="INR105" s="18"/>
      <c r="INS105" s="38"/>
      <c r="INY105" s="36"/>
      <c r="INZ105" s="18"/>
      <c r="IOA105" s="38"/>
      <c r="IOG105" s="36"/>
      <c r="IOH105" s="18"/>
      <c r="IOI105" s="38"/>
      <c r="IOO105" s="36"/>
      <c r="IOP105" s="18"/>
      <c r="IOQ105" s="38"/>
      <c r="IOW105" s="36"/>
      <c r="IOX105" s="18"/>
      <c r="IOY105" s="38"/>
      <c r="IPE105" s="36"/>
      <c r="IPF105" s="18"/>
      <c r="IPG105" s="38"/>
      <c r="IPM105" s="36"/>
      <c r="IPN105" s="18"/>
      <c r="IPO105" s="38"/>
      <c r="IPU105" s="36"/>
      <c r="IPV105" s="18"/>
      <c r="IPW105" s="38"/>
      <c r="IQC105" s="36"/>
      <c r="IQD105" s="18"/>
      <c r="IQE105" s="38"/>
      <c r="IQK105" s="36"/>
      <c r="IQL105" s="18"/>
      <c r="IQM105" s="38"/>
      <c r="IQS105" s="36"/>
      <c r="IQT105" s="18"/>
      <c r="IQU105" s="38"/>
      <c r="IRA105" s="36"/>
      <c r="IRB105" s="18"/>
      <c r="IRC105" s="38"/>
      <c r="IRI105" s="36"/>
      <c r="IRJ105" s="18"/>
      <c r="IRK105" s="38"/>
      <c r="IRQ105" s="36"/>
      <c r="IRR105" s="18"/>
      <c r="IRS105" s="38"/>
      <c r="IRY105" s="36"/>
      <c r="IRZ105" s="18"/>
      <c r="ISA105" s="38"/>
      <c r="ISG105" s="36"/>
      <c r="ISH105" s="18"/>
      <c r="ISI105" s="38"/>
      <c r="ISO105" s="36"/>
      <c r="ISP105" s="18"/>
      <c r="ISQ105" s="38"/>
      <c r="ISW105" s="36"/>
      <c r="ISX105" s="18"/>
      <c r="ISY105" s="38"/>
      <c r="ITE105" s="36"/>
      <c r="ITF105" s="18"/>
      <c r="ITG105" s="38"/>
      <c r="ITM105" s="36"/>
      <c r="ITN105" s="18"/>
      <c r="ITO105" s="38"/>
      <c r="ITU105" s="36"/>
      <c r="ITV105" s="18"/>
      <c r="ITW105" s="38"/>
      <c r="IUC105" s="36"/>
      <c r="IUD105" s="18"/>
      <c r="IUE105" s="38"/>
      <c r="IUK105" s="36"/>
      <c r="IUL105" s="18"/>
      <c r="IUM105" s="38"/>
      <c r="IUS105" s="36"/>
      <c r="IUT105" s="18"/>
      <c r="IUU105" s="38"/>
      <c r="IVA105" s="36"/>
      <c r="IVB105" s="18"/>
      <c r="IVC105" s="38"/>
      <c r="IVI105" s="36"/>
      <c r="IVJ105" s="18"/>
      <c r="IVK105" s="38"/>
      <c r="IVQ105" s="36"/>
      <c r="IVR105" s="18"/>
      <c r="IVS105" s="38"/>
      <c r="IVY105" s="36"/>
      <c r="IVZ105" s="18"/>
      <c r="IWA105" s="38"/>
      <c r="IWG105" s="36"/>
      <c r="IWH105" s="18"/>
      <c r="IWI105" s="38"/>
      <c r="IWO105" s="36"/>
      <c r="IWP105" s="18"/>
      <c r="IWQ105" s="38"/>
      <c r="IWW105" s="36"/>
      <c r="IWX105" s="18"/>
      <c r="IWY105" s="38"/>
      <c r="IXE105" s="36"/>
      <c r="IXF105" s="18"/>
      <c r="IXG105" s="38"/>
      <c r="IXM105" s="36"/>
      <c r="IXN105" s="18"/>
      <c r="IXO105" s="38"/>
      <c r="IXU105" s="36"/>
      <c r="IXV105" s="18"/>
      <c r="IXW105" s="38"/>
      <c r="IYC105" s="36"/>
      <c r="IYD105" s="18"/>
      <c r="IYE105" s="38"/>
      <c r="IYK105" s="36"/>
      <c r="IYL105" s="18"/>
      <c r="IYM105" s="38"/>
      <c r="IYS105" s="36"/>
      <c r="IYT105" s="18"/>
      <c r="IYU105" s="38"/>
      <c r="IZA105" s="36"/>
      <c r="IZB105" s="18"/>
      <c r="IZC105" s="38"/>
      <c r="IZI105" s="36"/>
      <c r="IZJ105" s="18"/>
      <c r="IZK105" s="38"/>
      <c r="IZQ105" s="36"/>
      <c r="IZR105" s="18"/>
      <c r="IZS105" s="38"/>
      <c r="IZY105" s="36"/>
      <c r="IZZ105" s="18"/>
      <c r="JAA105" s="38"/>
      <c r="JAG105" s="36"/>
      <c r="JAH105" s="18"/>
      <c r="JAI105" s="38"/>
      <c r="JAO105" s="36"/>
      <c r="JAP105" s="18"/>
      <c r="JAQ105" s="38"/>
      <c r="JAW105" s="36"/>
      <c r="JAX105" s="18"/>
      <c r="JAY105" s="38"/>
      <c r="JBE105" s="36"/>
      <c r="JBF105" s="18"/>
      <c r="JBG105" s="38"/>
      <c r="JBM105" s="36"/>
      <c r="JBN105" s="18"/>
      <c r="JBO105" s="38"/>
      <c r="JBU105" s="36"/>
      <c r="JBV105" s="18"/>
      <c r="JBW105" s="38"/>
      <c r="JCC105" s="36"/>
      <c r="JCD105" s="18"/>
      <c r="JCE105" s="38"/>
      <c r="JCK105" s="36"/>
      <c r="JCL105" s="18"/>
      <c r="JCM105" s="38"/>
      <c r="JCS105" s="36"/>
      <c r="JCT105" s="18"/>
      <c r="JCU105" s="38"/>
      <c r="JDA105" s="36"/>
      <c r="JDB105" s="18"/>
      <c r="JDC105" s="38"/>
      <c r="JDI105" s="36"/>
      <c r="JDJ105" s="18"/>
      <c r="JDK105" s="38"/>
      <c r="JDQ105" s="36"/>
      <c r="JDR105" s="18"/>
      <c r="JDS105" s="38"/>
      <c r="JDY105" s="36"/>
      <c r="JDZ105" s="18"/>
      <c r="JEA105" s="38"/>
      <c r="JEG105" s="36"/>
      <c r="JEH105" s="18"/>
      <c r="JEI105" s="38"/>
      <c r="JEO105" s="36"/>
      <c r="JEP105" s="18"/>
      <c r="JEQ105" s="38"/>
      <c r="JEW105" s="36"/>
      <c r="JEX105" s="18"/>
      <c r="JEY105" s="38"/>
      <c r="JFE105" s="36"/>
      <c r="JFF105" s="18"/>
      <c r="JFG105" s="38"/>
      <c r="JFM105" s="36"/>
      <c r="JFN105" s="18"/>
      <c r="JFO105" s="38"/>
      <c r="JFU105" s="36"/>
      <c r="JFV105" s="18"/>
      <c r="JFW105" s="38"/>
      <c r="JGC105" s="36"/>
      <c r="JGD105" s="18"/>
      <c r="JGE105" s="38"/>
      <c r="JGK105" s="36"/>
      <c r="JGL105" s="18"/>
      <c r="JGM105" s="38"/>
      <c r="JGS105" s="36"/>
      <c r="JGT105" s="18"/>
      <c r="JGU105" s="38"/>
      <c r="JHA105" s="36"/>
      <c r="JHB105" s="18"/>
      <c r="JHC105" s="38"/>
      <c r="JHI105" s="36"/>
      <c r="JHJ105" s="18"/>
      <c r="JHK105" s="38"/>
      <c r="JHQ105" s="36"/>
      <c r="JHR105" s="18"/>
      <c r="JHS105" s="38"/>
      <c r="JHY105" s="36"/>
      <c r="JHZ105" s="18"/>
      <c r="JIA105" s="38"/>
      <c r="JIG105" s="36"/>
      <c r="JIH105" s="18"/>
      <c r="JII105" s="38"/>
      <c r="JIO105" s="36"/>
      <c r="JIP105" s="18"/>
      <c r="JIQ105" s="38"/>
      <c r="JIW105" s="36"/>
      <c r="JIX105" s="18"/>
      <c r="JIY105" s="38"/>
      <c r="JJE105" s="36"/>
      <c r="JJF105" s="18"/>
      <c r="JJG105" s="38"/>
      <c r="JJM105" s="36"/>
      <c r="JJN105" s="18"/>
      <c r="JJO105" s="38"/>
      <c r="JJU105" s="36"/>
      <c r="JJV105" s="18"/>
      <c r="JJW105" s="38"/>
      <c r="JKC105" s="36"/>
      <c r="JKD105" s="18"/>
      <c r="JKE105" s="38"/>
      <c r="JKK105" s="36"/>
      <c r="JKL105" s="18"/>
      <c r="JKM105" s="38"/>
      <c r="JKS105" s="36"/>
      <c r="JKT105" s="18"/>
      <c r="JKU105" s="38"/>
      <c r="JLA105" s="36"/>
      <c r="JLB105" s="18"/>
      <c r="JLC105" s="38"/>
      <c r="JLI105" s="36"/>
      <c r="JLJ105" s="18"/>
      <c r="JLK105" s="38"/>
      <c r="JLQ105" s="36"/>
      <c r="JLR105" s="18"/>
      <c r="JLS105" s="38"/>
      <c r="JLY105" s="36"/>
      <c r="JLZ105" s="18"/>
      <c r="JMA105" s="38"/>
      <c r="JMG105" s="36"/>
      <c r="JMH105" s="18"/>
      <c r="JMI105" s="38"/>
      <c r="JMO105" s="36"/>
      <c r="JMP105" s="18"/>
      <c r="JMQ105" s="38"/>
      <c r="JMW105" s="36"/>
      <c r="JMX105" s="18"/>
      <c r="JMY105" s="38"/>
      <c r="JNE105" s="36"/>
      <c r="JNF105" s="18"/>
      <c r="JNG105" s="38"/>
      <c r="JNM105" s="36"/>
      <c r="JNN105" s="18"/>
      <c r="JNO105" s="38"/>
      <c r="JNU105" s="36"/>
      <c r="JNV105" s="18"/>
      <c r="JNW105" s="38"/>
      <c r="JOC105" s="36"/>
      <c r="JOD105" s="18"/>
      <c r="JOE105" s="38"/>
      <c r="JOK105" s="36"/>
      <c r="JOL105" s="18"/>
      <c r="JOM105" s="38"/>
      <c r="JOS105" s="36"/>
      <c r="JOT105" s="18"/>
      <c r="JOU105" s="38"/>
      <c r="JPA105" s="36"/>
      <c r="JPB105" s="18"/>
      <c r="JPC105" s="38"/>
      <c r="JPI105" s="36"/>
      <c r="JPJ105" s="18"/>
      <c r="JPK105" s="38"/>
      <c r="JPQ105" s="36"/>
      <c r="JPR105" s="18"/>
      <c r="JPS105" s="38"/>
      <c r="JPY105" s="36"/>
      <c r="JPZ105" s="18"/>
      <c r="JQA105" s="38"/>
      <c r="JQG105" s="36"/>
      <c r="JQH105" s="18"/>
      <c r="JQI105" s="38"/>
      <c r="JQO105" s="36"/>
      <c r="JQP105" s="18"/>
      <c r="JQQ105" s="38"/>
      <c r="JQW105" s="36"/>
      <c r="JQX105" s="18"/>
      <c r="JQY105" s="38"/>
      <c r="JRE105" s="36"/>
      <c r="JRF105" s="18"/>
      <c r="JRG105" s="38"/>
      <c r="JRM105" s="36"/>
      <c r="JRN105" s="18"/>
      <c r="JRO105" s="38"/>
      <c r="JRU105" s="36"/>
      <c r="JRV105" s="18"/>
      <c r="JRW105" s="38"/>
      <c r="JSC105" s="36"/>
      <c r="JSD105" s="18"/>
      <c r="JSE105" s="38"/>
      <c r="JSK105" s="36"/>
      <c r="JSL105" s="18"/>
      <c r="JSM105" s="38"/>
      <c r="JSS105" s="36"/>
      <c r="JST105" s="18"/>
      <c r="JSU105" s="38"/>
      <c r="JTA105" s="36"/>
      <c r="JTB105" s="18"/>
      <c r="JTC105" s="38"/>
      <c r="JTI105" s="36"/>
      <c r="JTJ105" s="18"/>
      <c r="JTK105" s="38"/>
      <c r="JTQ105" s="36"/>
      <c r="JTR105" s="18"/>
      <c r="JTS105" s="38"/>
      <c r="JTY105" s="36"/>
      <c r="JTZ105" s="18"/>
      <c r="JUA105" s="38"/>
      <c r="JUG105" s="36"/>
      <c r="JUH105" s="18"/>
      <c r="JUI105" s="38"/>
      <c r="JUO105" s="36"/>
      <c r="JUP105" s="18"/>
      <c r="JUQ105" s="38"/>
      <c r="JUW105" s="36"/>
      <c r="JUX105" s="18"/>
      <c r="JUY105" s="38"/>
      <c r="JVE105" s="36"/>
      <c r="JVF105" s="18"/>
      <c r="JVG105" s="38"/>
      <c r="JVM105" s="36"/>
      <c r="JVN105" s="18"/>
      <c r="JVO105" s="38"/>
      <c r="JVU105" s="36"/>
      <c r="JVV105" s="18"/>
      <c r="JVW105" s="38"/>
      <c r="JWC105" s="36"/>
      <c r="JWD105" s="18"/>
      <c r="JWE105" s="38"/>
      <c r="JWK105" s="36"/>
      <c r="JWL105" s="18"/>
      <c r="JWM105" s="38"/>
      <c r="JWS105" s="36"/>
      <c r="JWT105" s="18"/>
      <c r="JWU105" s="38"/>
      <c r="JXA105" s="36"/>
      <c r="JXB105" s="18"/>
      <c r="JXC105" s="38"/>
      <c r="JXI105" s="36"/>
      <c r="JXJ105" s="18"/>
      <c r="JXK105" s="38"/>
      <c r="JXQ105" s="36"/>
      <c r="JXR105" s="18"/>
      <c r="JXS105" s="38"/>
      <c r="JXY105" s="36"/>
      <c r="JXZ105" s="18"/>
      <c r="JYA105" s="38"/>
      <c r="JYG105" s="36"/>
      <c r="JYH105" s="18"/>
      <c r="JYI105" s="38"/>
      <c r="JYO105" s="36"/>
      <c r="JYP105" s="18"/>
      <c r="JYQ105" s="38"/>
      <c r="JYW105" s="36"/>
      <c r="JYX105" s="18"/>
      <c r="JYY105" s="38"/>
      <c r="JZE105" s="36"/>
      <c r="JZF105" s="18"/>
      <c r="JZG105" s="38"/>
      <c r="JZM105" s="36"/>
      <c r="JZN105" s="18"/>
      <c r="JZO105" s="38"/>
      <c r="JZU105" s="36"/>
      <c r="JZV105" s="18"/>
      <c r="JZW105" s="38"/>
      <c r="KAC105" s="36"/>
      <c r="KAD105" s="18"/>
      <c r="KAE105" s="38"/>
      <c r="KAK105" s="36"/>
      <c r="KAL105" s="18"/>
      <c r="KAM105" s="38"/>
      <c r="KAS105" s="36"/>
      <c r="KAT105" s="18"/>
      <c r="KAU105" s="38"/>
      <c r="KBA105" s="36"/>
      <c r="KBB105" s="18"/>
      <c r="KBC105" s="38"/>
      <c r="KBI105" s="36"/>
      <c r="KBJ105" s="18"/>
      <c r="KBK105" s="38"/>
      <c r="KBQ105" s="36"/>
      <c r="KBR105" s="18"/>
      <c r="KBS105" s="38"/>
      <c r="KBY105" s="36"/>
      <c r="KBZ105" s="18"/>
      <c r="KCA105" s="38"/>
      <c r="KCG105" s="36"/>
      <c r="KCH105" s="18"/>
      <c r="KCI105" s="38"/>
      <c r="KCO105" s="36"/>
      <c r="KCP105" s="18"/>
      <c r="KCQ105" s="38"/>
      <c r="KCW105" s="36"/>
      <c r="KCX105" s="18"/>
      <c r="KCY105" s="38"/>
      <c r="KDE105" s="36"/>
      <c r="KDF105" s="18"/>
      <c r="KDG105" s="38"/>
      <c r="KDM105" s="36"/>
      <c r="KDN105" s="18"/>
      <c r="KDO105" s="38"/>
      <c r="KDU105" s="36"/>
      <c r="KDV105" s="18"/>
      <c r="KDW105" s="38"/>
      <c r="KEC105" s="36"/>
      <c r="KED105" s="18"/>
      <c r="KEE105" s="38"/>
      <c r="KEK105" s="36"/>
      <c r="KEL105" s="18"/>
      <c r="KEM105" s="38"/>
      <c r="KES105" s="36"/>
      <c r="KET105" s="18"/>
      <c r="KEU105" s="38"/>
      <c r="KFA105" s="36"/>
      <c r="KFB105" s="18"/>
      <c r="KFC105" s="38"/>
      <c r="KFI105" s="36"/>
      <c r="KFJ105" s="18"/>
      <c r="KFK105" s="38"/>
      <c r="KFQ105" s="36"/>
      <c r="KFR105" s="18"/>
      <c r="KFS105" s="38"/>
      <c r="KFY105" s="36"/>
      <c r="KFZ105" s="18"/>
      <c r="KGA105" s="38"/>
      <c r="KGG105" s="36"/>
      <c r="KGH105" s="18"/>
      <c r="KGI105" s="38"/>
      <c r="KGO105" s="36"/>
      <c r="KGP105" s="18"/>
      <c r="KGQ105" s="38"/>
      <c r="KGW105" s="36"/>
      <c r="KGX105" s="18"/>
      <c r="KGY105" s="38"/>
      <c r="KHE105" s="36"/>
      <c r="KHF105" s="18"/>
      <c r="KHG105" s="38"/>
      <c r="KHM105" s="36"/>
      <c r="KHN105" s="18"/>
      <c r="KHO105" s="38"/>
      <c r="KHU105" s="36"/>
      <c r="KHV105" s="18"/>
      <c r="KHW105" s="38"/>
      <c r="KIC105" s="36"/>
      <c r="KID105" s="18"/>
      <c r="KIE105" s="38"/>
      <c r="KIK105" s="36"/>
      <c r="KIL105" s="18"/>
      <c r="KIM105" s="38"/>
      <c r="KIS105" s="36"/>
      <c r="KIT105" s="18"/>
      <c r="KIU105" s="38"/>
      <c r="KJA105" s="36"/>
      <c r="KJB105" s="18"/>
      <c r="KJC105" s="38"/>
      <c r="KJI105" s="36"/>
      <c r="KJJ105" s="18"/>
      <c r="KJK105" s="38"/>
      <c r="KJQ105" s="36"/>
      <c r="KJR105" s="18"/>
      <c r="KJS105" s="38"/>
      <c r="KJY105" s="36"/>
      <c r="KJZ105" s="18"/>
      <c r="KKA105" s="38"/>
      <c r="KKG105" s="36"/>
      <c r="KKH105" s="18"/>
      <c r="KKI105" s="38"/>
      <c r="KKO105" s="36"/>
      <c r="KKP105" s="18"/>
      <c r="KKQ105" s="38"/>
      <c r="KKW105" s="36"/>
      <c r="KKX105" s="18"/>
      <c r="KKY105" s="38"/>
      <c r="KLE105" s="36"/>
      <c r="KLF105" s="18"/>
      <c r="KLG105" s="38"/>
      <c r="KLM105" s="36"/>
      <c r="KLN105" s="18"/>
      <c r="KLO105" s="38"/>
      <c r="KLU105" s="36"/>
      <c r="KLV105" s="18"/>
      <c r="KLW105" s="38"/>
      <c r="KMC105" s="36"/>
      <c r="KMD105" s="18"/>
      <c r="KME105" s="38"/>
      <c r="KMK105" s="36"/>
      <c r="KML105" s="18"/>
      <c r="KMM105" s="38"/>
      <c r="KMS105" s="36"/>
      <c r="KMT105" s="18"/>
      <c r="KMU105" s="38"/>
      <c r="KNA105" s="36"/>
      <c r="KNB105" s="18"/>
      <c r="KNC105" s="38"/>
      <c r="KNI105" s="36"/>
      <c r="KNJ105" s="18"/>
      <c r="KNK105" s="38"/>
      <c r="KNQ105" s="36"/>
      <c r="KNR105" s="18"/>
      <c r="KNS105" s="38"/>
      <c r="KNY105" s="36"/>
      <c r="KNZ105" s="18"/>
      <c r="KOA105" s="38"/>
      <c r="KOG105" s="36"/>
      <c r="KOH105" s="18"/>
      <c r="KOI105" s="38"/>
      <c r="KOO105" s="36"/>
      <c r="KOP105" s="18"/>
      <c r="KOQ105" s="38"/>
      <c r="KOW105" s="36"/>
      <c r="KOX105" s="18"/>
      <c r="KOY105" s="38"/>
      <c r="KPE105" s="36"/>
      <c r="KPF105" s="18"/>
      <c r="KPG105" s="38"/>
      <c r="KPM105" s="36"/>
      <c r="KPN105" s="18"/>
      <c r="KPO105" s="38"/>
      <c r="KPU105" s="36"/>
      <c r="KPV105" s="18"/>
      <c r="KPW105" s="38"/>
      <c r="KQC105" s="36"/>
      <c r="KQD105" s="18"/>
      <c r="KQE105" s="38"/>
      <c r="KQK105" s="36"/>
      <c r="KQL105" s="18"/>
      <c r="KQM105" s="38"/>
      <c r="KQS105" s="36"/>
      <c r="KQT105" s="18"/>
      <c r="KQU105" s="38"/>
      <c r="KRA105" s="36"/>
      <c r="KRB105" s="18"/>
      <c r="KRC105" s="38"/>
      <c r="KRI105" s="36"/>
      <c r="KRJ105" s="18"/>
      <c r="KRK105" s="38"/>
      <c r="KRQ105" s="36"/>
      <c r="KRR105" s="18"/>
      <c r="KRS105" s="38"/>
      <c r="KRY105" s="36"/>
      <c r="KRZ105" s="18"/>
      <c r="KSA105" s="38"/>
      <c r="KSG105" s="36"/>
      <c r="KSH105" s="18"/>
      <c r="KSI105" s="38"/>
      <c r="KSO105" s="36"/>
      <c r="KSP105" s="18"/>
      <c r="KSQ105" s="38"/>
      <c r="KSW105" s="36"/>
      <c r="KSX105" s="18"/>
      <c r="KSY105" s="38"/>
      <c r="KTE105" s="36"/>
      <c r="KTF105" s="18"/>
      <c r="KTG105" s="38"/>
      <c r="KTM105" s="36"/>
      <c r="KTN105" s="18"/>
      <c r="KTO105" s="38"/>
      <c r="KTU105" s="36"/>
      <c r="KTV105" s="18"/>
      <c r="KTW105" s="38"/>
      <c r="KUC105" s="36"/>
      <c r="KUD105" s="18"/>
      <c r="KUE105" s="38"/>
      <c r="KUK105" s="36"/>
      <c r="KUL105" s="18"/>
      <c r="KUM105" s="38"/>
      <c r="KUS105" s="36"/>
      <c r="KUT105" s="18"/>
      <c r="KUU105" s="38"/>
      <c r="KVA105" s="36"/>
      <c r="KVB105" s="18"/>
      <c r="KVC105" s="38"/>
      <c r="KVI105" s="36"/>
      <c r="KVJ105" s="18"/>
      <c r="KVK105" s="38"/>
      <c r="KVQ105" s="36"/>
      <c r="KVR105" s="18"/>
      <c r="KVS105" s="38"/>
      <c r="KVY105" s="36"/>
      <c r="KVZ105" s="18"/>
      <c r="KWA105" s="38"/>
      <c r="KWG105" s="36"/>
      <c r="KWH105" s="18"/>
      <c r="KWI105" s="38"/>
      <c r="KWO105" s="36"/>
      <c r="KWP105" s="18"/>
      <c r="KWQ105" s="38"/>
      <c r="KWW105" s="36"/>
      <c r="KWX105" s="18"/>
      <c r="KWY105" s="38"/>
      <c r="KXE105" s="36"/>
      <c r="KXF105" s="18"/>
      <c r="KXG105" s="38"/>
      <c r="KXM105" s="36"/>
      <c r="KXN105" s="18"/>
      <c r="KXO105" s="38"/>
      <c r="KXU105" s="36"/>
      <c r="KXV105" s="18"/>
      <c r="KXW105" s="38"/>
      <c r="KYC105" s="36"/>
      <c r="KYD105" s="18"/>
      <c r="KYE105" s="38"/>
      <c r="KYK105" s="36"/>
      <c r="KYL105" s="18"/>
      <c r="KYM105" s="38"/>
      <c r="KYS105" s="36"/>
      <c r="KYT105" s="18"/>
      <c r="KYU105" s="38"/>
      <c r="KZA105" s="36"/>
      <c r="KZB105" s="18"/>
      <c r="KZC105" s="38"/>
      <c r="KZI105" s="36"/>
      <c r="KZJ105" s="18"/>
      <c r="KZK105" s="38"/>
      <c r="KZQ105" s="36"/>
      <c r="KZR105" s="18"/>
      <c r="KZS105" s="38"/>
      <c r="KZY105" s="36"/>
      <c r="KZZ105" s="18"/>
      <c r="LAA105" s="38"/>
      <c r="LAG105" s="36"/>
      <c r="LAH105" s="18"/>
      <c r="LAI105" s="38"/>
      <c r="LAO105" s="36"/>
      <c r="LAP105" s="18"/>
      <c r="LAQ105" s="38"/>
      <c r="LAW105" s="36"/>
      <c r="LAX105" s="18"/>
      <c r="LAY105" s="38"/>
      <c r="LBE105" s="36"/>
      <c r="LBF105" s="18"/>
      <c r="LBG105" s="38"/>
      <c r="LBM105" s="36"/>
      <c r="LBN105" s="18"/>
      <c r="LBO105" s="38"/>
      <c r="LBU105" s="36"/>
      <c r="LBV105" s="18"/>
      <c r="LBW105" s="38"/>
      <c r="LCC105" s="36"/>
      <c r="LCD105" s="18"/>
      <c r="LCE105" s="38"/>
      <c r="LCK105" s="36"/>
      <c r="LCL105" s="18"/>
      <c r="LCM105" s="38"/>
      <c r="LCS105" s="36"/>
      <c r="LCT105" s="18"/>
      <c r="LCU105" s="38"/>
      <c r="LDA105" s="36"/>
      <c r="LDB105" s="18"/>
      <c r="LDC105" s="38"/>
      <c r="LDI105" s="36"/>
      <c r="LDJ105" s="18"/>
      <c r="LDK105" s="38"/>
      <c r="LDQ105" s="36"/>
      <c r="LDR105" s="18"/>
      <c r="LDS105" s="38"/>
      <c r="LDY105" s="36"/>
      <c r="LDZ105" s="18"/>
      <c r="LEA105" s="38"/>
      <c r="LEG105" s="36"/>
      <c r="LEH105" s="18"/>
      <c r="LEI105" s="38"/>
      <c r="LEO105" s="36"/>
      <c r="LEP105" s="18"/>
      <c r="LEQ105" s="38"/>
      <c r="LEW105" s="36"/>
      <c r="LEX105" s="18"/>
      <c r="LEY105" s="38"/>
      <c r="LFE105" s="36"/>
      <c r="LFF105" s="18"/>
      <c r="LFG105" s="38"/>
      <c r="LFM105" s="36"/>
      <c r="LFN105" s="18"/>
      <c r="LFO105" s="38"/>
      <c r="LFU105" s="36"/>
      <c r="LFV105" s="18"/>
      <c r="LFW105" s="38"/>
      <c r="LGC105" s="36"/>
      <c r="LGD105" s="18"/>
      <c r="LGE105" s="38"/>
      <c r="LGK105" s="36"/>
      <c r="LGL105" s="18"/>
      <c r="LGM105" s="38"/>
      <c r="LGS105" s="36"/>
      <c r="LGT105" s="18"/>
      <c r="LGU105" s="38"/>
      <c r="LHA105" s="36"/>
      <c r="LHB105" s="18"/>
      <c r="LHC105" s="38"/>
      <c r="LHI105" s="36"/>
      <c r="LHJ105" s="18"/>
      <c r="LHK105" s="38"/>
      <c r="LHQ105" s="36"/>
      <c r="LHR105" s="18"/>
      <c r="LHS105" s="38"/>
      <c r="LHY105" s="36"/>
      <c r="LHZ105" s="18"/>
      <c r="LIA105" s="38"/>
      <c r="LIG105" s="36"/>
      <c r="LIH105" s="18"/>
      <c r="LII105" s="38"/>
      <c r="LIO105" s="36"/>
      <c r="LIP105" s="18"/>
      <c r="LIQ105" s="38"/>
      <c r="LIW105" s="36"/>
      <c r="LIX105" s="18"/>
      <c r="LIY105" s="38"/>
      <c r="LJE105" s="36"/>
      <c r="LJF105" s="18"/>
      <c r="LJG105" s="38"/>
      <c r="LJM105" s="36"/>
      <c r="LJN105" s="18"/>
      <c r="LJO105" s="38"/>
      <c r="LJU105" s="36"/>
      <c r="LJV105" s="18"/>
      <c r="LJW105" s="38"/>
      <c r="LKC105" s="36"/>
      <c r="LKD105" s="18"/>
      <c r="LKE105" s="38"/>
      <c r="LKK105" s="36"/>
      <c r="LKL105" s="18"/>
      <c r="LKM105" s="38"/>
      <c r="LKS105" s="36"/>
      <c r="LKT105" s="18"/>
      <c r="LKU105" s="38"/>
      <c r="LLA105" s="36"/>
      <c r="LLB105" s="18"/>
      <c r="LLC105" s="38"/>
      <c r="LLI105" s="36"/>
      <c r="LLJ105" s="18"/>
      <c r="LLK105" s="38"/>
      <c r="LLQ105" s="36"/>
      <c r="LLR105" s="18"/>
      <c r="LLS105" s="38"/>
      <c r="LLY105" s="36"/>
      <c r="LLZ105" s="18"/>
      <c r="LMA105" s="38"/>
      <c r="LMG105" s="36"/>
      <c r="LMH105" s="18"/>
      <c r="LMI105" s="38"/>
      <c r="LMO105" s="36"/>
      <c r="LMP105" s="18"/>
      <c r="LMQ105" s="38"/>
      <c r="LMW105" s="36"/>
      <c r="LMX105" s="18"/>
      <c r="LMY105" s="38"/>
      <c r="LNE105" s="36"/>
      <c r="LNF105" s="18"/>
      <c r="LNG105" s="38"/>
      <c r="LNM105" s="36"/>
      <c r="LNN105" s="18"/>
      <c r="LNO105" s="38"/>
      <c r="LNU105" s="36"/>
      <c r="LNV105" s="18"/>
      <c r="LNW105" s="38"/>
      <c r="LOC105" s="36"/>
      <c r="LOD105" s="18"/>
      <c r="LOE105" s="38"/>
      <c r="LOK105" s="36"/>
      <c r="LOL105" s="18"/>
      <c r="LOM105" s="38"/>
      <c r="LOS105" s="36"/>
      <c r="LOT105" s="18"/>
      <c r="LOU105" s="38"/>
      <c r="LPA105" s="36"/>
      <c r="LPB105" s="18"/>
      <c r="LPC105" s="38"/>
      <c r="LPI105" s="36"/>
      <c r="LPJ105" s="18"/>
      <c r="LPK105" s="38"/>
      <c r="LPQ105" s="36"/>
      <c r="LPR105" s="18"/>
      <c r="LPS105" s="38"/>
      <c r="LPY105" s="36"/>
      <c r="LPZ105" s="18"/>
      <c r="LQA105" s="38"/>
      <c r="LQG105" s="36"/>
      <c r="LQH105" s="18"/>
      <c r="LQI105" s="38"/>
      <c r="LQO105" s="36"/>
      <c r="LQP105" s="18"/>
      <c r="LQQ105" s="38"/>
      <c r="LQW105" s="36"/>
      <c r="LQX105" s="18"/>
      <c r="LQY105" s="38"/>
      <c r="LRE105" s="36"/>
      <c r="LRF105" s="18"/>
      <c r="LRG105" s="38"/>
      <c r="LRM105" s="36"/>
      <c r="LRN105" s="18"/>
      <c r="LRO105" s="38"/>
      <c r="LRU105" s="36"/>
      <c r="LRV105" s="18"/>
      <c r="LRW105" s="38"/>
      <c r="LSC105" s="36"/>
      <c r="LSD105" s="18"/>
      <c r="LSE105" s="38"/>
      <c r="LSK105" s="36"/>
      <c r="LSL105" s="18"/>
      <c r="LSM105" s="38"/>
      <c r="LSS105" s="36"/>
      <c r="LST105" s="18"/>
      <c r="LSU105" s="38"/>
      <c r="LTA105" s="36"/>
      <c r="LTB105" s="18"/>
      <c r="LTC105" s="38"/>
      <c r="LTI105" s="36"/>
      <c r="LTJ105" s="18"/>
      <c r="LTK105" s="38"/>
      <c r="LTQ105" s="36"/>
      <c r="LTR105" s="18"/>
      <c r="LTS105" s="38"/>
      <c r="LTY105" s="36"/>
      <c r="LTZ105" s="18"/>
      <c r="LUA105" s="38"/>
      <c r="LUG105" s="36"/>
      <c r="LUH105" s="18"/>
      <c r="LUI105" s="38"/>
      <c r="LUO105" s="36"/>
      <c r="LUP105" s="18"/>
      <c r="LUQ105" s="38"/>
      <c r="LUW105" s="36"/>
      <c r="LUX105" s="18"/>
      <c r="LUY105" s="38"/>
      <c r="LVE105" s="36"/>
      <c r="LVF105" s="18"/>
      <c r="LVG105" s="38"/>
      <c r="LVM105" s="36"/>
      <c r="LVN105" s="18"/>
      <c r="LVO105" s="38"/>
      <c r="LVU105" s="36"/>
      <c r="LVV105" s="18"/>
      <c r="LVW105" s="38"/>
      <c r="LWC105" s="36"/>
      <c r="LWD105" s="18"/>
      <c r="LWE105" s="38"/>
      <c r="LWK105" s="36"/>
      <c r="LWL105" s="18"/>
      <c r="LWM105" s="38"/>
      <c r="LWS105" s="36"/>
      <c r="LWT105" s="18"/>
      <c r="LWU105" s="38"/>
      <c r="LXA105" s="36"/>
      <c r="LXB105" s="18"/>
      <c r="LXC105" s="38"/>
      <c r="LXI105" s="36"/>
      <c r="LXJ105" s="18"/>
      <c r="LXK105" s="38"/>
      <c r="LXQ105" s="36"/>
      <c r="LXR105" s="18"/>
      <c r="LXS105" s="38"/>
      <c r="LXY105" s="36"/>
      <c r="LXZ105" s="18"/>
      <c r="LYA105" s="38"/>
      <c r="LYG105" s="36"/>
      <c r="LYH105" s="18"/>
      <c r="LYI105" s="38"/>
      <c r="LYO105" s="36"/>
      <c r="LYP105" s="18"/>
      <c r="LYQ105" s="38"/>
      <c r="LYW105" s="36"/>
      <c r="LYX105" s="18"/>
      <c r="LYY105" s="38"/>
      <c r="LZE105" s="36"/>
      <c r="LZF105" s="18"/>
      <c r="LZG105" s="38"/>
      <c r="LZM105" s="36"/>
      <c r="LZN105" s="18"/>
      <c r="LZO105" s="38"/>
      <c r="LZU105" s="36"/>
      <c r="LZV105" s="18"/>
      <c r="LZW105" s="38"/>
      <c r="MAC105" s="36"/>
      <c r="MAD105" s="18"/>
      <c r="MAE105" s="38"/>
      <c r="MAK105" s="36"/>
      <c r="MAL105" s="18"/>
      <c r="MAM105" s="38"/>
      <c r="MAS105" s="36"/>
      <c r="MAT105" s="18"/>
      <c r="MAU105" s="38"/>
      <c r="MBA105" s="36"/>
      <c r="MBB105" s="18"/>
      <c r="MBC105" s="38"/>
      <c r="MBI105" s="36"/>
      <c r="MBJ105" s="18"/>
      <c r="MBK105" s="38"/>
      <c r="MBQ105" s="36"/>
      <c r="MBR105" s="18"/>
      <c r="MBS105" s="38"/>
      <c r="MBY105" s="36"/>
      <c r="MBZ105" s="18"/>
      <c r="MCA105" s="38"/>
      <c r="MCG105" s="36"/>
      <c r="MCH105" s="18"/>
      <c r="MCI105" s="38"/>
      <c r="MCO105" s="36"/>
      <c r="MCP105" s="18"/>
      <c r="MCQ105" s="38"/>
      <c r="MCW105" s="36"/>
      <c r="MCX105" s="18"/>
      <c r="MCY105" s="38"/>
      <c r="MDE105" s="36"/>
      <c r="MDF105" s="18"/>
      <c r="MDG105" s="38"/>
      <c r="MDM105" s="36"/>
      <c r="MDN105" s="18"/>
      <c r="MDO105" s="38"/>
      <c r="MDU105" s="36"/>
      <c r="MDV105" s="18"/>
      <c r="MDW105" s="38"/>
      <c r="MEC105" s="36"/>
      <c r="MED105" s="18"/>
      <c r="MEE105" s="38"/>
      <c r="MEK105" s="36"/>
      <c r="MEL105" s="18"/>
      <c r="MEM105" s="38"/>
      <c r="MES105" s="36"/>
      <c r="MET105" s="18"/>
      <c r="MEU105" s="38"/>
      <c r="MFA105" s="36"/>
      <c r="MFB105" s="18"/>
      <c r="MFC105" s="38"/>
      <c r="MFI105" s="36"/>
      <c r="MFJ105" s="18"/>
      <c r="MFK105" s="38"/>
      <c r="MFQ105" s="36"/>
      <c r="MFR105" s="18"/>
      <c r="MFS105" s="38"/>
      <c r="MFY105" s="36"/>
      <c r="MFZ105" s="18"/>
      <c r="MGA105" s="38"/>
      <c r="MGG105" s="36"/>
      <c r="MGH105" s="18"/>
      <c r="MGI105" s="38"/>
      <c r="MGO105" s="36"/>
      <c r="MGP105" s="18"/>
      <c r="MGQ105" s="38"/>
      <c r="MGW105" s="36"/>
      <c r="MGX105" s="18"/>
      <c r="MGY105" s="38"/>
      <c r="MHE105" s="36"/>
      <c r="MHF105" s="18"/>
      <c r="MHG105" s="38"/>
      <c r="MHM105" s="36"/>
      <c r="MHN105" s="18"/>
      <c r="MHO105" s="38"/>
      <c r="MHU105" s="36"/>
      <c r="MHV105" s="18"/>
      <c r="MHW105" s="38"/>
      <c r="MIC105" s="36"/>
      <c r="MID105" s="18"/>
      <c r="MIE105" s="38"/>
      <c r="MIK105" s="36"/>
      <c r="MIL105" s="18"/>
      <c r="MIM105" s="38"/>
      <c r="MIS105" s="36"/>
      <c r="MIT105" s="18"/>
      <c r="MIU105" s="38"/>
      <c r="MJA105" s="36"/>
      <c r="MJB105" s="18"/>
      <c r="MJC105" s="38"/>
      <c r="MJI105" s="36"/>
      <c r="MJJ105" s="18"/>
      <c r="MJK105" s="38"/>
      <c r="MJQ105" s="36"/>
      <c r="MJR105" s="18"/>
      <c r="MJS105" s="38"/>
      <c r="MJY105" s="36"/>
      <c r="MJZ105" s="18"/>
      <c r="MKA105" s="38"/>
      <c r="MKG105" s="36"/>
      <c r="MKH105" s="18"/>
      <c r="MKI105" s="38"/>
      <c r="MKO105" s="36"/>
      <c r="MKP105" s="18"/>
      <c r="MKQ105" s="38"/>
      <c r="MKW105" s="36"/>
      <c r="MKX105" s="18"/>
      <c r="MKY105" s="38"/>
      <c r="MLE105" s="36"/>
      <c r="MLF105" s="18"/>
      <c r="MLG105" s="38"/>
      <c r="MLM105" s="36"/>
      <c r="MLN105" s="18"/>
      <c r="MLO105" s="38"/>
      <c r="MLU105" s="36"/>
      <c r="MLV105" s="18"/>
      <c r="MLW105" s="38"/>
      <c r="MMC105" s="36"/>
      <c r="MMD105" s="18"/>
      <c r="MME105" s="38"/>
      <c r="MMK105" s="36"/>
      <c r="MML105" s="18"/>
      <c r="MMM105" s="38"/>
      <c r="MMS105" s="36"/>
      <c r="MMT105" s="18"/>
      <c r="MMU105" s="38"/>
      <c r="MNA105" s="36"/>
      <c r="MNB105" s="18"/>
      <c r="MNC105" s="38"/>
      <c r="MNI105" s="36"/>
      <c r="MNJ105" s="18"/>
      <c r="MNK105" s="38"/>
      <c r="MNQ105" s="36"/>
      <c r="MNR105" s="18"/>
      <c r="MNS105" s="38"/>
      <c r="MNY105" s="36"/>
      <c r="MNZ105" s="18"/>
      <c r="MOA105" s="38"/>
      <c r="MOG105" s="36"/>
      <c r="MOH105" s="18"/>
      <c r="MOI105" s="38"/>
      <c r="MOO105" s="36"/>
      <c r="MOP105" s="18"/>
      <c r="MOQ105" s="38"/>
      <c r="MOW105" s="36"/>
      <c r="MOX105" s="18"/>
      <c r="MOY105" s="38"/>
      <c r="MPE105" s="36"/>
      <c r="MPF105" s="18"/>
      <c r="MPG105" s="38"/>
      <c r="MPM105" s="36"/>
      <c r="MPN105" s="18"/>
      <c r="MPO105" s="38"/>
      <c r="MPU105" s="36"/>
      <c r="MPV105" s="18"/>
      <c r="MPW105" s="38"/>
      <c r="MQC105" s="36"/>
      <c r="MQD105" s="18"/>
      <c r="MQE105" s="38"/>
      <c r="MQK105" s="36"/>
      <c r="MQL105" s="18"/>
      <c r="MQM105" s="38"/>
      <c r="MQS105" s="36"/>
      <c r="MQT105" s="18"/>
      <c r="MQU105" s="38"/>
      <c r="MRA105" s="36"/>
      <c r="MRB105" s="18"/>
      <c r="MRC105" s="38"/>
      <c r="MRI105" s="36"/>
      <c r="MRJ105" s="18"/>
      <c r="MRK105" s="38"/>
      <c r="MRQ105" s="36"/>
      <c r="MRR105" s="18"/>
      <c r="MRS105" s="38"/>
      <c r="MRY105" s="36"/>
      <c r="MRZ105" s="18"/>
      <c r="MSA105" s="38"/>
      <c r="MSG105" s="36"/>
      <c r="MSH105" s="18"/>
      <c r="MSI105" s="38"/>
      <c r="MSO105" s="36"/>
      <c r="MSP105" s="18"/>
      <c r="MSQ105" s="38"/>
      <c r="MSW105" s="36"/>
      <c r="MSX105" s="18"/>
      <c r="MSY105" s="38"/>
      <c r="MTE105" s="36"/>
      <c r="MTF105" s="18"/>
      <c r="MTG105" s="38"/>
      <c r="MTM105" s="36"/>
      <c r="MTN105" s="18"/>
      <c r="MTO105" s="38"/>
      <c r="MTU105" s="36"/>
      <c r="MTV105" s="18"/>
      <c r="MTW105" s="38"/>
      <c r="MUC105" s="36"/>
      <c r="MUD105" s="18"/>
      <c r="MUE105" s="38"/>
      <c r="MUK105" s="36"/>
      <c r="MUL105" s="18"/>
      <c r="MUM105" s="38"/>
      <c r="MUS105" s="36"/>
      <c r="MUT105" s="18"/>
      <c r="MUU105" s="38"/>
      <c r="MVA105" s="36"/>
      <c r="MVB105" s="18"/>
      <c r="MVC105" s="38"/>
      <c r="MVI105" s="36"/>
      <c r="MVJ105" s="18"/>
      <c r="MVK105" s="38"/>
      <c r="MVQ105" s="36"/>
      <c r="MVR105" s="18"/>
      <c r="MVS105" s="38"/>
      <c r="MVY105" s="36"/>
      <c r="MVZ105" s="18"/>
      <c r="MWA105" s="38"/>
      <c r="MWG105" s="36"/>
      <c r="MWH105" s="18"/>
      <c r="MWI105" s="38"/>
      <c r="MWO105" s="36"/>
      <c r="MWP105" s="18"/>
      <c r="MWQ105" s="38"/>
      <c r="MWW105" s="36"/>
      <c r="MWX105" s="18"/>
      <c r="MWY105" s="38"/>
      <c r="MXE105" s="36"/>
      <c r="MXF105" s="18"/>
      <c r="MXG105" s="38"/>
      <c r="MXM105" s="36"/>
      <c r="MXN105" s="18"/>
      <c r="MXO105" s="38"/>
      <c r="MXU105" s="36"/>
      <c r="MXV105" s="18"/>
      <c r="MXW105" s="38"/>
      <c r="MYC105" s="36"/>
      <c r="MYD105" s="18"/>
      <c r="MYE105" s="38"/>
      <c r="MYK105" s="36"/>
      <c r="MYL105" s="18"/>
      <c r="MYM105" s="38"/>
      <c r="MYS105" s="36"/>
      <c r="MYT105" s="18"/>
      <c r="MYU105" s="38"/>
      <c r="MZA105" s="36"/>
      <c r="MZB105" s="18"/>
      <c r="MZC105" s="38"/>
      <c r="MZI105" s="36"/>
      <c r="MZJ105" s="18"/>
      <c r="MZK105" s="38"/>
      <c r="MZQ105" s="36"/>
      <c r="MZR105" s="18"/>
      <c r="MZS105" s="38"/>
      <c r="MZY105" s="36"/>
      <c r="MZZ105" s="18"/>
      <c r="NAA105" s="38"/>
      <c r="NAG105" s="36"/>
      <c r="NAH105" s="18"/>
      <c r="NAI105" s="38"/>
      <c r="NAO105" s="36"/>
      <c r="NAP105" s="18"/>
      <c r="NAQ105" s="38"/>
      <c r="NAW105" s="36"/>
      <c r="NAX105" s="18"/>
      <c r="NAY105" s="38"/>
      <c r="NBE105" s="36"/>
      <c r="NBF105" s="18"/>
      <c r="NBG105" s="38"/>
      <c r="NBM105" s="36"/>
      <c r="NBN105" s="18"/>
      <c r="NBO105" s="38"/>
      <c r="NBU105" s="36"/>
      <c r="NBV105" s="18"/>
      <c r="NBW105" s="38"/>
      <c r="NCC105" s="36"/>
      <c r="NCD105" s="18"/>
      <c r="NCE105" s="38"/>
      <c r="NCK105" s="36"/>
      <c r="NCL105" s="18"/>
      <c r="NCM105" s="38"/>
      <c r="NCS105" s="36"/>
      <c r="NCT105" s="18"/>
      <c r="NCU105" s="38"/>
      <c r="NDA105" s="36"/>
      <c r="NDB105" s="18"/>
      <c r="NDC105" s="38"/>
      <c r="NDI105" s="36"/>
      <c r="NDJ105" s="18"/>
      <c r="NDK105" s="38"/>
      <c r="NDQ105" s="36"/>
      <c r="NDR105" s="18"/>
      <c r="NDS105" s="38"/>
      <c r="NDY105" s="36"/>
      <c r="NDZ105" s="18"/>
      <c r="NEA105" s="38"/>
      <c r="NEG105" s="36"/>
      <c r="NEH105" s="18"/>
      <c r="NEI105" s="38"/>
      <c r="NEO105" s="36"/>
      <c r="NEP105" s="18"/>
      <c r="NEQ105" s="38"/>
      <c r="NEW105" s="36"/>
      <c r="NEX105" s="18"/>
      <c r="NEY105" s="38"/>
      <c r="NFE105" s="36"/>
      <c r="NFF105" s="18"/>
      <c r="NFG105" s="38"/>
      <c r="NFM105" s="36"/>
      <c r="NFN105" s="18"/>
      <c r="NFO105" s="38"/>
      <c r="NFU105" s="36"/>
      <c r="NFV105" s="18"/>
      <c r="NFW105" s="38"/>
      <c r="NGC105" s="36"/>
      <c r="NGD105" s="18"/>
      <c r="NGE105" s="38"/>
      <c r="NGK105" s="36"/>
      <c r="NGL105" s="18"/>
      <c r="NGM105" s="38"/>
      <c r="NGS105" s="36"/>
      <c r="NGT105" s="18"/>
      <c r="NGU105" s="38"/>
      <c r="NHA105" s="36"/>
      <c r="NHB105" s="18"/>
      <c r="NHC105" s="38"/>
      <c r="NHI105" s="36"/>
      <c r="NHJ105" s="18"/>
      <c r="NHK105" s="38"/>
      <c r="NHQ105" s="36"/>
      <c r="NHR105" s="18"/>
      <c r="NHS105" s="38"/>
      <c r="NHY105" s="36"/>
      <c r="NHZ105" s="18"/>
      <c r="NIA105" s="38"/>
      <c r="NIG105" s="36"/>
      <c r="NIH105" s="18"/>
      <c r="NII105" s="38"/>
      <c r="NIO105" s="36"/>
      <c r="NIP105" s="18"/>
      <c r="NIQ105" s="38"/>
      <c r="NIW105" s="36"/>
      <c r="NIX105" s="18"/>
      <c r="NIY105" s="38"/>
      <c r="NJE105" s="36"/>
      <c r="NJF105" s="18"/>
      <c r="NJG105" s="38"/>
      <c r="NJM105" s="36"/>
      <c r="NJN105" s="18"/>
      <c r="NJO105" s="38"/>
      <c r="NJU105" s="36"/>
      <c r="NJV105" s="18"/>
      <c r="NJW105" s="38"/>
      <c r="NKC105" s="36"/>
      <c r="NKD105" s="18"/>
      <c r="NKE105" s="38"/>
      <c r="NKK105" s="36"/>
      <c r="NKL105" s="18"/>
      <c r="NKM105" s="38"/>
      <c r="NKS105" s="36"/>
      <c r="NKT105" s="18"/>
      <c r="NKU105" s="38"/>
      <c r="NLA105" s="36"/>
      <c r="NLB105" s="18"/>
      <c r="NLC105" s="38"/>
      <c r="NLI105" s="36"/>
      <c r="NLJ105" s="18"/>
      <c r="NLK105" s="38"/>
      <c r="NLQ105" s="36"/>
      <c r="NLR105" s="18"/>
      <c r="NLS105" s="38"/>
      <c r="NLY105" s="36"/>
      <c r="NLZ105" s="18"/>
      <c r="NMA105" s="38"/>
      <c r="NMG105" s="36"/>
      <c r="NMH105" s="18"/>
      <c r="NMI105" s="38"/>
      <c r="NMO105" s="36"/>
      <c r="NMP105" s="18"/>
      <c r="NMQ105" s="38"/>
      <c r="NMW105" s="36"/>
      <c r="NMX105" s="18"/>
      <c r="NMY105" s="38"/>
      <c r="NNE105" s="36"/>
      <c r="NNF105" s="18"/>
      <c r="NNG105" s="38"/>
      <c r="NNM105" s="36"/>
      <c r="NNN105" s="18"/>
      <c r="NNO105" s="38"/>
      <c r="NNU105" s="36"/>
      <c r="NNV105" s="18"/>
      <c r="NNW105" s="38"/>
      <c r="NOC105" s="36"/>
      <c r="NOD105" s="18"/>
      <c r="NOE105" s="38"/>
      <c r="NOK105" s="36"/>
      <c r="NOL105" s="18"/>
      <c r="NOM105" s="38"/>
      <c r="NOS105" s="36"/>
      <c r="NOT105" s="18"/>
      <c r="NOU105" s="38"/>
      <c r="NPA105" s="36"/>
      <c r="NPB105" s="18"/>
      <c r="NPC105" s="38"/>
      <c r="NPI105" s="36"/>
      <c r="NPJ105" s="18"/>
      <c r="NPK105" s="38"/>
      <c r="NPQ105" s="36"/>
      <c r="NPR105" s="18"/>
      <c r="NPS105" s="38"/>
      <c r="NPY105" s="36"/>
      <c r="NPZ105" s="18"/>
      <c r="NQA105" s="38"/>
      <c r="NQG105" s="36"/>
      <c r="NQH105" s="18"/>
      <c r="NQI105" s="38"/>
      <c r="NQO105" s="36"/>
      <c r="NQP105" s="18"/>
      <c r="NQQ105" s="38"/>
      <c r="NQW105" s="36"/>
      <c r="NQX105" s="18"/>
      <c r="NQY105" s="38"/>
      <c r="NRE105" s="36"/>
      <c r="NRF105" s="18"/>
      <c r="NRG105" s="38"/>
      <c r="NRM105" s="36"/>
      <c r="NRN105" s="18"/>
      <c r="NRO105" s="38"/>
      <c r="NRU105" s="36"/>
      <c r="NRV105" s="18"/>
      <c r="NRW105" s="38"/>
      <c r="NSC105" s="36"/>
      <c r="NSD105" s="18"/>
      <c r="NSE105" s="38"/>
      <c r="NSK105" s="36"/>
      <c r="NSL105" s="18"/>
      <c r="NSM105" s="38"/>
      <c r="NSS105" s="36"/>
      <c r="NST105" s="18"/>
      <c r="NSU105" s="38"/>
      <c r="NTA105" s="36"/>
      <c r="NTB105" s="18"/>
      <c r="NTC105" s="38"/>
      <c r="NTI105" s="36"/>
      <c r="NTJ105" s="18"/>
      <c r="NTK105" s="38"/>
      <c r="NTQ105" s="36"/>
      <c r="NTR105" s="18"/>
      <c r="NTS105" s="38"/>
      <c r="NTY105" s="36"/>
      <c r="NTZ105" s="18"/>
      <c r="NUA105" s="38"/>
      <c r="NUG105" s="36"/>
      <c r="NUH105" s="18"/>
      <c r="NUI105" s="38"/>
      <c r="NUO105" s="36"/>
      <c r="NUP105" s="18"/>
      <c r="NUQ105" s="38"/>
      <c r="NUW105" s="36"/>
      <c r="NUX105" s="18"/>
      <c r="NUY105" s="38"/>
      <c r="NVE105" s="36"/>
      <c r="NVF105" s="18"/>
      <c r="NVG105" s="38"/>
      <c r="NVM105" s="36"/>
      <c r="NVN105" s="18"/>
      <c r="NVO105" s="38"/>
      <c r="NVU105" s="36"/>
      <c r="NVV105" s="18"/>
      <c r="NVW105" s="38"/>
      <c r="NWC105" s="36"/>
      <c r="NWD105" s="18"/>
      <c r="NWE105" s="38"/>
      <c r="NWK105" s="36"/>
      <c r="NWL105" s="18"/>
      <c r="NWM105" s="38"/>
      <c r="NWS105" s="36"/>
      <c r="NWT105" s="18"/>
      <c r="NWU105" s="38"/>
      <c r="NXA105" s="36"/>
      <c r="NXB105" s="18"/>
      <c r="NXC105" s="38"/>
      <c r="NXI105" s="36"/>
      <c r="NXJ105" s="18"/>
      <c r="NXK105" s="38"/>
      <c r="NXQ105" s="36"/>
      <c r="NXR105" s="18"/>
      <c r="NXS105" s="38"/>
      <c r="NXY105" s="36"/>
      <c r="NXZ105" s="18"/>
      <c r="NYA105" s="38"/>
      <c r="NYG105" s="36"/>
      <c r="NYH105" s="18"/>
      <c r="NYI105" s="38"/>
      <c r="NYO105" s="36"/>
      <c r="NYP105" s="18"/>
      <c r="NYQ105" s="38"/>
      <c r="NYW105" s="36"/>
      <c r="NYX105" s="18"/>
      <c r="NYY105" s="38"/>
      <c r="NZE105" s="36"/>
      <c r="NZF105" s="18"/>
      <c r="NZG105" s="38"/>
      <c r="NZM105" s="36"/>
      <c r="NZN105" s="18"/>
      <c r="NZO105" s="38"/>
      <c r="NZU105" s="36"/>
      <c r="NZV105" s="18"/>
      <c r="NZW105" s="38"/>
      <c r="OAC105" s="36"/>
      <c r="OAD105" s="18"/>
      <c r="OAE105" s="38"/>
      <c r="OAK105" s="36"/>
      <c r="OAL105" s="18"/>
      <c r="OAM105" s="38"/>
      <c r="OAS105" s="36"/>
      <c r="OAT105" s="18"/>
      <c r="OAU105" s="38"/>
      <c r="OBA105" s="36"/>
      <c r="OBB105" s="18"/>
      <c r="OBC105" s="38"/>
      <c r="OBI105" s="36"/>
      <c r="OBJ105" s="18"/>
      <c r="OBK105" s="38"/>
      <c r="OBQ105" s="36"/>
      <c r="OBR105" s="18"/>
      <c r="OBS105" s="38"/>
      <c r="OBY105" s="36"/>
      <c r="OBZ105" s="18"/>
      <c r="OCA105" s="38"/>
      <c r="OCG105" s="36"/>
      <c r="OCH105" s="18"/>
      <c r="OCI105" s="38"/>
      <c r="OCO105" s="36"/>
      <c r="OCP105" s="18"/>
      <c r="OCQ105" s="38"/>
      <c r="OCW105" s="36"/>
      <c r="OCX105" s="18"/>
      <c r="OCY105" s="38"/>
      <c r="ODE105" s="36"/>
      <c r="ODF105" s="18"/>
      <c r="ODG105" s="38"/>
      <c r="ODM105" s="36"/>
      <c r="ODN105" s="18"/>
      <c r="ODO105" s="38"/>
      <c r="ODU105" s="36"/>
      <c r="ODV105" s="18"/>
      <c r="ODW105" s="38"/>
      <c r="OEC105" s="36"/>
      <c r="OED105" s="18"/>
      <c r="OEE105" s="38"/>
      <c r="OEK105" s="36"/>
      <c r="OEL105" s="18"/>
      <c r="OEM105" s="38"/>
      <c r="OES105" s="36"/>
      <c r="OET105" s="18"/>
      <c r="OEU105" s="38"/>
      <c r="OFA105" s="36"/>
      <c r="OFB105" s="18"/>
      <c r="OFC105" s="38"/>
      <c r="OFI105" s="36"/>
      <c r="OFJ105" s="18"/>
      <c r="OFK105" s="38"/>
      <c r="OFQ105" s="36"/>
      <c r="OFR105" s="18"/>
      <c r="OFS105" s="38"/>
      <c r="OFY105" s="36"/>
      <c r="OFZ105" s="18"/>
      <c r="OGA105" s="38"/>
      <c r="OGG105" s="36"/>
      <c r="OGH105" s="18"/>
      <c r="OGI105" s="38"/>
      <c r="OGO105" s="36"/>
      <c r="OGP105" s="18"/>
      <c r="OGQ105" s="38"/>
      <c r="OGW105" s="36"/>
      <c r="OGX105" s="18"/>
      <c r="OGY105" s="38"/>
      <c r="OHE105" s="36"/>
      <c r="OHF105" s="18"/>
      <c r="OHG105" s="38"/>
      <c r="OHM105" s="36"/>
      <c r="OHN105" s="18"/>
      <c r="OHO105" s="38"/>
      <c r="OHU105" s="36"/>
      <c r="OHV105" s="18"/>
      <c r="OHW105" s="38"/>
      <c r="OIC105" s="36"/>
      <c r="OID105" s="18"/>
      <c r="OIE105" s="38"/>
      <c r="OIK105" s="36"/>
      <c r="OIL105" s="18"/>
      <c r="OIM105" s="38"/>
      <c r="OIS105" s="36"/>
      <c r="OIT105" s="18"/>
      <c r="OIU105" s="38"/>
      <c r="OJA105" s="36"/>
      <c r="OJB105" s="18"/>
      <c r="OJC105" s="38"/>
      <c r="OJI105" s="36"/>
      <c r="OJJ105" s="18"/>
      <c r="OJK105" s="38"/>
      <c r="OJQ105" s="36"/>
      <c r="OJR105" s="18"/>
      <c r="OJS105" s="38"/>
      <c r="OJY105" s="36"/>
      <c r="OJZ105" s="18"/>
      <c r="OKA105" s="38"/>
      <c r="OKG105" s="36"/>
      <c r="OKH105" s="18"/>
      <c r="OKI105" s="38"/>
      <c r="OKO105" s="36"/>
      <c r="OKP105" s="18"/>
      <c r="OKQ105" s="38"/>
      <c r="OKW105" s="36"/>
      <c r="OKX105" s="18"/>
      <c r="OKY105" s="38"/>
      <c r="OLE105" s="36"/>
      <c r="OLF105" s="18"/>
      <c r="OLG105" s="38"/>
      <c r="OLM105" s="36"/>
      <c r="OLN105" s="18"/>
      <c r="OLO105" s="38"/>
      <c r="OLU105" s="36"/>
      <c r="OLV105" s="18"/>
      <c r="OLW105" s="38"/>
      <c r="OMC105" s="36"/>
      <c r="OMD105" s="18"/>
      <c r="OME105" s="38"/>
      <c r="OMK105" s="36"/>
      <c r="OML105" s="18"/>
      <c r="OMM105" s="38"/>
      <c r="OMS105" s="36"/>
      <c r="OMT105" s="18"/>
      <c r="OMU105" s="38"/>
      <c r="ONA105" s="36"/>
      <c r="ONB105" s="18"/>
      <c r="ONC105" s="38"/>
      <c r="ONI105" s="36"/>
      <c r="ONJ105" s="18"/>
      <c r="ONK105" s="38"/>
      <c r="ONQ105" s="36"/>
      <c r="ONR105" s="18"/>
      <c r="ONS105" s="38"/>
      <c r="ONY105" s="36"/>
      <c r="ONZ105" s="18"/>
      <c r="OOA105" s="38"/>
      <c r="OOG105" s="36"/>
      <c r="OOH105" s="18"/>
      <c r="OOI105" s="38"/>
      <c r="OOO105" s="36"/>
      <c r="OOP105" s="18"/>
      <c r="OOQ105" s="38"/>
      <c r="OOW105" s="36"/>
      <c r="OOX105" s="18"/>
      <c r="OOY105" s="38"/>
      <c r="OPE105" s="36"/>
      <c r="OPF105" s="18"/>
      <c r="OPG105" s="38"/>
      <c r="OPM105" s="36"/>
      <c r="OPN105" s="18"/>
      <c r="OPO105" s="38"/>
      <c r="OPU105" s="36"/>
      <c r="OPV105" s="18"/>
      <c r="OPW105" s="38"/>
      <c r="OQC105" s="36"/>
      <c r="OQD105" s="18"/>
      <c r="OQE105" s="38"/>
      <c r="OQK105" s="36"/>
      <c r="OQL105" s="18"/>
      <c r="OQM105" s="38"/>
      <c r="OQS105" s="36"/>
      <c r="OQT105" s="18"/>
      <c r="OQU105" s="38"/>
      <c r="ORA105" s="36"/>
      <c r="ORB105" s="18"/>
      <c r="ORC105" s="38"/>
      <c r="ORI105" s="36"/>
      <c r="ORJ105" s="18"/>
      <c r="ORK105" s="38"/>
      <c r="ORQ105" s="36"/>
      <c r="ORR105" s="18"/>
      <c r="ORS105" s="38"/>
      <c r="ORY105" s="36"/>
      <c r="ORZ105" s="18"/>
      <c r="OSA105" s="38"/>
      <c r="OSG105" s="36"/>
      <c r="OSH105" s="18"/>
      <c r="OSI105" s="38"/>
      <c r="OSO105" s="36"/>
      <c r="OSP105" s="18"/>
      <c r="OSQ105" s="38"/>
      <c r="OSW105" s="36"/>
      <c r="OSX105" s="18"/>
      <c r="OSY105" s="38"/>
      <c r="OTE105" s="36"/>
      <c r="OTF105" s="18"/>
      <c r="OTG105" s="38"/>
      <c r="OTM105" s="36"/>
      <c r="OTN105" s="18"/>
      <c r="OTO105" s="38"/>
      <c r="OTU105" s="36"/>
      <c r="OTV105" s="18"/>
      <c r="OTW105" s="38"/>
      <c r="OUC105" s="36"/>
      <c r="OUD105" s="18"/>
      <c r="OUE105" s="38"/>
      <c r="OUK105" s="36"/>
      <c r="OUL105" s="18"/>
      <c r="OUM105" s="38"/>
      <c r="OUS105" s="36"/>
      <c r="OUT105" s="18"/>
      <c r="OUU105" s="38"/>
      <c r="OVA105" s="36"/>
      <c r="OVB105" s="18"/>
      <c r="OVC105" s="38"/>
      <c r="OVI105" s="36"/>
      <c r="OVJ105" s="18"/>
      <c r="OVK105" s="38"/>
      <c r="OVQ105" s="36"/>
      <c r="OVR105" s="18"/>
      <c r="OVS105" s="38"/>
      <c r="OVY105" s="36"/>
      <c r="OVZ105" s="18"/>
      <c r="OWA105" s="38"/>
      <c r="OWG105" s="36"/>
      <c r="OWH105" s="18"/>
      <c r="OWI105" s="38"/>
      <c r="OWO105" s="36"/>
      <c r="OWP105" s="18"/>
      <c r="OWQ105" s="38"/>
      <c r="OWW105" s="36"/>
      <c r="OWX105" s="18"/>
      <c r="OWY105" s="38"/>
      <c r="OXE105" s="36"/>
      <c r="OXF105" s="18"/>
      <c r="OXG105" s="38"/>
      <c r="OXM105" s="36"/>
      <c r="OXN105" s="18"/>
      <c r="OXO105" s="38"/>
      <c r="OXU105" s="36"/>
      <c r="OXV105" s="18"/>
      <c r="OXW105" s="38"/>
      <c r="OYC105" s="36"/>
      <c r="OYD105" s="18"/>
      <c r="OYE105" s="38"/>
      <c r="OYK105" s="36"/>
      <c r="OYL105" s="18"/>
      <c r="OYM105" s="38"/>
      <c r="OYS105" s="36"/>
      <c r="OYT105" s="18"/>
      <c r="OYU105" s="38"/>
      <c r="OZA105" s="36"/>
      <c r="OZB105" s="18"/>
      <c r="OZC105" s="38"/>
      <c r="OZI105" s="36"/>
      <c r="OZJ105" s="18"/>
      <c r="OZK105" s="38"/>
      <c r="OZQ105" s="36"/>
      <c r="OZR105" s="18"/>
      <c r="OZS105" s="38"/>
      <c r="OZY105" s="36"/>
      <c r="OZZ105" s="18"/>
      <c r="PAA105" s="38"/>
      <c r="PAG105" s="36"/>
      <c r="PAH105" s="18"/>
      <c r="PAI105" s="38"/>
      <c r="PAO105" s="36"/>
      <c r="PAP105" s="18"/>
      <c r="PAQ105" s="38"/>
      <c r="PAW105" s="36"/>
      <c r="PAX105" s="18"/>
      <c r="PAY105" s="38"/>
      <c r="PBE105" s="36"/>
      <c r="PBF105" s="18"/>
      <c r="PBG105" s="38"/>
      <c r="PBM105" s="36"/>
      <c r="PBN105" s="18"/>
      <c r="PBO105" s="38"/>
      <c r="PBU105" s="36"/>
      <c r="PBV105" s="18"/>
      <c r="PBW105" s="38"/>
      <c r="PCC105" s="36"/>
      <c r="PCD105" s="18"/>
      <c r="PCE105" s="38"/>
      <c r="PCK105" s="36"/>
      <c r="PCL105" s="18"/>
      <c r="PCM105" s="38"/>
      <c r="PCS105" s="36"/>
      <c r="PCT105" s="18"/>
      <c r="PCU105" s="38"/>
      <c r="PDA105" s="36"/>
      <c r="PDB105" s="18"/>
      <c r="PDC105" s="38"/>
      <c r="PDI105" s="36"/>
      <c r="PDJ105" s="18"/>
      <c r="PDK105" s="38"/>
      <c r="PDQ105" s="36"/>
      <c r="PDR105" s="18"/>
      <c r="PDS105" s="38"/>
      <c r="PDY105" s="36"/>
      <c r="PDZ105" s="18"/>
      <c r="PEA105" s="38"/>
      <c r="PEG105" s="36"/>
      <c r="PEH105" s="18"/>
      <c r="PEI105" s="38"/>
      <c r="PEO105" s="36"/>
      <c r="PEP105" s="18"/>
      <c r="PEQ105" s="38"/>
      <c r="PEW105" s="36"/>
      <c r="PEX105" s="18"/>
      <c r="PEY105" s="38"/>
      <c r="PFE105" s="36"/>
      <c r="PFF105" s="18"/>
      <c r="PFG105" s="38"/>
      <c r="PFM105" s="36"/>
      <c r="PFN105" s="18"/>
      <c r="PFO105" s="38"/>
      <c r="PFU105" s="36"/>
      <c r="PFV105" s="18"/>
      <c r="PFW105" s="38"/>
      <c r="PGC105" s="36"/>
      <c r="PGD105" s="18"/>
      <c r="PGE105" s="38"/>
      <c r="PGK105" s="36"/>
      <c r="PGL105" s="18"/>
      <c r="PGM105" s="38"/>
      <c r="PGS105" s="36"/>
      <c r="PGT105" s="18"/>
      <c r="PGU105" s="38"/>
      <c r="PHA105" s="36"/>
      <c r="PHB105" s="18"/>
      <c r="PHC105" s="38"/>
      <c r="PHI105" s="36"/>
      <c r="PHJ105" s="18"/>
      <c r="PHK105" s="38"/>
      <c r="PHQ105" s="36"/>
      <c r="PHR105" s="18"/>
      <c r="PHS105" s="38"/>
      <c r="PHY105" s="36"/>
      <c r="PHZ105" s="18"/>
      <c r="PIA105" s="38"/>
      <c r="PIG105" s="36"/>
      <c r="PIH105" s="18"/>
      <c r="PII105" s="38"/>
      <c r="PIO105" s="36"/>
      <c r="PIP105" s="18"/>
      <c r="PIQ105" s="38"/>
      <c r="PIW105" s="36"/>
      <c r="PIX105" s="18"/>
      <c r="PIY105" s="38"/>
      <c r="PJE105" s="36"/>
      <c r="PJF105" s="18"/>
      <c r="PJG105" s="38"/>
      <c r="PJM105" s="36"/>
      <c r="PJN105" s="18"/>
      <c r="PJO105" s="38"/>
      <c r="PJU105" s="36"/>
      <c r="PJV105" s="18"/>
      <c r="PJW105" s="38"/>
      <c r="PKC105" s="36"/>
      <c r="PKD105" s="18"/>
      <c r="PKE105" s="38"/>
      <c r="PKK105" s="36"/>
      <c r="PKL105" s="18"/>
      <c r="PKM105" s="38"/>
      <c r="PKS105" s="36"/>
      <c r="PKT105" s="18"/>
      <c r="PKU105" s="38"/>
      <c r="PLA105" s="36"/>
      <c r="PLB105" s="18"/>
      <c r="PLC105" s="38"/>
      <c r="PLI105" s="36"/>
      <c r="PLJ105" s="18"/>
      <c r="PLK105" s="38"/>
      <c r="PLQ105" s="36"/>
      <c r="PLR105" s="18"/>
      <c r="PLS105" s="38"/>
      <c r="PLY105" s="36"/>
      <c r="PLZ105" s="18"/>
      <c r="PMA105" s="38"/>
      <c r="PMG105" s="36"/>
      <c r="PMH105" s="18"/>
      <c r="PMI105" s="38"/>
      <c r="PMO105" s="36"/>
      <c r="PMP105" s="18"/>
      <c r="PMQ105" s="38"/>
      <c r="PMW105" s="36"/>
      <c r="PMX105" s="18"/>
      <c r="PMY105" s="38"/>
      <c r="PNE105" s="36"/>
      <c r="PNF105" s="18"/>
      <c r="PNG105" s="38"/>
      <c r="PNM105" s="36"/>
      <c r="PNN105" s="18"/>
      <c r="PNO105" s="38"/>
      <c r="PNU105" s="36"/>
      <c r="PNV105" s="18"/>
      <c r="PNW105" s="38"/>
      <c r="POC105" s="36"/>
      <c r="POD105" s="18"/>
      <c r="POE105" s="38"/>
      <c r="POK105" s="36"/>
      <c r="POL105" s="18"/>
      <c r="POM105" s="38"/>
      <c r="POS105" s="36"/>
      <c r="POT105" s="18"/>
      <c r="POU105" s="38"/>
      <c r="PPA105" s="36"/>
      <c r="PPB105" s="18"/>
      <c r="PPC105" s="38"/>
      <c r="PPI105" s="36"/>
      <c r="PPJ105" s="18"/>
      <c r="PPK105" s="38"/>
      <c r="PPQ105" s="36"/>
      <c r="PPR105" s="18"/>
      <c r="PPS105" s="38"/>
      <c r="PPY105" s="36"/>
      <c r="PPZ105" s="18"/>
      <c r="PQA105" s="38"/>
      <c r="PQG105" s="36"/>
      <c r="PQH105" s="18"/>
      <c r="PQI105" s="38"/>
      <c r="PQO105" s="36"/>
      <c r="PQP105" s="18"/>
      <c r="PQQ105" s="38"/>
      <c r="PQW105" s="36"/>
      <c r="PQX105" s="18"/>
      <c r="PQY105" s="38"/>
      <c r="PRE105" s="36"/>
      <c r="PRF105" s="18"/>
      <c r="PRG105" s="38"/>
      <c r="PRM105" s="36"/>
      <c r="PRN105" s="18"/>
      <c r="PRO105" s="38"/>
      <c r="PRU105" s="36"/>
      <c r="PRV105" s="18"/>
      <c r="PRW105" s="38"/>
      <c r="PSC105" s="36"/>
      <c r="PSD105" s="18"/>
      <c r="PSE105" s="38"/>
      <c r="PSK105" s="36"/>
      <c r="PSL105" s="18"/>
      <c r="PSM105" s="38"/>
      <c r="PSS105" s="36"/>
      <c r="PST105" s="18"/>
      <c r="PSU105" s="38"/>
      <c r="PTA105" s="36"/>
      <c r="PTB105" s="18"/>
      <c r="PTC105" s="38"/>
      <c r="PTI105" s="36"/>
      <c r="PTJ105" s="18"/>
      <c r="PTK105" s="38"/>
      <c r="PTQ105" s="36"/>
      <c r="PTR105" s="18"/>
      <c r="PTS105" s="38"/>
      <c r="PTY105" s="36"/>
      <c r="PTZ105" s="18"/>
      <c r="PUA105" s="38"/>
      <c r="PUG105" s="36"/>
      <c r="PUH105" s="18"/>
      <c r="PUI105" s="38"/>
      <c r="PUO105" s="36"/>
      <c r="PUP105" s="18"/>
      <c r="PUQ105" s="38"/>
      <c r="PUW105" s="36"/>
      <c r="PUX105" s="18"/>
      <c r="PUY105" s="38"/>
      <c r="PVE105" s="36"/>
      <c r="PVF105" s="18"/>
      <c r="PVG105" s="38"/>
      <c r="PVM105" s="36"/>
      <c r="PVN105" s="18"/>
      <c r="PVO105" s="38"/>
      <c r="PVU105" s="36"/>
      <c r="PVV105" s="18"/>
      <c r="PVW105" s="38"/>
      <c r="PWC105" s="36"/>
      <c r="PWD105" s="18"/>
      <c r="PWE105" s="38"/>
      <c r="PWK105" s="36"/>
      <c r="PWL105" s="18"/>
      <c r="PWM105" s="38"/>
      <c r="PWS105" s="36"/>
      <c r="PWT105" s="18"/>
      <c r="PWU105" s="38"/>
      <c r="PXA105" s="36"/>
      <c r="PXB105" s="18"/>
      <c r="PXC105" s="38"/>
      <c r="PXI105" s="36"/>
      <c r="PXJ105" s="18"/>
      <c r="PXK105" s="38"/>
      <c r="PXQ105" s="36"/>
      <c r="PXR105" s="18"/>
      <c r="PXS105" s="38"/>
      <c r="PXY105" s="36"/>
      <c r="PXZ105" s="18"/>
      <c r="PYA105" s="38"/>
      <c r="PYG105" s="36"/>
      <c r="PYH105" s="18"/>
      <c r="PYI105" s="38"/>
      <c r="PYO105" s="36"/>
      <c r="PYP105" s="18"/>
      <c r="PYQ105" s="38"/>
      <c r="PYW105" s="36"/>
      <c r="PYX105" s="18"/>
      <c r="PYY105" s="38"/>
      <c r="PZE105" s="36"/>
      <c r="PZF105" s="18"/>
      <c r="PZG105" s="38"/>
      <c r="PZM105" s="36"/>
      <c r="PZN105" s="18"/>
      <c r="PZO105" s="38"/>
      <c r="PZU105" s="36"/>
      <c r="PZV105" s="18"/>
      <c r="PZW105" s="38"/>
      <c r="QAC105" s="36"/>
      <c r="QAD105" s="18"/>
      <c r="QAE105" s="38"/>
      <c r="QAK105" s="36"/>
      <c r="QAL105" s="18"/>
      <c r="QAM105" s="38"/>
      <c r="QAS105" s="36"/>
      <c r="QAT105" s="18"/>
      <c r="QAU105" s="38"/>
      <c r="QBA105" s="36"/>
      <c r="QBB105" s="18"/>
      <c r="QBC105" s="38"/>
      <c r="QBI105" s="36"/>
      <c r="QBJ105" s="18"/>
      <c r="QBK105" s="38"/>
      <c r="QBQ105" s="36"/>
      <c r="QBR105" s="18"/>
      <c r="QBS105" s="38"/>
      <c r="QBY105" s="36"/>
      <c r="QBZ105" s="18"/>
      <c r="QCA105" s="38"/>
      <c r="QCG105" s="36"/>
      <c r="QCH105" s="18"/>
      <c r="QCI105" s="38"/>
      <c r="QCO105" s="36"/>
      <c r="QCP105" s="18"/>
      <c r="QCQ105" s="38"/>
      <c r="QCW105" s="36"/>
      <c r="QCX105" s="18"/>
      <c r="QCY105" s="38"/>
      <c r="QDE105" s="36"/>
      <c r="QDF105" s="18"/>
      <c r="QDG105" s="38"/>
      <c r="QDM105" s="36"/>
      <c r="QDN105" s="18"/>
      <c r="QDO105" s="38"/>
      <c r="QDU105" s="36"/>
      <c r="QDV105" s="18"/>
      <c r="QDW105" s="38"/>
      <c r="QEC105" s="36"/>
      <c r="QED105" s="18"/>
      <c r="QEE105" s="38"/>
      <c r="QEK105" s="36"/>
      <c r="QEL105" s="18"/>
      <c r="QEM105" s="38"/>
      <c r="QES105" s="36"/>
      <c r="QET105" s="18"/>
      <c r="QEU105" s="38"/>
      <c r="QFA105" s="36"/>
      <c r="QFB105" s="18"/>
      <c r="QFC105" s="38"/>
      <c r="QFI105" s="36"/>
      <c r="QFJ105" s="18"/>
      <c r="QFK105" s="38"/>
      <c r="QFQ105" s="36"/>
      <c r="QFR105" s="18"/>
      <c r="QFS105" s="38"/>
      <c r="QFY105" s="36"/>
      <c r="QFZ105" s="18"/>
      <c r="QGA105" s="38"/>
      <c r="QGG105" s="36"/>
      <c r="QGH105" s="18"/>
      <c r="QGI105" s="38"/>
      <c r="QGO105" s="36"/>
      <c r="QGP105" s="18"/>
      <c r="QGQ105" s="38"/>
      <c r="QGW105" s="36"/>
      <c r="QGX105" s="18"/>
      <c r="QGY105" s="38"/>
      <c r="QHE105" s="36"/>
      <c r="QHF105" s="18"/>
      <c r="QHG105" s="38"/>
      <c r="QHM105" s="36"/>
      <c r="QHN105" s="18"/>
      <c r="QHO105" s="38"/>
      <c r="QHU105" s="36"/>
      <c r="QHV105" s="18"/>
      <c r="QHW105" s="38"/>
      <c r="QIC105" s="36"/>
      <c r="QID105" s="18"/>
      <c r="QIE105" s="38"/>
      <c r="QIK105" s="36"/>
      <c r="QIL105" s="18"/>
      <c r="QIM105" s="38"/>
      <c r="QIS105" s="36"/>
      <c r="QIT105" s="18"/>
      <c r="QIU105" s="38"/>
      <c r="QJA105" s="36"/>
      <c r="QJB105" s="18"/>
      <c r="QJC105" s="38"/>
      <c r="QJI105" s="36"/>
      <c r="QJJ105" s="18"/>
      <c r="QJK105" s="38"/>
      <c r="QJQ105" s="36"/>
      <c r="QJR105" s="18"/>
      <c r="QJS105" s="38"/>
      <c r="QJY105" s="36"/>
      <c r="QJZ105" s="18"/>
      <c r="QKA105" s="38"/>
      <c r="QKG105" s="36"/>
      <c r="QKH105" s="18"/>
      <c r="QKI105" s="38"/>
      <c r="QKO105" s="36"/>
      <c r="QKP105" s="18"/>
      <c r="QKQ105" s="38"/>
      <c r="QKW105" s="36"/>
      <c r="QKX105" s="18"/>
      <c r="QKY105" s="38"/>
      <c r="QLE105" s="36"/>
      <c r="QLF105" s="18"/>
      <c r="QLG105" s="38"/>
      <c r="QLM105" s="36"/>
      <c r="QLN105" s="18"/>
      <c r="QLO105" s="38"/>
      <c r="QLU105" s="36"/>
      <c r="QLV105" s="18"/>
      <c r="QLW105" s="38"/>
      <c r="QMC105" s="36"/>
      <c r="QMD105" s="18"/>
      <c r="QME105" s="38"/>
      <c r="QMK105" s="36"/>
      <c r="QML105" s="18"/>
      <c r="QMM105" s="38"/>
      <c r="QMS105" s="36"/>
      <c r="QMT105" s="18"/>
      <c r="QMU105" s="38"/>
      <c r="QNA105" s="36"/>
      <c r="QNB105" s="18"/>
      <c r="QNC105" s="38"/>
      <c r="QNI105" s="36"/>
      <c r="QNJ105" s="18"/>
      <c r="QNK105" s="38"/>
      <c r="QNQ105" s="36"/>
      <c r="QNR105" s="18"/>
      <c r="QNS105" s="38"/>
      <c r="QNY105" s="36"/>
      <c r="QNZ105" s="18"/>
      <c r="QOA105" s="38"/>
      <c r="QOG105" s="36"/>
      <c r="QOH105" s="18"/>
      <c r="QOI105" s="38"/>
      <c r="QOO105" s="36"/>
      <c r="QOP105" s="18"/>
      <c r="QOQ105" s="38"/>
      <c r="QOW105" s="36"/>
      <c r="QOX105" s="18"/>
      <c r="QOY105" s="38"/>
      <c r="QPE105" s="36"/>
      <c r="QPF105" s="18"/>
      <c r="QPG105" s="38"/>
      <c r="QPM105" s="36"/>
      <c r="QPN105" s="18"/>
      <c r="QPO105" s="38"/>
      <c r="QPU105" s="36"/>
      <c r="QPV105" s="18"/>
      <c r="QPW105" s="38"/>
      <c r="QQC105" s="36"/>
      <c r="QQD105" s="18"/>
      <c r="QQE105" s="38"/>
      <c r="QQK105" s="36"/>
      <c r="QQL105" s="18"/>
      <c r="QQM105" s="38"/>
      <c r="QQS105" s="36"/>
      <c r="QQT105" s="18"/>
      <c r="QQU105" s="38"/>
      <c r="QRA105" s="36"/>
      <c r="QRB105" s="18"/>
      <c r="QRC105" s="38"/>
      <c r="QRI105" s="36"/>
      <c r="QRJ105" s="18"/>
      <c r="QRK105" s="38"/>
      <c r="QRQ105" s="36"/>
      <c r="QRR105" s="18"/>
      <c r="QRS105" s="38"/>
      <c r="QRY105" s="36"/>
      <c r="QRZ105" s="18"/>
      <c r="QSA105" s="38"/>
      <c r="QSG105" s="36"/>
      <c r="QSH105" s="18"/>
      <c r="QSI105" s="38"/>
      <c r="QSO105" s="36"/>
      <c r="QSP105" s="18"/>
      <c r="QSQ105" s="38"/>
      <c r="QSW105" s="36"/>
      <c r="QSX105" s="18"/>
      <c r="QSY105" s="38"/>
      <c r="QTE105" s="36"/>
      <c r="QTF105" s="18"/>
      <c r="QTG105" s="38"/>
      <c r="QTM105" s="36"/>
      <c r="QTN105" s="18"/>
      <c r="QTO105" s="38"/>
      <c r="QTU105" s="36"/>
      <c r="QTV105" s="18"/>
      <c r="QTW105" s="38"/>
      <c r="QUC105" s="36"/>
      <c r="QUD105" s="18"/>
      <c r="QUE105" s="38"/>
      <c r="QUK105" s="36"/>
      <c r="QUL105" s="18"/>
      <c r="QUM105" s="38"/>
      <c r="QUS105" s="36"/>
      <c r="QUT105" s="18"/>
      <c r="QUU105" s="38"/>
      <c r="QVA105" s="36"/>
      <c r="QVB105" s="18"/>
      <c r="QVC105" s="38"/>
      <c r="QVI105" s="36"/>
      <c r="QVJ105" s="18"/>
      <c r="QVK105" s="38"/>
      <c r="QVQ105" s="36"/>
      <c r="QVR105" s="18"/>
      <c r="QVS105" s="38"/>
      <c r="QVY105" s="36"/>
      <c r="QVZ105" s="18"/>
      <c r="QWA105" s="38"/>
      <c r="QWG105" s="36"/>
      <c r="QWH105" s="18"/>
      <c r="QWI105" s="38"/>
      <c r="QWO105" s="36"/>
      <c r="QWP105" s="18"/>
      <c r="QWQ105" s="38"/>
      <c r="QWW105" s="36"/>
      <c r="QWX105" s="18"/>
      <c r="QWY105" s="38"/>
      <c r="QXE105" s="36"/>
      <c r="QXF105" s="18"/>
      <c r="QXG105" s="38"/>
      <c r="QXM105" s="36"/>
      <c r="QXN105" s="18"/>
      <c r="QXO105" s="38"/>
      <c r="QXU105" s="36"/>
      <c r="QXV105" s="18"/>
      <c r="QXW105" s="38"/>
      <c r="QYC105" s="36"/>
      <c r="QYD105" s="18"/>
      <c r="QYE105" s="38"/>
      <c r="QYK105" s="36"/>
      <c r="QYL105" s="18"/>
      <c r="QYM105" s="38"/>
      <c r="QYS105" s="36"/>
      <c r="QYT105" s="18"/>
      <c r="QYU105" s="38"/>
      <c r="QZA105" s="36"/>
      <c r="QZB105" s="18"/>
      <c r="QZC105" s="38"/>
      <c r="QZI105" s="36"/>
      <c r="QZJ105" s="18"/>
      <c r="QZK105" s="38"/>
      <c r="QZQ105" s="36"/>
      <c r="QZR105" s="18"/>
      <c r="QZS105" s="38"/>
      <c r="QZY105" s="36"/>
      <c r="QZZ105" s="18"/>
      <c r="RAA105" s="38"/>
      <c r="RAG105" s="36"/>
      <c r="RAH105" s="18"/>
      <c r="RAI105" s="38"/>
      <c r="RAO105" s="36"/>
      <c r="RAP105" s="18"/>
      <c r="RAQ105" s="38"/>
      <c r="RAW105" s="36"/>
      <c r="RAX105" s="18"/>
      <c r="RAY105" s="38"/>
      <c r="RBE105" s="36"/>
      <c r="RBF105" s="18"/>
      <c r="RBG105" s="38"/>
      <c r="RBM105" s="36"/>
      <c r="RBN105" s="18"/>
      <c r="RBO105" s="38"/>
      <c r="RBU105" s="36"/>
      <c r="RBV105" s="18"/>
      <c r="RBW105" s="38"/>
      <c r="RCC105" s="36"/>
      <c r="RCD105" s="18"/>
      <c r="RCE105" s="38"/>
      <c r="RCK105" s="36"/>
      <c r="RCL105" s="18"/>
      <c r="RCM105" s="38"/>
      <c r="RCS105" s="36"/>
      <c r="RCT105" s="18"/>
      <c r="RCU105" s="38"/>
      <c r="RDA105" s="36"/>
      <c r="RDB105" s="18"/>
      <c r="RDC105" s="38"/>
      <c r="RDI105" s="36"/>
      <c r="RDJ105" s="18"/>
      <c r="RDK105" s="38"/>
      <c r="RDQ105" s="36"/>
      <c r="RDR105" s="18"/>
      <c r="RDS105" s="38"/>
      <c r="RDY105" s="36"/>
      <c r="RDZ105" s="18"/>
      <c r="REA105" s="38"/>
      <c r="REG105" s="36"/>
      <c r="REH105" s="18"/>
      <c r="REI105" s="38"/>
      <c r="REO105" s="36"/>
      <c r="REP105" s="18"/>
      <c r="REQ105" s="38"/>
      <c r="REW105" s="36"/>
      <c r="REX105" s="18"/>
      <c r="REY105" s="38"/>
      <c r="RFE105" s="36"/>
      <c r="RFF105" s="18"/>
      <c r="RFG105" s="38"/>
      <c r="RFM105" s="36"/>
      <c r="RFN105" s="18"/>
      <c r="RFO105" s="38"/>
      <c r="RFU105" s="36"/>
      <c r="RFV105" s="18"/>
      <c r="RFW105" s="38"/>
      <c r="RGC105" s="36"/>
      <c r="RGD105" s="18"/>
      <c r="RGE105" s="38"/>
      <c r="RGK105" s="36"/>
      <c r="RGL105" s="18"/>
      <c r="RGM105" s="38"/>
      <c r="RGS105" s="36"/>
      <c r="RGT105" s="18"/>
      <c r="RGU105" s="38"/>
      <c r="RHA105" s="36"/>
      <c r="RHB105" s="18"/>
      <c r="RHC105" s="38"/>
      <c r="RHI105" s="36"/>
      <c r="RHJ105" s="18"/>
      <c r="RHK105" s="38"/>
      <c r="RHQ105" s="36"/>
      <c r="RHR105" s="18"/>
      <c r="RHS105" s="38"/>
      <c r="RHY105" s="36"/>
      <c r="RHZ105" s="18"/>
      <c r="RIA105" s="38"/>
      <c r="RIG105" s="36"/>
      <c r="RIH105" s="18"/>
      <c r="RII105" s="38"/>
      <c r="RIO105" s="36"/>
      <c r="RIP105" s="18"/>
      <c r="RIQ105" s="38"/>
      <c r="RIW105" s="36"/>
      <c r="RIX105" s="18"/>
      <c r="RIY105" s="38"/>
      <c r="RJE105" s="36"/>
      <c r="RJF105" s="18"/>
      <c r="RJG105" s="38"/>
      <c r="RJM105" s="36"/>
      <c r="RJN105" s="18"/>
      <c r="RJO105" s="38"/>
      <c r="RJU105" s="36"/>
      <c r="RJV105" s="18"/>
      <c r="RJW105" s="38"/>
      <c r="RKC105" s="36"/>
      <c r="RKD105" s="18"/>
      <c r="RKE105" s="38"/>
      <c r="RKK105" s="36"/>
      <c r="RKL105" s="18"/>
      <c r="RKM105" s="38"/>
      <c r="RKS105" s="36"/>
      <c r="RKT105" s="18"/>
      <c r="RKU105" s="38"/>
      <c r="RLA105" s="36"/>
      <c r="RLB105" s="18"/>
      <c r="RLC105" s="38"/>
      <c r="RLI105" s="36"/>
      <c r="RLJ105" s="18"/>
      <c r="RLK105" s="38"/>
      <c r="RLQ105" s="36"/>
      <c r="RLR105" s="18"/>
      <c r="RLS105" s="38"/>
      <c r="RLY105" s="36"/>
      <c r="RLZ105" s="18"/>
      <c r="RMA105" s="38"/>
      <c r="RMG105" s="36"/>
      <c r="RMH105" s="18"/>
      <c r="RMI105" s="38"/>
      <c r="RMO105" s="36"/>
      <c r="RMP105" s="18"/>
      <c r="RMQ105" s="38"/>
      <c r="RMW105" s="36"/>
      <c r="RMX105" s="18"/>
      <c r="RMY105" s="38"/>
      <c r="RNE105" s="36"/>
      <c r="RNF105" s="18"/>
      <c r="RNG105" s="38"/>
      <c r="RNM105" s="36"/>
      <c r="RNN105" s="18"/>
      <c r="RNO105" s="38"/>
      <c r="RNU105" s="36"/>
      <c r="RNV105" s="18"/>
      <c r="RNW105" s="38"/>
      <c r="ROC105" s="36"/>
      <c r="ROD105" s="18"/>
      <c r="ROE105" s="38"/>
      <c r="ROK105" s="36"/>
      <c r="ROL105" s="18"/>
      <c r="ROM105" s="38"/>
      <c r="ROS105" s="36"/>
      <c r="ROT105" s="18"/>
      <c r="ROU105" s="38"/>
      <c r="RPA105" s="36"/>
      <c r="RPB105" s="18"/>
      <c r="RPC105" s="38"/>
      <c r="RPI105" s="36"/>
      <c r="RPJ105" s="18"/>
      <c r="RPK105" s="38"/>
      <c r="RPQ105" s="36"/>
      <c r="RPR105" s="18"/>
      <c r="RPS105" s="38"/>
      <c r="RPY105" s="36"/>
      <c r="RPZ105" s="18"/>
      <c r="RQA105" s="38"/>
      <c r="RQG105" s="36"/>
      <c r="RQH105" s="18"/>
      <c r="RQI105" s="38"/>
      <c r="RQO105" s="36"/>
      <c r="RQP105" s="18"/>
      <c r="RQQ105" s="38"/>
      <c r="RQW105" s="36"/>
      <c r="RQX105" s="18"/>
      <c r="RQY105" s="38"/>
      <c r="RRE105" s="36"/>
      <c r="RRF105" s="18"/>
      <c r="RRG105" s="38"/>
      <c r="RRM105" s="36"/>
      <c r="RRN105" s="18"/>
      <c r="RRO105" s="38"/>
      <c r="RRU105" s="36"/>
      <c r="RRV105" s="18"/>
      <c r="RRW105" s="38"/>
      <c r="RSC105" s="36"/>
      <c r="RSD105" s="18"/>
      <c r="RSE105" s="38"/>
      <c r="RSK105" s="36"/>
      <c r="RSL105" s="18"/>
      <c r="RSM105" s="38"/>
      <c r="RSS105" s="36"/>
      <c r="RST105" s="18"/>
      <c r="RSU105" s="38"/>
      <c r="RTA105" s="36"/>
      <c r="RTB105" s="18"/>
      <c r="RTC105" s="38"/>
      <c r="RTI105" s="36"/>
      <c r="RTJ105" s="18"/>
      <c r="RTK105" s="38"/>
      <c r="RTQ105" s="36"/>
      <c r="RTR105" s="18"/>
      <c r="RTS105" s="38"/>
      <c r="RTY105" s="36"/>
      <c r="RTZ105" s="18"/>
      <c r="RUA105" s="38"/>
      <c r="RUG105" s="36"/>
      <c r="RUH105" s="18"/>
      <c r="RUI105" s="38"/>
      <c r="RUO105" s="36"/>
      <c r="RUP105" s="18"/>
      <c r="RUQ105" s="38"/>
      <c r="RUW105" s="36"/>
      <c r="RUX105" s="18"/>
      <c r="RUY105" s="38"/>
      <c r="RVE105" s="36"/>
      <c r="RVF105" s="18"/>
      <c r="RVG105" s="38"/>
      <c r="RVM105" s="36"/>
      <c r="RVN105" s="18"/>
      <c r="RVO105" s="38"/>
      <c r="RVU105" s="36"/>
      <c r="RVV105" s="18"/>
      <c r="RVW105" s="38"/>
      <c r="RWC105" s="36"/>
      <c r="RWD105" s="18"/>
      <c r="RWE105" s="38"/>
      <c r="RWK105" s="36"/>
      <c r="RWL105" s="18"/>
      <c r="RWM105" s="38"/>
      <c r="RWS105" s="36"/>
      <c r="RWT105" s="18"/>
      <c r="RWU105" s="38"/>
      <c r="RXA105" s="36"/>
      <c r="RXB105" s="18"/>
      <c r="RXC105" s="38"/>
      <c r="RXI105" s="36"/>
      <c r="RXJ105" s="18"/>
      <c r="RXK105" s="38"/>
      <c r="RXQ105" s="36"/>
      <c r="RXR105" s="18"/>
      <c r="RXS105" s="38"/>
      <c r="RXY105" s="36"/>
      <c r="RXZ105" s="18"/>
      <c r="RYA105" s="38"/>
      <c r="RYG105" s="36"/>
      <c r="RYH105" s="18"/>
      <c r="RYI105" s="38"/>
      <c r="RYO105" s="36"/>
      <c r="RYP105" s="18"/>
      <c r="RYQ105" s="38"/>
      <c r="RYW105" s="36"/>
      <c r="RYX105" s="18"/>
      <c r="RYY105" s="38"/>
      <c r="RZE105" s="36"/>
      <c r="RZF105" s="18"/>
      <c r="RZG105" s="38"/>
      <c r="RZM105" s="36"/>
      <c r="RZN105" s="18"/>
      <c r="RZO105" s="38"/>
      <c r="RZU105" s="36"/>
      <c r="RZV105" s="18"/>
      <c r="RZW105" s="38"/>
      <c r="SAC105" s="36"/>
      <c r="SAD105" s="18"/>
      <c r="SAE105" s="38"/>
      <c r="SAK105" s="36"/>
      <c r="SAL105" s="18"/>
      <c r="SAM105" s="38"/>
      <c r="SAS105" s="36"/>
      <c r="SAT105" s="18"/>
      <c r="SAU105" s="38"/>
      <c r="SBA105" s="36"/>
      <c r="SBB105" s="18"/>
      <c r="SBC105" s="38"/>
      <c r="SBI105" s="36"/>
      <c r="SBJ105" s="18"/>
      <c r="SBK105" s="38"/>
      <c r="SBQ105" s="36"/>
      <c r="SBR105" s="18"/>
      <c r="SBS105" s="38"/>
      <c r="SBY105" s="36"/>
      <c r="SBZ105" s="18"/>
      <c r="SCA105" s="38"/>
      <c r="SCG105" s="36"/>
      <c r="SCH105" s="18"/>
      <c r="SCI105" s="38"/>
      <c r="SCO105" s="36"/>
      <c r="SCP105" s="18"/>
      <c r="SCQ105" s="38"/>
      <c r="SCW105" s="36"/>
      <c r="SCX105" s="18"/>
      <c r="SCY105" s="38"/>
      <c r="SDE105" s="36"/>
      <c r="SDF105" s="18"/>
      <c r="SDG105" s="38"/>
      <c r="SDM105" s="36"/>
      <c r="SDN105" s="18"/>
      <c r="SDO105" s="38"/>
      <c r="SDU105" s="36"/>
      <c r="SDV105" s="18"/>
      <c r="SDW105" s="38"/>
      <c r="SEC105" s="36"/>
      <c r="SED105" s="18"/>
      <c r="SEE105" s="38"/>
      <c r="SEK105" s="36"/>
      <c r="SEL105" s="18"/>
      <c r="SEM105" s="38"/>
      <c r="SES105" s="36"/>
      <c r="SET105" s="18"/>
      <c r="SEU105" s="38"/>
      <c r="SFA105" s="36"/>
      <c r="SFB105" s="18"/>
      <c r="SFC105" s="38"/>
      <c r="SFI105" s="36"/>
      <c r="SFJ105" s="18"/>
      <c r="SFK105" s="38"/>
      <c r="SFQ105" s="36"/>
      <c r="SFR105" s="18"/>
      <c r="SFS105" s="38"/>
      <c r="SFY105" s="36"/>
      <c r="SFZ105" s="18"/>
      <c r="SGA105" s="38"/>
      <c r="SGG105" s="36"/>
      <c r="SGH105" s="18"/>
      <c r="SGI105" s="38"/>
      <c r="SGO105" s="36"/>
      <c r="SGP105" s="18"/>
      <c r="SGQ105" s="38"/>
      <c r="SGW105" s="36"/>
      <c r="SGX105" s="18"/>
      <c r="SGY105" s="38"/>
      <c r="SHE105" s="36"/>
      <c r="SHF105" s="18"/>
      <c r="SHG105" s="38"/>
      <c r="SHM105" s="36"/>
      <c r="SHN105" s="18"/>
      <c r="SHO105" s="38"/>
      <c r="SHU105" s="36"/>
      <c r="SHV105" s="18"/>
      <c r="SHW105" s="38"/>
      <c r="SIC105" s="36"/>
      <c r="SID105" s="18"/>
      <c r="SIE105" s="38"/>
      <c r="SIK105" s="36"/>
      <c r="SIL105" s="18"/>
      <c r="SIM105" s="38"/>
      <c r="SIS105" s="36"/>
      <c r="SIT105" s="18"/>
      <c r="SIU105" s="38"/>
      <c r="SJA105" s="36"/>
      <c r="SJB105" s="18"/>
      <c r="SJC105" s="38"/>
      <c r="SJI105" s="36"/>
      <c r="SJJ105" s="18"/>
      <c r="SJK105" s="38"/>
      <c r="SJQ105" s="36"/>
      <c r="SJR105" s="18"/>
      <c r="SJS105" s="38"/>
      <c r="SJY105" s="36"/>
      <c r="SJZ105" s="18"/>
      <c r="SKA105" s="38"/>
      <c r="SKG105" s="36"/>
      <c r="SKH105" s="18"/>
      <c r="SKI105" s="38"/>
      <c r="SKO105" s="36"/>
      <c r="SKP105" s="18"/>
      <c r="SKQ105" s="38"/>
      <c r="SKW105" s="36"/>
      <c r="SKX105" s="18"/>
      <c r="SKY105" s="38"/>
      <c r="SLE105" s="36"/>
      <c r="SLF105" s="18"/>
      <c r="SLG105" s="38"/>
      <c r="SLM105" s="36"/>
      <c r="SLN105" s="18"/>
      <c r="SLO105" s="38"/>
      <c r="SLU105" s="36"/>
      <c r="SLV105" s="18"/>
      <c r="SLW105" s="38"/>
      <c r="SMC105" s="36"/>
      <c r="SMD105" s="18"/>
      <c r="SME105" s="38"/>
      <c r="SMK105" s="36"/>
      <c r="SML105" s="18"/>
      <c r="SMM105" s="38"/>
      <c r="SMS105" s="36"/>
      <c r="SMT105" s="18"/>
      <c r="SMU105" s="38"/>
      <c r="SNA105" s="36"/>
      <c r="SNB105" s="18"/>
      <c r="SNC105" s="38"/>
      <c r="SNI105" s="36"/>
      <c r="SNJ105" s="18"/>
      <c r="SNK105" s="38"/>
      <c r="SNQ105" s="36"/>
      <c r="SNR105" s="18"/>
      <c r="SNS105" s="38"/>
      <c r="SNY105" s="36"/>
      <c r="SNZ105" s="18"/>
      <c r="SOA105" s="38"/>
      <c r="SOG105" s="36"/>
      <c r="SOH105" s="18"/>
      <c r="SOI105" s="38"/>
      <c r="SOO105" s="36"/>
      <c r="SOP105" s="18"/>
      <c r="SOQ105" s="38"/>
      <c r="SOW105" s="36"/>
      <c r="SOX105" s="18"/>
      <c r="SOY105" s="38"/>
      <c r="SPE105" s="36"/>
      <c r="SPF105" s="18"/>
      <c r="SPG105" s="38"/>
      <c r="SPM105" s="36"/>
      <c r="SPN105" s="18"/>
      <c r="SPO105" s="38"/>
      <c r="SPU105" s="36"/>
      <c r="SPV105" s="18"/>
      <c r="SPW105" s="38"/>
      <c r="SQC105" s="36"/>
      <c r="SQD105" s="18"/>
      <c r="SQE105" s="38"/>
      <c r="SQK105" s="36"/>
      <c r="SQL105" s="18"/>
      <c r="SQM105" s="38"/>
      <c r="SQS105" s="36"/>
      <c r="SQT105" s="18"/>
      <c r="SQU105" s="38"/>
      <c r="SRA105" s="36"/>
      <c r="SRB105" s="18"/>
      <c r="SRC105" s="38"/>
      <c r="SRI105" s="36"/>
      <c r="SRJ105" s="18"/>
      <c r="SRK105" s="38"/>
      <c r="SRQ105" s="36"/>
      <c r="SRR105" s="18"/>
      <c r="SRS105" s="38"/>
      <c r="SRY105" s="36"/>
      <c r="SRZ105" s="18"/>
      <c r="SSA105" s="38"/>
      <c r="SSG105" s="36"/>
      <c r="SSH105" s="18"/>
      <c r="SSI105" s="38"/>
      <c r="SSO105" s="36"/>
      <c r="SSP105" s="18"/>
      <c r="SSQ105" s="38"/>
      <c r="SSW105" s="36"/>
      <c r="SSX105" s="18"/>
      <c r="SSY105" s="38"/>
      <c r="STE105" s="36"/>
      <c r="STF105" s="18"/>
      <c r="STG105" s="38"/>
      <c r="STM105" s="36"/>
      <c r="STN105" s="18"/>
      <c r="STO105" s="38"/>
      <c r="STU105" s="36"/>
      <c r="STV105" s="18"/>
      <c r="STW105" s="38"/>
      <c r="SUC105" s="36"/>
      <c r="SUD105" s="18"/>
      <c r="SUE105" s="38"/>
      <c r="SUK105" s="36"/>
      <c r="SUL105" s="18"/>
      <c r="SUM105" s="38"/>
      <c r="SUS105" s="36"/>
      <c r="SUT105" s="18"/>
      <c r="SUU105" s="38"/>
      <c r="SVA105" s="36"/>
      <c r="SVB105" s="18"/>
      <c r="SVC105" s="38"/>
      <c r="SVI105" s="36"/>
      <c r="SVJ105" s="18"/>
      <c r="SVK105" s="38"/>
      <c r="SVQ105" s="36"/>
      <c r="SVR105" s="18"/>
      <c r="SVS105" s="38"/>
      <c r="SVY105" s="36"/>
      <c r="SVZ105" s="18"/>
      <c r="SWA105" s="38"/>
      <c r="SWG105" s="36"/>
      <c r="SWH105" s="18"/>
      <c r="SWI105" s="38"/>
      <c r="SWO105" s="36"/>
      <c r="SWP105" s="18"/>
      <c r="SWQ105" s="38"/>
      <c r="SWW105" s="36"/>
      <c r="SWX105" s="18"/>
      <c r="SWY105" s="38"/>
      <c r="SXE105" s="36"/>
      <c r="SXF105" s="18"/>
      <c r="SXG105" s="38"/>
      <c r="SXM105" s="36"/>
      <c r="SXN105" s="18"/>
      <c r="SXO105" s="38"/>
      <c r="SXU105" s="36"/>
      <c r="SXV105" s="18"/>
      <c r="SXW105" s="38"/>
      <c r="SYC105" s="36"/>
      <c r="SYD105" s="18"/>
      <c r="SYE105" s="38"/>
      <c r="SYK105" s="36"/>
      <c r="SYL105" s="18"/>
      <c r="SYM105" s="38"/>
      <c r="SYS105" s="36"/>
      <c r="SYT105" s="18"/>
      <c r="SYU105" s="38"/>
      <c r="SZA105" s="36"/>
      <c r="SZB105" s="18"/>
      <c r="SZC105" s="38"/>
      <c r="SZI105" s="36"/>
      <c r="SZJ105" s="18"/>
      <c r="SZK105" s="38"/>
      <c r="SZQ105" s="36"/>
      <c r="SZR105" s="18"/>
      <c r="SZS105" s="38"/>
      <c r="SZY105" s="36"/>
      <c r="SZZ105" s="18"/>
      <c r="TAA105" s="38"/>
      <c r="TAG105" s="36"/>
      <c r="TAH105" s="18"/>
      <c r="TAI105" s="38"/>
      <c r="TAO105" s="36"/>
      <c r="TAP105" s="18"/>
      <c r="TAQ105" s="38"/>
      <c r="TAW105" s="36"/>
      <c r="TAX105" s="18"/>
      <c r="TAY105" s="38"/>
      <c r="TBE105" s="36"/>
      <c r="TBF105" s="18"/>
      <c r="TBG105" s="38"/>
      <c r="TBM105" s="36"/>
      <c r="TBN105" s="18"/>
      <c r="TBO105" s="38"/>
      <c r="TBU105" s="36"/>
      <c r="TBV105" s="18"/>
      <c r="TBW105" s="38"/>
      <c r="TCC105" s="36"/>
      <c r="TCD105" s="18"/>
      <c r="TCE105" s="38"/>
      <c r="TCK105" s="36"/>
      <c r="TCL105" s="18"/>
      <c r="TCM105" s="38"/>
      <c r="TCS105" s="36"/>
      <c r="TCT105" s="18"/>
      <c r="TCU105" s="38"/>
      <c r="TDA105" s="36"/>
      <c r="TDB105" s="18"/>
      <c r="TDC105" s="38"/>
      <c r="TDI105" s="36"/>
      <c r="TDJ105" s="18"/>
      <c r="TDK105" s="38"/>
      <c r="TDQ105" s="36"/>
      <c r="TDR105" s="18"/>
      <c r="TDS105" s="38"/>
      <c r="TDY105" s="36"/>
      <c r="TDZ105" s="18"/>
      <c r="TEA105" s="38"/>
      <c r="TEG105" s="36"/>
      <c r="TEH105" s="18"/>
      <c r="TEI105" s="38"/>
      <c r="TEO105" s="36"/>
      <c r="TEP105" s="18"/>
      <c r="TEQ105" s="38"/>
      <c r="TEW105" s="36"/>
      <c r="TEX105" s="18"/>
      <c r="TEY105" s="38"/>
      <c r="TFE105" s="36"/>
      <c r="TFF105" s="18"/>
      <c r="TFG105" s="38"/>
      <c r="TFM105" s="36"/>
      <c r="TFN105" s="18"/>
      <c r="TFO105" s="38"/>
      <c r="TFU105" s="36"/>
      <c r="TFV105" s="18"/>
      <c r="TFW105" s="38"/>
      <c r="TGC105" s="36"/>
      <c r="TGD105" s="18"/>
      <c r="TGE105" s="38"/>
      <c r="TGK105" s="36"/>
      <c r="TGL105" s="18"/>
      <c r="TGM105" s="38"/>
      <c r="TGS105" s="36"/>
      <c r="TGT105" s="18"/>
      <c r="TGU105" s="38"/>
      <c r="THA105" s="36"/>
      <c r="THB105" s="18"/>
      <c r="THC105" s="38"/>
      <c r="THI105" s="36"/>
      <c r="THJ105" s="18"/>
      <c r="THK105" s="38"/>
      <c r="THQ105" s="36"/>
      <c r="THR105" s="18"/>
      <c r="THS105" s="38"/>
      <c r="THY105" s="36"/>
      <c r="THZ105" s="18"/>
      <c r="TIA105" s="38"/>
      <c r="TIG105" s="36"/>
      <c r="TIH105" s="18"/>
      <c r="TII105" s="38"/>
      <c r="TIO105" s="36"/>
      <c r="TIP105" s="18"/>
      <c r="TIQ105" s="38"/>
      <c r="TIW105" s="36"/>
      <c r="TIX105" s="18"/>
      <c r="TIY105" s="38"/>
      <c r="TJE105" s="36"/>
      <c r="TJF105" s="18"/>
      <c r="TJG105" s="38"/>
      <c r="TJM105" s="36"/>
      <c r="TJN105" s="18"/>
      <c r="TJO105" s="38"/>
      <c r="TJU105" s="36"/>
      <c r="TJV105" s="18"/>
      <c r="TJW105" s="38"/>
      <c r="TKC105" s="36"/>
      <c r="TKD105" s="18"/>
      <c r="TKE105" s="38"/>
      <c r="TKK105" s="36"/>
      <c r="TKL105" s="18"/>
      <c r="TKM105" s="38"/>
      <c r="TKS105" s="36"/>
      <c r="TKT105" s="18"/>
      <c r="TKU105" s="38"/>
      <c r="TLA105" s="36"/>
      <c r="TLB105" s="18"/>
      <c r="TLC105" s="38"/>
      <c r="TLI105" s="36"/>
      <c r="TLJ105" s="18"/>
      <c r="TLK105" s="38"/>
      <c r="TLQ105" s="36"/>
      <c r="TLR105" s="18"/>
      <c r="TLS105" s="38"/>
      <c r="TLY105" s="36"/>
      <c r="TLZ105" s="18"/>
      <c r="TMA105" s="38"/>
      <c r="TMG105" s="36"/>
      <c r="TMH105" s="18"/>
      <c r="TMI105" s="38"/>
      <c r="TMO105" s="36"/>
      <c r="TMP105" s="18"/>
      <c r="TMQ105" s="38"/>
      <c r="TMW105" s="36"/>
      <c r="TMX105" s="18"/>
      <c r="TMY105" s="38"/>
      <c r="TNE105" s="36"/>
      <c r="TNF105" s="18"/>
      <c r="TNG105" s="38"/>
      <c r="TNM105" s="36"/>
      <c r="TNN105" s="18"/>
      <c r="TNO105" s="38"/>
      <c r="TNU105" s="36"/>
      <c r="TNV105" s="18"/>
      <c r="TNW105" s="38"/>
      <c r="TOC105" s="36"/>
      <c r="TOD105" s="18"/>
      <c r="TOE105" s="38"/>
      <c r="TOK105" s="36"/>
      <c r="TOL105" s="18"/>
      <c r="TOM105" s="38"/>
      <c r="TOS105" s="36"/>
      <c r="TOT105" s="18"/>
      <c r="TOU105" s="38"/>
      <c r="TPA105" s="36"/>
      <c r="TPB105" s="18"/>
      <c r="TPC105" s="38"/>
      <c r="TPI105" s="36"/>
      <c r="TPJ105" s="18"/>
      <c r="TPK105" s="38"/>
      <c r="TPQ105" s="36"/>
      <c r="TPR105" s="18"/>
      <c r="TPS105" s="38"/>
      <c r="TPY105" s="36"/>
      <c r="TPZ105" s="18"/>
      <c r="TQA105" s="38"/>
      <c r="TQG105" s="36"/>
      <c r="TQH105" s="18"/>
      <c r="TQI105" s="38"/>
      <c r="TQO105" s="36"/>
      <c r="TQP105" s="18"/>
      <c r="TQQ105" s="38"/>
      <c r="TQW105" s="36"/>
      <c r="TQX105" s="18"/>
      <c r="TQY105" s="38"/>
      <c r="TRE105" s="36"/>
      <c r="TRF105" s="18"/>
      <c r="TRG105" s="38"/>
      <c r="TRM105" s="36"/>
      <c r="TRN105" s="18"/>
      <c r="TRO105" s="38"/>
      <c r="TRU105" s="36"/>
      <c r="TRV105" s="18"/>
      <c r="TRW105" s="38"/>
      <c r="TSC105" s="36"/>
      <c r="TSD105" s="18"/>
      <c r="TSE105" s="38"/>
      <c r="TSK105" s="36"/>
      <c r="TSL105" s="18"/>
      <c r="TSM105" s="38"/>
      <c r="TSS105" s="36"/>
      <c r="TST105" s="18"/>
      <c r="TSU105" s="38"/>
      <c r="TTA105" s="36"/>
      <c r="TTB105" s="18"/>
      <c r="TTC105" s="38"/>
      <c r="TTI105" s="36"/>
      <c r="TTJ105" s="18"/>
      <c r="TTK105" s="38"/>
      <c r="TTQ105" s="36"/>
      <c r="TTR105" s="18"/>
      <c r="TTS105" s="38"/>
      <c r="TTY105" s="36"/>
      <c r="TTZ105" s="18"/>
      <c r="TUA105" s="38"/>
      <c r="TUG105" s="36"/>
      <c r="TUH105" s="18"/>
      <c r="TUI105" s="38"/>
      <c r="TUO105" s="36"/>
      <c r="TUP105" s="18"/>
      <c r="TUQ105" s="38"/>
      <c r="TUW105" s="36"/>
      <c r="TUX105" s="18"/>
      <c r="TUY105" s="38"/>
      <c r="TVE105" s="36"/>
      <c r="TVF105" s="18"/>
      <c r="TVG105" s="38"/>
      <c r="TVM105" s="36"/>
      <c r="TVN105" s="18"/>
      <c r="TVO105" s="38"/>
      <c r="TVU105" s="36"/>
      <c r="TVV105" s="18"/>
      <c r="TVW105" s="38"/>
      <c r="TWC105" s="36"/>
      <c r="TWD105" s="18"/>
      <c r="TWE105" s="38"/>
      <c r="TWK105" s="36"/>
      <c r="TWL105" s="18"/>
      <c r="TWM105" s="38"/>
      <c r="TWS105" s="36"/>
      <c r="TWT105" s="18"/>
      <c r="TWU105" s="38"/>
      <c r="TXA105" s="36"/>
      <c r="TXB105" s="18"/>
      <c r="TXC105" s="38"/>
      <c r="TXI105" s="36"/>
      <c r="TXJ105" s="18"/>
      <c r="TXK105" s="38"/>
      <c r="TXQ105" s="36"/>
      <c r="TXR105" s="18"/>
      <c r="TXS105" s="38"/>
      <c r="TXY105" s="36"/>
      <c r="TXZ105" s="18"/>
      <c r="TYA105" s="38"/>
      <c r="TYG105" s="36"/>
      <c r="TYH105" s="18"/>
      <c r="TYI105" s="38"/>
      <c r="TYO105" s="36"/>
      <c r="TYP105" s="18"/>
      <c r="TYQ105" s="38"/>
      <c r="TYW105" s="36"/>
      <c r="TYX105" s="18"/>
      <c r="TYY105" s="38"/>
      <c r="TZE105" s="36"/>
      <c r="TZF105" s="18"/>
      <c r="TZG105" s="38"/>
      <c r="TZM105" s="36"/>
      <c r="TZN105" s="18"/>
      <c r="TZO105" s="38"/>
      <c r="TZU105" s="36"/>
      <c r="TZV105" s="18"/>
      <c r="TZW105" s="38"/>
      <c r="UAC105" s="36"/>
      <c r="UAD105" s="18"/>
      <c r="UAE105" s="38"/>
      <c r="UAK105" s="36"/>
      <c r="UAL105" s="18"/>
      <c r="UAM105" s="38"/>
      <c r="UAS105" s="36"/>
      <c r="UAT105" s="18"/>
      <c r="UAU105" s="38"/>
      <c r="UBA105" s="36"/>
      <c r="UBB105" s="18"/>
      <c r="UBC105" s="38"/>
      <c r="UBI105" s="36"/>
      <c r="UBJ105" s="18"/>
      <c r="UBK105" s="38"/>
      <c r="UBQ105" s="36"/>
      <c r="UBR105" s="18"/>
      <c r="UBS105" s="38"/>
      <c r="UBY105" s="36"/>
      <c r="UBZ105" s="18"/>
      <c r="UCA105" s="38"/>
      <c r="UCG105" s="36"/>
      <c r="UCH105" s="18"/>
      <c r="UCI105" s="38"/>
      <c r="UCO105" s="36"/>
      <c r="UCP105" s="18"/>
      <c r="UCQ105" s="38"/>
      <c r="UCW105" s="36"/>
      <c r="UCX105" s="18"/>
      <c r="UCY105" s="38"/>
      <c r="UDE105" s="36"/>
      <c r="UDF105" s="18"/>
      <c r="UDG105" s="38"/>
      <c r="UDM105" s="36"/>
      <c r="UDN105" s="18"/>
      <c r="UDO105" s="38"/>
      <c r="UDU105" s="36"/>
      <c r="UDV105" s="18"/>
      <c r="UDW105" s="38"/>
      <c r="UEC105" s="36"/>
      <c r="UED105" s="18"/>
      <c r="UEE105" s="38"/>
      <c r="UEK105" s="36"/>
      <c r="UEL105" s="18"/>
      <c r="UEM105" s="38"/>
      <c r="UES105" s="36"/>
      <c r="UET105" s="18"/>
      <c r="UEU105" s="38"/>
      <c r="UFA105" s="36"/>
      <c r="UFB105" s="18"/>
      <c r="UFC105" s="38"/>
      <c r="UFI105" s="36"/>
      <c r="UFJ105" s="18"/>
      <c r="UFK105" s="38"/>
      <c r="UFQ105" s="36"/>
      <c r="UFR105" s="18"/>
      <c r="UFS105" s="38"/>
      <c r="UFY105" s="36"/>
      <c r="UFZ105" s="18"/>
      <c r="UGA105" s="38"/>
      <c r="UGG105" s="36"/>
      <c r="UGH105" s="18"/>
      <c r="UGI105" s="38"/>
      <c r="UGO105" s="36"/>
      <c r="UGP105" s="18"/>
      <c r="UGQ105" s="38"/>
      <c r="UGW105" s="36"/>
      <c r="UGX105" s="18"/>
      <c r="UGY105" s="38"/>
      <c r="UHE105" s="36"/>
      <c r="UHF105" s="18"/>
      <c r="UHG105" s="38"/>
      <c r="UHM105" s="36"/>
      <c r="UHN105" s="18"/>
      <c r="UHO105" s="38"/>
      <c r="UHU105" s="36"/>
      <c r="UHV105" s="18"/>
      <c r="UHW105" s="38"/>
      <c r="UIC105" s="36"/>
      <c r="UID105" s="18"/>
      <c r="UIE105" s="38"/>
      <c r="UIK105" s="36"/>
      <c r="UIL105" s="18"/>
      <c r="UIM105" s="38"/>
      <c r="UIS105" s="36"/>
      <c r="UIT105" s="18"/>
      <c r="UIU105" s="38"/>
      <c r="UJA105" s="36"/>
      <c r="UJB105" s="18"/>
      <c r="UJC105" s="38"/>
      <c r="UJI105" s="36"/>
      <c r="UJJ105" s="18"/>
      <c r="UJK105" s="38"/>
      <c r="UJQ105" s="36"/>
      <c r="UJR105" s="18"/>
      <c r="UJS105" s="38"/>
      <c r="UJY105" s="36"/>
      <c r="UJZ105" s="18"/>
      <c r="UKA105" s="38"/>
      <c r="UKG105" s="36"/>
      <c r="UKH105" s="18"/>
      <c r="UKI105" s="38"/>
      <c r="UKO105" s="36"/>
      <c r="UKP105" s="18"/>
      <c r="UKQ105" s="38"/>
      <c r="UKW105" s="36"/>
      <c r="UKX105" s="18"/>
      <c r="UKY105" s="38"/>
      <c r="ULE105" s="36"/>
      <c r="ULF105" s="18"/>
      <c r="ULG105" s="38"/>
      <c r="ULM105" s="36"/>
      <c r="ULN105" s="18"/>
      <c r="ULO105" s="38"/>
      <c r="ULU105" s="36"/>
      <c r="ULV105" s="18"/>
      <c r="ULW105" s="38"/>
      <c r="UMC105" s="36"/>
      <c r="UMD105" s="18"/>
      <c r="UME105" s="38"/>
      <c r="UMK105" s="36"/>
      <c r="UML105" s="18"/>
      <c r="UMM105" s="38"/>
      <c r="UMS105" s="36"/>
      <c r="UMT105" s="18"/>
      <c r="UMU105" s="38"/>
      <c r="UNA105" s="36"/>
      <c r="UNB105" s="18"/>
      <c r="UNC105" s="38"/>
      <c r="UNI105" s="36"/>
      <c r="UNJ105" s="18"/>
      <c r="UNK105" s="38"/>
      <c r="UNQ105" s="36"/>
      <c r="UNR105" s="18"/>
      <c r="UNS105" s="38"/>
      <c r="UNY105" s="36"/>
      <c r="UNZ105" s="18"/>
      <c r="UOA105" s="38"/>
      <c r="UOG105" s="36"/>
      <c r="UOH105" s="18"/>
      <c r="UOI105" s="38"/>
      <c r="UOO105" s="36"/>
      <c r="UOP105" s="18"/>
      <c r="UOQ105" s="38"/>
      <c r="UOW105" s="36"/>
      <c r="UOX105" s="18"/>
      <c r="UOY105" s="38"/>
      <c r="UPE105" s="36"/>
      <c r="UPF105" s="18"/>
      <c r="UPG105" s="38"/>
      <c r="UPM105" s="36"/>
      <c r="UPN105" s="18"/>
      <c r="UPO105" s="38"/>
      <c r="UPU105" s="36"/>
      <c r="UPV105" s="18"/>
      <c r="UPW105" s="38"/>
      <c r="UQC105" s="36"/>
      <c r="UQD105" s="18"/>
      <c r="UQE105" s="38"/>
      <c r="UQK105" s="36"/>
      <c r="UQL105" s="18"/>
      <c r="UQM105" s="38"/>
      <c r="UQS105" s="36"/>
      <c r="UQT105" s="18"/>
      <c r="UQU105" s="38"/>
      <c r="URA105" s="36"/>
      <c r="URB105" s="18"/>
      <c r="URC105" s="38"/>
      <c r="URI105" s="36"/>
      <c r="URJ105" s="18"/>
      <c r="URK105" s="38"/>
      <c r="URQ105" s="36"/>
      <c r="URR105" s="18"/>
      <c r="URS105" s="38"/>
      <c r="URY105" s="36"/>
      <c r="URZ105" s="18"/>
      <c r="USA105" s="38"/>
      <c r="USG105" s="36"/>
      <c r="USH105" s="18"/>
      <c r="USI105" s="38"/>
      <c r="USO105" s="36"/>
      <c r="USP105" s="18"/>
      <c r="USQ105" s="38"/>
      <c r="USW105" s="36"/>
      <c r="USX105" s="18"/>
      <c r="USY105" s="38"/>
      <c r="UTE105" s="36"/>
      <c r="UTF105" s="18"/>
      <c r="UTG105" s="38"/>
      <c r="UTM105" s="36"/>
      <c r="UTN105" s="18"/>
      <c r="UTO105" s="38"/>
      <c r="UTU105" s="36"/>
      <c r="UTV105" s="18"/>
      <c r="UTW105" s="38"/>
      <c r="UUC105" s="36"/>
      <c r="UUD105" s="18"/>
      <c r="UUE105" s="38"/>
      <c r="UUK105" s="36"/>
      <c r="UUL105" s="18"/>
      <c r="UUM105" s="38"/>
      <c r="UUS105" s="36"/>
      <c r="UUT105" s="18"/>
      <c r="UUU105" s="38"/>
      <c r="UVA105" s="36"/>
      <c r="UVB105" s="18"/>
      <c r="UVC105" s="38"/>
      <c r="UVI105" s="36"/>
      <c r="UVJ105" s="18"/>
      <c r="UVK105" s="38"/>
      <c r="UVQ105" s="36"/>
      <c r="UVR105" s="18"/>
      <c r="UVS105" s="38"/>
      <c r="UVY105" s="36"/>
      <c r="UVZ105" s="18"/>
      <c r="UWA105" s="38"/>
      <c r="UWG105" s="36"/>
      <c r="UWH105" s="18"/>
      <c r="UWI105" s="38"/>
      <c r="UWO105" s="36"/>
      <c r="UWP105" s="18"/>
      <c r="UWQ105" s="38"/>
      <c r="UWW105" s="36"/>
      <c r="UWX105" s="18"/>
      <c r="UWY105" s="38"/>
      <c r="UXE105" s="36"/>
      <c r="UXF105" s="18"/>
      <c r="UXG105" s="38"/>
      <c r="UXM105" s="36"/>
      <c r="UXN105" s="18"/>
      <c r="UXO105" s="38"/>
      <c r="UXU105" s="36"/>
      <c r="UXV105" s="18"/>
      <c r="UXW105" s="38"/>
      <c r="UYC105" s="36"/>
      <c r="UYD105" s="18"/>
      <c r="UYE105" s="38"/>
      <c r="UYK105" s="36"/>
      <c r="UYL105" s="18"/>
      <c r="UYM105" s="38"/>
      <c r="UYS105" s="36"/>
      <c r="UYT105" s="18"/>
      <c r="UYU105" s="38"/>
      <c r="UZA105" s="36"/>
      <c r="UZB105" s="18"/>
      <c r="UZC105" s="38"/>
      <c r="UZI105" s="36"/>
      <c r="UZJ105" s="18"/>
      <c r="UZK105" s="38"/>
      <c r="UZQ105" s="36"/>
      <c r="UZR105" s="18"/>
      <c r="UZS105" s="38"/>
      <c r="UZY105" s="36"/>
      <c r="UZZ105" s="18"/>
      <c r="VAA105" s="38"/>
      <c r="VAG105" s="36"/>
      <c r="VAH105" s="18"/>
      <c r="VAI105" s="38"/>
      <c r="VAO105" s="36"/>
      <c r="VAP105" s="18"/>
      <c r="VAQ105" s="38"/>
      <c r="VAW105" s="36"/>
      <c r="VAX105" s="18"/>
      <c r="VAY105" s="38"/>
      <c r="VBE105" s="36"/>
      <c r="VBF105" s="18"/>
      <c r="VBG105" s="38"/>
      <c r="VBM105" s="36"/>
      <c r="VBN105" s="18"/>
      <c r="VBO105" s="38"/>
      <c r="VBU105" s="36"/>
      <c r="VBV105" s="18"/>
      <c r="VBW105" s="38"/>
      <c r="VCC105" s="36"/>
      <c r="VCD105" s="18"/>
      <c r="VCE105" s="38"/>
      <c r="VCK105" s="36"/>
      <c r="VCL105" s="18"/>
      <c r="VCM105" s="38"/>
      <c r="VCS105" s="36"/>
      <c r="VCT105" s="18"/>
      <c r="VCU105" s="38"/>
      <c r="VDA105" s="36"/>
      <c r="VDB105" s="18"/>
      <c r="VDC105" s="38"/>
      <c r="VDI105" s="36"/>
      <c r="VDJ105" s="18"/>
      <c r="VDK105" s="38"/>
      <c r="VDQ105" s="36"/>
      <c r="VDR105" s="18"/>
      <c r="VDS105" s="38"/>
      <c r="VDY105" s="36"/>
      <c r="VDZ105" s="18"/>
      <c r="VEA105" s="38"/>
      <c r="VEG105" s="36"/>
      <c r="VEH105" s="18"/>
      <c r="VEI105" s="38"/>
      <c r="VEO105" s="36"/>
      <c r="VEP105" s="18"/>
      <c r="VEQ105" s="38"/>
      <c r="VEW105" s="36"/>
      <c r="VEX105" s="18"/>
      <c r="VEY105" s="38"/>
      <c r="VFE105" s="36"/>
      <c r="VFF105" s="18"/>
      <c r="VFG105" s="38"/>
      <c r="VFM105" s="36"/>
      <c r="VFN105" s="18"/>
      <c r="VFO105" s="38"/>
      <c r="VFU105" s="36"/>
      <c r="VFV105" s="18"/>
      <c r="VFW105" s="38"/>
      <c r="VGC105" s="36"/>
      <c r="VGD105" s="18"/>
      <c r="VGE105" s="38"/>
      <c r="VGK105" s="36"/>
      <c r="VGL105" s="18"/>
      <c r="VGM105" s="38"/>
      <c r="VGS105" s="36"/>
      <c r="VGT105" s="18"/>
      <c r="VGU105" s="38"/>
      <c r="VHA105" s="36"/>
      <c r="VHB105" s="18"/>
      <c r="VHC105" s="38"/>
      <c r="VHI105" s="36"/>
      <c r="VHJ105" s="18"/>
      <c r="VHK105" s="38"/>
      <c r="VHQ105" s="36"/>
      <c r="VHR105" s="18"/>
      <c r="VHS105" s="38"/>
      <c r="VHY105" s="36"/>
      <c r="VHZ105" s="18"/>
      <c r="VIA105" s="38"/>
      <c r="VIG105" s="36"/>
      <c r="VIH105" s="18"/>
      <c r="VII105" s="38"/>
      <c r="VIO105" s="36"/>
      <c r="VIP105" s="18"/>
      <c r="VIQ105" s="38"/>
      <c r="VIW105" s="36"/>
      <c r="VIX105" s="18"/>
      <c r="VIY105" s="38"/>
      <c r="VJE105" s="36"/>
      <c r="VJF105" s="18"/>
      <c r="VJG105" s="38"/>
      <c r="VJM105" s="36"/>
      <c r="VJN105" s="18"/>
      <c r="VJO105" s="38"/>
      <c r="VJU105" s="36"/>
      <c r="VJV105" s="18"/>
      <c r="VJW105" s="38"/>
      <c r="VKC105" s="36"/>
      <c r="VKD105" s="18"/>
      <c r="VKE105" s="38"/>
      <c r="VKK105" s="36"/>
      <c r="VKL105" s="18"/>
      <c r="VKM105" s="38"/>
      <c r="VKS105" s="36"/>
      <c r="VKT105" s="18"/>
      <c r="VKU105" s="38"/>
      <c r="VLA105" s="36"/>
      <c r="VLB105" s="18"/>
      <c r="VLC105" s="38"/>
      <c r="VLI105" s="36"/>
      <c r="VLJ105" s="18"/>
      <c r="VLK105" s="38"/>
      <c r="VLQ105" s="36"/>
      <c r="VLR105" s="18"/>
      <c r="VLS105" s="38"/>
      <c r="VLY105" s="36"/>
      <c r="VLZ105" s="18"/>
      <c r="VMA105" s="38"/>
      <c r="VMG105" s="36"/>
      <c r="VMH105" s="18"/>
      <c r="VMI105" s="38"/>
      <c r="VMO105" s="36"/>
      <c r="VMP105" s="18"/>
      <c r="VMQ105" s="38"/>
      <c r="VMW105" s="36"/>
      <c r="VMX105" s="18"/>
      <c r="VMY105" s="38"/>
      <c r="VNE105" s="36"/>
      <c r="VNF105" s="18"/>
      <c r="VNG105" s="38"/>
      <c r="VNM105" s="36"/>
      <c r="VNN105" s="18"/>
      <c r="VNO105" s="38"/>
      <c r="VNU105" s="36"/>
      <c r="VNV105" s="18"/>
      <c r="VNW105" s="38"/>
      <c r="VOC105" s="36"/>
      <c r="VOD105" s="18"/>
      <c r="VOE105" s="38"/>
      <c r="VOK105" s="36"/>
      <c r="VOL105" s="18"/>
      <c r="VOM105" s="38"/>
      <c r="VOS105" s="36"/>
      <c r="VOT105" s="18"/>
      <c r="VOU105" s="38"/>
      <c r="VPA105" s="36"/>
      <c r="VPB105" s="18"/>
      <c r="VPC105" s="38"/>
      <c r="VPI105" s="36"/>
      <c r="VPJ105" s="18"/>
      <c r="VPK105" s="38"/>
      <c r="VPQ105" s="36"/>
      <c r="VPR105" s="18"/>
      <c r="VPS105" s="38"/>
      <c r="VPY105" s="36"/>
      <c r="VPZ105" s="18"/>
      <c r="VQA105" s="38"/>
      <c r="VQG105" s="36"/>
      <c r="VQH105" s="18"/>
      <c r="VQI105" s="38"/>
      <c r="VQO105" s="36"/>
      <c r="VQP105" s="18"/>
      <c r="VQQ105" s="38"/>
      <c r="VQW105" s="36"/>
      <c r="VQX105" s="18"/>
      <c r="VQY105" s="38"/>
      <c r="VRE105" s="36"/>
      <c r="VRF105" s="18"/>
      <c r="VRG105" s="38"/>
      <c r="VRM105" s="36"/>
      <c r="VRN105" s="18"/>
      <c r="VRO105" s="38"/>
      <c r="VRU105" s="36"/>
      <c r="VRV105" s="18"/>
      <c r="VRW105" s="38"/>
      <c r="VSC105" s="36"/>
      <c r="VSD105" s="18"/>
      <c r="VSE105" s="38"/>
      <c r="VSK105" s="36"/>
      <c r="VSL105" s="18"/>
      <c r="VSM105" s="38"/>
      <c r="VSS105" s="36"/>
      <c r="VST105" s="18"/>
      <c r="VSU105" s="38"/>
      <c r="VTA105" s="36"/>
      <c r="VTB105" s="18"/>
      <c r="VTC105" s="38"/>
      <c r="VTI105" s="36"/>
      <c r="VTJ105" s="18"/>
      <c r="VTK105" s="38"/>
      <c r="VTQ105" s="36"/>
      <c r="VTR105" s="18"/>
      <c r="VTS105" s="38"/>
      <c r="VTY105" s="36"/>
      <c r="VTZ105" s="18"/>
      <c r="VUA105" s="38"/>
      <c r="VUG105" s="36"/>
      <c r="VUH105" s="18"/>
      <c r="VUI105" s="38"/>
      <c r="VUO105" s="36"/>
      <c r="VUP105" s="18"/>
      <c r="VUQ105" s="38"/>
      <c r="VUW105" s="36"/>
      <c r="VUX105" s="18"/>
      <c r="VUY105" s="38"/>
      <c r="VVE105" s="36"/>
      <c r="VVF105" s="18"/>
      <c r="VVG105" s="38"/>
      <c r="VVM105" s="36"/>
      <c r="VVN105" s="18"/>
      <c r="VVO105" s="38"/>
      <c r="VVU105" s="36"/>
      <c r="VVV105" s="18"/>
      <c r="VVW105" s="38"/>
      <c r="VWC105" s="36"/>
      <c r="VWD105" s="18"/>
      <c r="VWE105" s="38"/>
      <c r="VWK105" s="36"/>
      <c r="VWL105" s="18"/>
      <c r="VWM105" s="38"/>
      <c r="VWS105" s="36"/>
      <c r="VWT105" s="18"/>
      <c r="VWU105" s="38"/>
      <c r="VXA105" s="36"/>
      <c r="VXB105" s="18"/>
      <c r="VXC105" s="38"/>
      <c r="VXI105" s="36"/>
      <c r="VXJ105" s="18"/>
      <c r="VXK105" s="38"/>
      <c r="VXQ105" s="36"/>
      <c r="VXR105" s="18"/>
      <c r="VXS105" s="38"/>
      <c r="VXY105" s="36"/>
      <c r="VXZ105" s="18"/>
      <c r="VYA105" s="38"/>
      <c r="VYG105" s="36"/>
      <c r="VYH105" s="18"/>
      <c r="VYI105" s="38"/>
      <c r="VYO105" s="36"/>
      <c r="VYP105" s="18"/>
      <c r="VYQ105" s="38"/>
      <c r="VYW105" s="36"/>
      <c r="VYX105" s="18"/>
      <c r="VYY105" s="38"/>
      <c r="VZE105" s="36"/>
      <c r="VZF105" s="18"/>
      <c r="VZG105" s="38"/>
      <c r="VZM105" s="36"/>
      <c r="VZN105" s="18"/>
      <c r="VZO105" s="38"/>
      <c r="VZU105" s="36"/>
      <c r="VZV105" s="18"/>
      <c r="VZW105" s="38"/>
      <c r="WAC105" s="36"/>
      <c r="WAD105" s="18"/>
      <c r="WAE105" s="38"/>
      <c r="WAK105" s="36"/>
      <c r="WAL105" s="18"/>
      <c r="WAM105" s="38"/>
      <c r="WAS105" s="36"/>
      <c r="WAT105" s="18"/>
      <c r="WAU105" s="38"/>
      <c r="WBA105" s="36"/>
      <c r="WBB105" s="18"/>
      <c r="WBC105" s="38"/>
      <c r="WBI105" s="36"/>
      <c r="WBJ105" s="18"/>
      <c r="WBK105" s="38"/>
      <c r="WBQ105" s="36"/>
      <c r="WBR105" s="18"/>
      <c r="WBS105" s="38"/>
      <c r="WBY105" s="36"/>
      <c r="WBZ105" s="18"/>
      <c r="WCA105" s="38"/>
      <c r="WCG105" s="36"/>
      <c r="WCH105" s="18"/>
      <c r="WCI105" s="38"/>
      <c r="WCO105" s="36"/>
      <c r="WCP105" s="18"/>
      <c r="WCQ105" s="38"/>
      <c r="WCW105" s="36"/>
      <c r="WCX105" s="18"/>
      <c r="WCY105" s="38"/>
      <c r="WDE105" s="36"/>
      <c r="WDF105" s="18"/>
      <c r="WDG105" s="38"/>
      <c r="WDM105" s="36"/>
      <c r="WDN105" s="18"/>
      <c r="WDO105" s="38"/>
      <c r="WDU105" s="36"/>
      <c r="WDV105" s="18"/>
      <c r="WDW105" s="38"/>
      <c r="WEC105" s="36"/>
      <c r="WED105" s="18"/>
      <c r="WEE105" s="38"/>
      <c r="WEK105" s="36"/>
      <c r="WEL105" s="18"/>
      <c r="WEM105" s="38"/>
      <c r="WES105" s="36"/>
      <c r="WET105" s="18"/>
      <c r="WEU105" s="38"/>
      <c r="WFA105" s="36"/>
      <c r="WFB105" s="18"/>
      <c r="WFC105" s="38"/>
      <c r="WFI105" s="36"/>
      <c r="WFJ105" s="18"/>
      <c r="WFK105" s="38"/>
      <c r="WFQ105" s="36"/>
      <c r="WFR105" s="18"/>
      <c r="WFS105" s="38"/>
      <c r="WFY105" s="36"/>
      <c r="WFZ105" s="18"/>
      <c r="WGA105" s="38"/>
      <c r="WGG105" s="36"/>
      <c r="WGH105" s="18"/>
      <c r="WGI105" s="38"/>
      <c r="WGO105" s="36"/>
      <c r="WGP105" s="18"/>
      <c r="WGQ105" s="38"/>
      <c r="WGW105" s="36"/>
      <c r="WGX105" s="18"/>
      <c r="WGY105" s="38"/>
      <c r="WHE105" s="36"/>
      <c r="WHF105" s="18"/>
      <c r="WHG105" s="38"/>
      <c r="WHM105" s="36"/>
      <c r="WHN105" s="18"/>
      <c r="WHO105" s="38"/>
      <c r="WHU105" s="36"/>
      <c r="WHV105" s="18"/>
      <c r="WHW105" s="38"/>
      <c r="WIC105" s="36"/>
      <c r="WID105" s="18"/>
      <c r="WIE105" s="38"/>
      <c r="WIK105" s="36"/>
      <c r="WIL105" s="18"/>
      <c r="WIM105" s="38"/>
      <c r="WIS105" s="36"/>
      <c r="WIT105" s="18"/>
      <c r="WIU105" s="38"/>
      <c r="WJA105" s="36"/>
      <c r="WJB105" s="18"/>
      <c r="WJC105" s="38"/>
      <c r="WJI105" s="36"/>
      <c r="WJJ105" s="18"/>
      <c r="WJK105" s="38"/>
      <c r="WJQ105" s="36"/>
      <c r="WJR105" s="18"/>
      <c r="WJS105" s="38"/>
      <c r="WJY105" s="36"/>
      <c r="WJZ105" s="18"/>
      <c r="WKA105" s="38"/>
      <c r="WKG105" s="36"/>
      <c r="WKH105" s="18"/>
      <c r="WKI105" s="38"/>
      <c r="WKO105" s="36"/>
      <c r="WKP105" s="18"/>
      <c r="WKQ105" s="38"/>
      <c r="WKW105" s="36"/>
      <c r="WKX105" s="18"/>
      <c r="WKY105" s="38"/>
      <c r="WLE105" s="36"/>
      <c r="WLF105" s="18"/>
      <c r="WLG105" s="38"/>
      <c r="WLM105" s="36"/>
      <c r="WLN105" s="18"/>
      <c r="WLO105" s="38"/>
      <c r="WLU105" s="36"/>
      <c r="WLV105" s="18"/>
      <c r="WLW105" s="38"/>
      <c r="WMC105" s="36"/>
      <c r="WMD105" s="18"/>
      <c r="WME105" s="38"/>
      <c r="WMK105" s="36"/>
      <c r="WML105" s="18"/>
      <c r="WMM105" s="38"/>
      <c r="WMS105" s="36"/>
      <c r="WMT105" s="18"/>
      <c r="WMU105" s="38"/>
      <c r="WNA105" s="36"/>
      <c r="WNB105" s="18"/>
      <c r="WNC105" s="38"/>
      <c r="WNI105" s="36"/>
      <c r="WNJ105" s="18"/>
      <c r="WNK105" s="38"/>
      <c r="WNQ105" s="36"/>
      <c r="WNR105" s="18"/>
      <c r="WNS105" s="38"/>
      <c r="WNY105" s="36"/>
      <c r="WNZ105" s="18"/>
      <c r="WOA105" s="38"/>
      <c r="WOG105" s="36"/>
      <c r="WOH105" s="18"/>
      <c r="WOI105" s="38"/>
      <c r="WOO105" s="36"/>
      <c r="WOP105" s="18"/>
      <c r="WOQ105" s="38"/>
      <c r="WOW105" s="36"/>
      <c r="WOX105" s="18"/>
      <c r="WOY105" s="38"/>
      <c r="WPE105" s="36"/>
      <c r="WPF105" s="18"/>
      <c r="WPG105" s="38"/>
      <c r="WPM105" s="36"/>
      <c r="WPN105" s="18"/>
      <c r="WPO105" s="38"/>
      <c r="WPU105" s="36"/>
      <c r="WPV105" s="18"/>
      <c r="WPW105" s="38"/>
      <c r="WQC105" s="36"/>
      <c r="WQD105" s="18"/>
      <c r="WQE105" s="38"/>
      <c r="WQK105" s="36"/>
      <c r="WQL105" s="18"/>
      <c r="WQM105" s="38"/>
      <c r="WQS105" s="36"/>
      <c r="WQT105" s="18"/>
      <c r="WQU105" s="38"/>
      <c r="WRA105" s="36"/>
      <c r="WRB105" s="18"/>
      <c r="WRC105" s="38"/>
      <c r="WRI105" s="36"/>
      <c r="WRJ105" s="18"/>
      <c r="WRK105" s="38"/>
      <c r="WRQ105" s="36"/>
      <c r="WRR105" s="18"/>
      <c r="WRS105" s="38"/>
      <c r="WRY105" s="36"/>
      <c r="WRZ105" s="18"/>
      <c r="WSA105" s="38"/>
      <c r="WSG105" s="36"/>
      <c r="WSH105" s="18"/>
      <c r="WSI105" s="38"/>
      <c r="WSO105" s="36"/>
      <c r="WSP105" s="18"/>
      <c r="WSQ105" s="38"/>
      <c r="WSW105" s="36"/>
      <c r="WSX105" s="18"/>
      <c r="WSY105" s="38"/>
      <c r="WTE105" s="36"/>
      <c r="WTF105" s="18"/>
      <c r="WTG105" s="38"/>
      <c r="WTM105" s="36"/>
      <c r="WTN105" s="18"/>
      <c r="WTO105" s="38"/>
      <c r="WTU105" s="36"/>
      <c r="WTV105" s="18"/>
      <c r="WTW105" s="38"/>
      <c r="WUC105" s="36"/>
      <c r="WUD105" s="18"/>
      <c r="WUE105" s="38"/>
      <c r="WUK105" s="36"/>
      <c r="WUL105" s="18"/>
      <c r="WUM105" s="38"/>
      <c r="WUS105" s="36"/>
      <c r="WUT105" s="18"/>
      <c r="WUU105" s="38"/>
      <c r="WVA105" s="36"/>
      <c r="WVB105" s="18"/>
      <c r="WVC105" s="38"/>
      <c r="WVI105" s="36"/>
      <c r="WVJ105" s="18"/>
      <c r="WVK105" s="38"/>
      <c r="WVQ105" s="36"/>
      <c r="WVR105" s="18"/>
      <c r="WVS105" s="38"/>
      <c r="WVY105" s="36"/>
      <c r="WVZ105" s="18"/>
      <c r="WWA105" s="38"/>
      <c r="WWG105" s="36"/>
      <c r="WWH105" s="18"/>
      <c r="WWI105" s="38"/>
      <c r="WWO105" s="36"/>
      <c r="WWP105" s="18"/>
      <c r="WWQ105" s="38"/>
      <c r="WWW105" s="36"/>
      <c r="WWX105" s="18"/>
      <c r="WWY105" s="38"/>
      <c r="WXE105" s="36"/>
      <c r="WXF105" s="18"/>
      <c r="WXG105" s="38"/>
      <c r="WXM105" s="36"/>
      <c r="WXN105" s="18"/>
      <c r="WXO105" s="38"/>
      <c r="WXU105" s="36"/>
      <c r="WXV105" s="18"/>
      <c r="WXW105" s="38"/>
      <c r="WYC105" s="36"/>
      <c r="WYD105" s="18"/>
      <c r="WYE105" s="38"/>
      <c r="WYK105" s="36"/>
      <c r="WYL105" s="18"/>
      <c r="WYM105" s="38"/>
      <c r="WYS105" s="36"/>
      <c r="WYT105" s="18"/>
      <c r="WYU105" s="38"/>
      <c r="WZA105" s="36"/>
      <c r="WZB105" s="18"/>
      <c r="WZC105" s="38"/>
      <c r="WZI105" s="36"/>
      <c r="WZJ105" s="18"/>
      <c r="WZK105" s="38"/>
      <c r="WZQ105" s="36"/>
      <c r="WZR105" s="18"/>
      <c r="WZS105" s="38"/>
      <c r="WZY105" s="36"/>
      <c r="WZZ105" s="18"/>
      <c r="XAA105" s="38"/>
      <c r="XAG105" s="36"/>
      <c r="XAH105" s="18"/>
      <c r="XAI105" s="38"/>
      <c r="XAO105" s="36"/>
      <c r="XAP105" s="18"/>
      <c r="XAQ105" s="38"/>
      <c r="XAW105" s="36"/>
      <c r="XAX105" s="18"/>
      <c r="XAY105" s="38"/>
      <c r="XBE105" s="36"/>
      <c r="XBF105" s="18"/>
      <c r="XBG105" s="38"/>
      <c r="XBM105" s="36"/>
      <c r="XBN105" s="18"/>
      <c r="XBO105" s="38"/>
      <c r="XBU105" s="36"/>
      <c r="XBV105" s="18"/>
      <c r="XBW105" s="38"/>
      <c r="XCC105" s="36"/>
      <c r="XCD105" s="18"/>
      <c r="XCE105" s="38"/>
      <c r="XCK105" s="36"/>
      <c r="XCL105" s="18"/>
      <c r="XCM105" s="38"/>
      <c r="XCS105" s="36"/>
      <c r="XCT105" s="18"/>
      <c r="XCU105" s="38"/>
      <c r="XDA105" s="36"/>
      <c r="XDB105" s="18"/>
      <c r="XDC105" s="38"/>
      <c r="XDI105" s="36"/>
      <c r="XDJ105" s="18"/>
      <c r="XDK105" s="38"/>
      <c r="XDQ105" s="36"/>
      <c r="XDR105" s="18"/>
      <c r="XDS105" s="38"/>
      <c r="XDY105" s="36"/>
      <c r="XDZ105" s="18"/>
      <c r="XEA105" s="38"/>
      <c r="XEG105" s="36"/>
      <c r="XEH105" s="18"/>
      <c r="XEI105" s="38"/>
      <c r="XEO105" s="36"/>
      <c r="XEP105" s="18"/>
      <c r="XEQ105" s="38"/>
      <c r="XEW105" s="36"/>
      <c r="XEX105" s="18"/>
      <c r="XEY105" s="38"/>
    </row>
    <row r="106" spans="1:1019 1025:2043 2049:3067 3073:4091 4097:5115 5121:6139 6145:7163 7169:8187 8193:9211 9217:10235 10241:11259 11265:12283 12289:13307 13313:14331 14337:15355 15361:16379" s="24" customFormat="1" ht="15" customHeight="1">
      <c r="A106" s="36"/>
      <c r="B106" s="38" t="s">
        <v>26</v>
      </c>
      <c r="C106" s="38">
        <v>1013563</v>
      </c>
      <c r="D106" s="24">
        <v>238053</v>
      </c>
      <c r="E106" s="24">
        <v>71704</v>
      </c>
      <c r="F106" s="24">
        <v>521343</v>
      </c>
      <c r="G106" s="24">
        <v>180027</v>
      </c>
      <c r="H106" s="24">
        <v>2436</v>
      </c>
      <c r="J106" s="23"/>
      <c r="K106" s="38"/>
      <c r="Q106" s="36"/>
      <c r="R106" s="38"/>
      <c r="S106" s="38"/>
      <c r="Y106" s="36"/>
      <c r="Z106" s="38"/>
      <c r="AA106" s="38"/>
      <c r="AG106" s="36"/>
      <c r="AH106" s="38"/>
      <c r="AI106" s="38"/>
      <c r="AO106" s="36"/>
      <c r="AP106" s="38"/>
      <c r="AQ106" s="38"/>
      <c r="AW106" s="36"/>
      <c r="AX106" s="38"/>
      <c r="AY106" s="38"/>
      <c r="BE106" s="36"/>
      <c r="BF106" s="38"/>
      <c r="BG106" s="38"/>
      <c r="BM106" s="36"/>
      <c r="BN106" s="38"/>
      <c r="BO106" s="38"/>
      <c r="BU106" s="36"/>
      <c r="BV106" s="38"/>
      <c r="BW106" s="38"/>
      <c r="CC106" s="36"/>
      <c r="CD106" s="38"/>
      <c r="CE106" s="38"/>
      <c r="CK106" s="36"/>
      <c r="CL106" s="38"/>
      <c r="CM106" s="38"/>
      <c r="CS106" s="36"/>
      <c r="CT106" s="38"/>
      <c r="CU106" s="38"/>
      <c r="DA106" s="36"/>
      <c r="DB106" s="38"/>
      <c r="DC106" s="38"/>
      <c r="DI106" s="36"/>
      <c r="DJ106" s="38"/>
      <c r="DK106" s="38"/>
      <c r="DQ106" s="36"/>
      <c r="DR106" s="38"/>
      <c r="DS106" s="38"/>
      <c r="DY106" s="36"/>
      <c r="DZ106" s="38"/>
      <c r="EA106" s="38"/>
      <c r="EG106" s="36"/>
      <c r="EH106" s="38"/>
      <c r="EI106" s="38"/>
      <c r="EO106" s="36"/>
      <c r="EP106" s="38"/>
      <c r="EQ106" s="38"/>
      <c r="EW106" s="36"/>
      <c r="EX106" s="38"/>
      <c r="EY106" s="38"/>
      <c r="FE106" s="36"/>
      <c r="FF106" s="38"/>
      <c r="FG106" s="38"/>
      <c r="FM106" s="36"/>
      <c r="FN106" s="38"/>
      <c r="FO106" s="38"/>
      <c r="FU106" s="36"/>
      <c r="FV106" s="38"/>
      <c r="FW106" s="38"/>
      <c r="GC106" s="36"/>
      <c r="GD106" s="38"/>
      <c r="GE106" s="38"/>
      <c r="GK106" s="36"/>
      <c r="GL106" s="38"/>
      <c r="GM106" s="38"/>
      <c r="GS106" s="36"/>
      <c r="GT106" s="38"/>
      <c r="GU106" s="38"/>
      <c r="HA106" s="36"/>
      <c r="HB106" s="38"/>
      <c r="HC106" s="38"/>
      <c r="HI106" s="36"/>
      <c r="HJ106" s="38"/>
      <c r="HK106" s="38"/>
      <c r="HQ106" s="36"/>
      <c r="HR106" s="38"/>
      <c r="HS106" s="38"/>
      <c r="HY106" s="36"/>
      <c r="HZ106" s="38"/>
      <c r="IA106" s="38"/>
      <c r="IG106" s="36"/>
      <c r="IH106" s="38"/>
      <c r="II106" s="38"/>
      <c r="IO106" s="36"/>
      <c r="IP106" s="38"/>
      <c r="IQ106" s="38"/>
      <c r="IW106" s="36"/>
      <c r="IX106" s="38"/>
      <c r="IY106" s="38"/>
      <c r="JE106" s="36"/>
      <c r="JF106" s="38"/>
      <c r="JG106" s="38"/>
      <c r="JM106" s="36"/>
      <c r="JN106" s="38"/>
      <c r="JO106" s="38"/>
      <c r="JU106" s="36"/>
      <c r="JV106" s="38"/>
      <c r="JW106" s="38"/>
      <c r="KC106" s="36"/>
      <c r="KD106" s="38"/>
      <c r="KE106" s="38"/>
      <c r="KK106" s="36"/>
      <c r="KL106" s="38"/>
      <c r="KM106" s="38"/>
      <c r="KS106" s="36"/>
      <c r="KT106" s="38"/>
      <c r="KU106" s="38"/>
      <c r="LA106" s="36"/>
      <c r="LB106" s="38"/>
      <c r="LC106" s="38"/>
      <c r="LI106" s="36"/>
      <c r="LJ106" s="38"/>
      <c r="LK106" s="38"/>
      <c r="LQ106" s="36"/>
      <c r="LR106" s="38"/>
      <c r="LS106" s="38"/>
      <c r="LY106" s="36"/>
      <c r="LZ106" s="38"/>
      <c r="MA106" s="38"/>
      <c r="MG106" s="36"/>
      <c r="MH106" s="38"/>
      <c r="MI106" s="38"/>
      <c r="MO106" s="36"/>
      <c r="MP106" s="38"/>
      <c r="MQ106" s="38"/>
      <c r="MW106" s="36"/>
      <c r="MX106" s="38"/>
      <c r="MY106" s="38"/>
      <c r="NE106" s="36"/>
      <c r="NF106" s="38"/>
      <c r="NG106" s="38"/>
      <c r="NM106" s="36"/>
      <c r="NN106" s="38"/>
      <c r="NO106" s="38"/>
      <c r="NU106" s="36"/>
      <c r="NV106" s="38"/>
      <c r="NW106" s="38"/>
      <c r="OC106" s="36"/>
      <c r="OD106" s="38"/>
      <c r="OE106" s="38"/>
      <c r="OK106" s="36"/>
      <c r="OL106" s="38"/>
      <c r="OM106" s="38"/>
      <c r="OS106" s="36"/>
      <c r="OT106" s="38"/>
      <c r="OU106" s="38"/>
      <c r="PA106" s="36"/>
      <c r="PB106" s="38"/>
      <c r="PC106" s="38"/>
      <c r="PI106" s="36"/>
      <c r="PJ106" s="38"/>
      <c r="PK106" s="38"/>
      <c r="PQ106" s="36"/>
      <c r="PR106" s="38"/>
      <c r="PS106" s="38"/>
      <c r="PY106" s="36"/>
      <c r="PZ106" s="38"/>
      <c r="QA106" s="38"/>
      <c r="QG106" s="36"/>
      <c r="QH106" s="38"/>
      <c r="QI106" s="38"/>
      <c r="QO106" s="36"/>
      <c r="QP106" s="38"/>
      <c r="QQ106" s="38"/>
      <c r="QW106" s="36"/>
      <c r="QX106" s="38"/>
      <c r="QY106" s="38"/>
      <c r="RE106" s="36"/>
      <c r="RF106" s="38"/>
      <c r="RG106" s="38"/>
      <c r="RM106" s="36"/>
      <c r="RN106" s="38"/>
      <c r="RO106" s="38"/>
      <c r="RU106" s="36"/>
      <c r="RV106" s="38"/>
      <c r="RW106" s="38"/>
      <c r="SC106" s="36"/>
      <c r="SD106" s="38"/>
      <c r="SE106" s="38"/>
      <c r="SK106" s="36"/>
      <c r="SL106" s="38"/>
      <c r="SM106" s="38"/>
      <c r="SS106" s="36"/>
      <c r="ST106" s="38"/>
      <c r="SU106" s="38"/>
      <c r="TA106" s="36"/>
      <c r="TB106" s="38"/>
      <c r="TC106" s="38"/>
      <c r="TI106" s="36"/>
      <c r="TJ106" s="38"/>
      <c r="TK106" s="38"/>
      <c r="TQ106" s="36"/>
      <c r="TR106" s="38"/>
      <c r="TS106" s="38"/>
      <c r="TY106" s="36"/>
      <c r="TZ106" s="38"/>
      <c r="UA106" s="38"/>
      <c r="UG106" s="36"/>
      <c r="UH106" s="38"/>
      <c r="UI106" s="38"/>
      <c r="UO106" s="36"/>
      <c r="UP106" s="38"/>
      <c r="UQ106" s="38"/>
      <c r="UW106" s="36"/>
      <c r="UX106" s="38"/>
      <c r="UY106" s="38"/>
      <c r="VE106" s="36"/>
      <c r="VF106" s="38"/>
      <c r="VG106" s="38"/>
      <c r="VM106" s="36"/>
      <c r="VN106" s="38"/>
      <c r="VO106" s="38"/>
      <c r="VU106" s="36"/>
      <c r="VV106" s="38"/>
      <c r="VW106" s="38"/>
      <c r="WC106" s="36"/>
      <c r="WD106" s="38"/>
      <c r="WE106" s="38"/>
      <c r="WK106" s="36"/>
      <c r="WL106" s="38"/>
      <c r="WM106" s="38"/>
      <c r="WS106" s="36"/>
      <c r="WT106" s="38"/>
      <c r="WU106" s="38"/>
      <c r="XA106" s="36"/>
      <c r="XB106" s="38"/>
      <c r="XC106" s="38"/>
      <c r="XI106" s="36"/>
      <c r="XJ106" s="38"/>
      <c r="XK106" s="38"/>
      <c r="XQ106" s="36"/>
      <c r="XR106" s="38"/>
      <c r="XS106" s="38"/>
      <c r="XY106" s="36"/>
      <c r="XZ106" s="38"/>
      <c r="YA106" s="38"/>
      <c r="YG106" s="36"/>
      <c r="YH106" s="38"/>
      <c r="YI106" s="38"/>
      <c r="YO106" s="36"/>
      <c r="YP106" s="38"/>
      <c r="YQ106" s="38"/>
      <c r="YW106" s="36"/>
      <c r="YX106" s="38"/>
      <c r="YY106" s="38"/>
      <c r="ZE106" s="36"/>
      <c r="ZF106" s="38"/>
      <c r="ZG106" s="38"/>
      <c r="ZM106" s="36"/>
      <c r="ZN106" s="38"/>
      <c r="ZO106" s="38"/>
      <c r="ZU106" s="36"/>
      <c r="ZV106" s="38"/>
      <c r="ZW106" s="38"/>
      <c r="AAC106" s="36"/>
      <c r="AAD106" s="38"/>
      <c r="AAE106" s="38"/>
      <c r="AAK106" s="36"/>
      <c r="AAL106" s="38"/>
      <c r="AAM106" s="38"/>
      <c r="AAS106" s="36"/>
      <c r="AAT106" s="38"/>
      <c r="AAU106" s="38"/>
      <c r="ABA106" s="36"/>
      <c r="ABB106" s="38"/>
      <c r="ABC106" s="38"/>
      <c r="ABI106" s="36"/>
      <c r="ABJ106" s="38"/>
      <c r="ABK106" s="38"/>
      <c r="ABQ106" s="36"/>
      <c r="ABR106" s="38"/>
      <c r="ABS106" s="38"/>
      <c r="ABY106" s="36"/>
      <c r="ABZ106" s="38"/>
      <c r="ACA106" s="38"/>
      <c r="ACG106" s="36"/>
      <c r="ACH106" s="38"/>
      <c r="ACI106" s="38"/>
      <c r="ACO106" s="36"/>
      <c r="ACP106" s="38"/>
      <c r="ACQ106" s="38"/>
      <c r="ACW106" s="36"/>
      <c r="ACX106" s="38"/>
      <c r="ACY106" s="38"/>
      <c r="ADE106" s="36"/>
      <c r="ADF106" s="38"/>
      <c r="ADG106" s="38"/>
      <c r="ADM106" s="36"/>
      <c r="ADN106" s="38"/>
      <c r="ADO106" s="38"/>
      <c r="ADU106" s="36"/>
      <c r="ADV106" s="38"/>
      <c r="ADW106" s="38"/>
      <c r="AEC106" s="36"/>
      <c r="AED106" s="38"/>
      <c r="AEE106" s="38"/>
      <c r="AEK106" s="36"/>
      <c r="AEL106" s="38"/>
      <c r="AEM106" s="38"/>
      <c r="AES106" s="36"/>
      <c r="AET106" s="38"/>
      <c r="AEU106" s="38"/>
      <c r="AFA106" s="36"/>
      <c r="AFB106" s="38"/>
      <c r="AFC106" s="38"/>
      <c r="AFI106" s="36"/>
      <c r="AFJ106" s="38"/>
      <c r="AFK106" s="38"/>
      <c r="AFQ106" s="36"/>
      <c r="AFR106" s="38"/>
      <c r="AFS106" s="38"/>
      <c r="AFY106" s="36"/>
      <c r="AFZ106" s="38"/>
      <c r="AGA106" s="38"/>
      <c r="AGG106" s="36"/>
      <c r="AGH106" s="38"/>
      <c r="AGI106" s="38"/>
      <c r="AGO106" s="36"/>
      <c r="AGP106" s="38"/>
      <c r="AGQ106" s="38"/>
      <c r="AGW106" s="36"/>
      <c r="AGX106" s="38"/>
      <c r="AGY106" s="38"/>
      <c r="AHE106" s="36"/>
      <c r="AHF106" s="38"/>
      <c r="AHG106" s="38"/>
      <c r="AHM106" s="36"/>
      <c r="AHN106" s="38"/>
      <c r="AHO106" s="38"/>
      <c r="AHU106" s="36"/>
      <c r="AHV106" s="38"/>
      <c r="AHW106" s="38"/>
      <c r="AIC106" s="36"/>
      <c r="AID106" s="38"/>
      <c r="AIE106" s="38"/>
      <c r="AIK106" s="36"/>
      <c r="AIL106" s="38"/>
      <c r="AIM106" s="38"/>
      <c r="AIS106" s="36"/>
      <c r="AIT106" s="38"/>
      <c r="AIU106" s="38"/>
      <c r="AJA106" s="36"/>
      <c r="AJB106" s="38"/>
      <c r="AJC106" s="38"/>
      <c r="AJI106" s="36"/>
      <c r="AJJ106" s="38"/>
      <c r="AJK106" s="38"/>
      <c r="AJQ106" s="36"/>
      <c r="AJR106" s="38"/>
      <c r="AJS106" s="38"/>
      <c r="AJY106" s="36"/>
      <c r="AJZ106" s="38"/>
      <c r="AKA106" s="38"/>
      <c r="AKG106" s="36"/>
      <c r="AKH106" s="38"/>
      <c r="AKI106" s="38"/>
      <c r="AKO106" s="36"/>
      <c r="AKP106" s="38"/>
      <c r="AKQ106" s="38"/>
      <c r="AKW106" s="36"/>
      <c r="AKX106" s="38"/>
      <c r="AKY106" s="38"/>
      <c r="ALE106" s="36"/>
      <c r="ALF106" s="38"/>
      <c r="ALG106" s="38"/>
      <c r="ALM106" s="36"/>
      <c r="ALN106" s="38"/>
      <c r="ALO106" s="38"/>
      <c r="ALU106" s="36"/>
      <c r="ALV106" s="38"/>
      <c r="ALW106" s="38"/>
      <c r="AMC106" s="36"/>
      <c r="AMD106" s="38"/>
      <c r="AME106" s="38"/>
      <c r="AMK106" s="36"/>
      <c r="AML106" s="38"/>
      <c r="AMM106" s="38"/>
      <c r="AMS106" s="36"/>
      <c r="AMT106" s="38"/>
      <c r="AMU106" s="38"/>
      <c r="ANA106" s="36"/>
      <c r="ANB106" s="38"/>
      <c r="ANC106" s="38"/>
      <c r="ANI106" s="36"/>
      <c r="ANJ106" s="38"/>
      <c r="ANK106" s="38"/>
      <c r="ANQ106" s="36"/>
      <c r="ANR106" s="38"/>
      <c r="ANS106" s="38"/>
      <c r="ANY106" s="36"/>
      <c r="ANZ106" s="38"/>
      <c r="AOA106" s="38"/>
      <c r="AOG106" s="36"/>
      <c r="AOH106" s="38"/>
      <c r="AOI106" s="38"/>
      <c r="AOO106" s="36"/>
      <c r="AOP106" s="38"/>
      <c r="AOQ106" s="38"/>
      <c r="AOW106" s="36"/>
      <c r="AOX106" s="38"/>
      <c r="AOY106" s="38"/>
      <c r="APE106" s="36"/>
      <c r="APF106" s="38"/>
      <c r="APG106" s="38"/>
      <c r="APM106" s="36"/>
      <c r="APN106" s="38"/>
      <c r="APO106" s="38"/>
      <c r="APU106" s="36"/>
      <c r="APV106" s="38"/>
      <c r="APW106" s="38"/>
      <c r="AQC106" s="36"/>
      <c r="AQD106" s="38"/>
      <c r="AQE106" s="38"/>
      <c r="AQK106" s="36"/>
      <c r="AQL106" s="38"/>
      <c r="AQM106" s="38"/>
      <c r="AQS106" s="36"/>
      <c r="AQT106" s="38"/>
      <c r="AQU106" s="38"/>
      <c r="ARA106" s="36"/>
      <c r="ARB106" s="38"/>
      <c r="ARC106" s="38"/>
      <c r="ARI106" s="36"/>
      <c r="ARJ106" s="38"/>
      <c r="ARK106" s="38"/>
      <c r="ARQ106" s="36"/>
      <c r="ARR106" s="38"/>
      <c r="ARS106" s="38"/>
      <c r="ARY106" s="36"/>
      <c r="ARZ106" s="38"/>
      <c r="ASA106" s="38"/>
      <c r="ASG106" s="36"/>
      <c r="ASH106" s="38"/>
      <c r="ASI106" s="38"/>
      <c r="ASO106" s="36"/>
      <c r="ASP106" s="38"/>
      <c r="ASQ106" s="38"/>
      <c r="ASW106" s="36"/>
      <c r="ASX106" s="38"/>
      <c r="ASY106" s="38"/>
      <c r="ATE106" s="36"/>
      <c r="ATF106" s="38"/>
      <c r="ATG106" s="38"/>
      <c r="ATM106" s="36"/>
      <c r="ATN106" s="38"/>
      <c r="ATO106" s="38"/>
      <c r="ATU106" s="36"/>
      <c r="ATV106" s="38"/>
      <c r="ATW106" s="38"/>
      <c r="AUC106" s="36"/>
      <c r="AUD106" s="38"/>
      <c r="AUE106" s="38"/>
      <c r="AUK106" s="36"/>
      <c r="AUL106" s="38"/>
      <c r="AUM106" s="38"/>
      <c r="AUS106" s="36"/>
      <c r="AUT106" s="38"/>
      <c r="AUU106" s="38"/>
      <c r="AVA106" s="36"/>
      <c r="AVB106" s="38"/>
      <c r="AVC106" s="38"/>
      <c r="AVI106" s="36"/>
      <c r="AVJ106" s="38"/>
      <c r="AVK106" s="38"/>
      <c r="AVQ106" s="36"/>
      <c r="AVR106" s="38"/>
      <c r="AVS106" s="38"/>
      <c r="AVY106" s="36"/>
      <c r="AVZ106" s="38"/>
      <c r="AWA106" s="38"/>
      <c r="AWG106" s="36"/>
      <c r="AWH106" s="38"/>
      <c r="AWI106" s="38"/>
      <c r="AWO106" s="36"/>
      <c r="AWP106" s="38"/>
      <c r="AWQ106" s="38"/>
      <c r="AWW106" s="36"/>
      <c r="AWX106" s="38"/>
      <c r="AWY106" s="38"/>
      <c r="AXE106" s="36"/>
      <c r="AXF106" s="38"/>
      <c r="AXG106" s="38"/>
      <c r="AXM106" s="36"/>
      <c r="AXN106" s="38"/>
      <c r="AXO106" s="38"/>
      <c r="AXU106" s="36"/>
      <c r="AXV106" s="38"/>
      <c r="AXW106" s="38"/>
      <c r="AYC106" s="36"/>
      <c r="AYD106" s="38"/>
      <c r="AYE106" s="38"/>
      <c r="AYK106" s="36"/>
      <c r="AYL106" s="38"/>
      <c r="AYM106" s="38"/>
      <c r="AYS106" s="36"/>
      <c r="AYT106" s="38"/>
      <c r="AYU106" s="38"/>
      <c r="AZA106" s="36"/>
      <c r="AZB106" s="38"/>
      <c r="AZC106" s="38"/>
      <c r="AZI106" s="36"/>
      <c r="AZJ106" s="38"/>
      <c r="AZK106" s="38"/>
      <c r="AZQ106" s="36"/>
      <c r="AZR106" s="38"/>
      <c r="AZS106" s="38"/>
      <c r="AZY106" s="36"/>
      <c r="AZZ106" s="38"/>
      <c r="BAA106" s="38"/>
      <c r="BAG106" s="36"/>
      <c r="BAH106" s="38"/>
      <c r="BAI106" s="38"/>
      <c r="BAO106" s="36"/>
      <c r="BAP106" s="38"/>
      <c r="BAQ106" s="38"/>
      <c r="BAW106" s="36"/>
      <c r="BAX106" s="38"/>
      <c r="BAY106" s="38"/>
      <c r="BBE106" s="36"/>
      <c r="BBF106" s="38"/>
      <c r="BBG106" s="38"/>
      <c r="BBM106" s="36"/>
      <c r="BBN106" s="38"/>
      <c r="BBO106" s="38"/>
      <c r="BBU106" s="36"/>
      <c r="BBV106" s="38"/>
      <c r="BBW106" s="38"/>
      <c r="BCC106" s="36"/>
      <c r="BCD106" s="38"/>
      <c r="BCE106" s="38"/>
      <c r="BCK106" s="36"/>
      <c r="BCL106" s="38"/>
      <c r="BCM106" s="38"/>
      <c r="BCS106" s="36"/>
      <c r="BCT106" s="38"/>
      <c r="BCU106" s="38"/>
      <c r="BDA106" s="36"/>
      <c r="BDB106" s="38"/>
      <c r="BDC106" s="38"/>
      <c r="BDI106" s="36"/>
      <c r="BDJ106" s="38"/>
      <c r="BDK106" s="38"/>
      <c r="BDQ106" s="36"/>
      <c r="BDR106" s="38"/>
      <c r="BDS106" s="38"/>
      <c r="BDY106" s="36"/>
      <c r="BDZ106" s="38"/>
      <c r="BEA106" s="38"/>
      <c r="BEG106" s="36"/>
      <c r="BEH106" s="38"/>
      <c r="BEI106" s="38"/>
      <c r="BEO106" s="36"/>
      <c r="BEP106" s="38"/>
      <c r="BEQ106" s="38"/>
      <c r="BEW106" s="36"/>
      <c r="BEX106" s="38"/>
      <c r="BEY106" s="38"/>
      <c r="BFE106" s="36"/>
      <c r="BFF106" s="38"/>
      <c r="BFG106" s="38"/>
      <c r="BFM106" s="36"/>
      <c r="BFN106" s="38"/>
      <c r="BFO106" s="38"/>
      <c r="BFU106" s="36"/>
      <c r="BFV106" s="38"/>
      <c r="BFW106" s="38"/>
      <c r="BGC106" s="36"/>
      <c r="BGD106" s="38"/>
      <c r="BGE106" s="38"/>
      <c r="BGK106" s="36"/>
      <c r="BGL106" s="38"/>
      <c r="BGM106" s="38"/>
      <c r="BGS106" s="36"/>
      <c r="BGT106" s="38"/>
      <c r="BGU106" s="38"/>
      <c r="BHA106" s="36"/>
      <c r="BHB106" s="38"/>
      <c r="BHC106" s="38"/>
      <c r="BHI106" s="36"/>
      <c r="BHJ106" s="38"/>
      <c r="BHK106" s="38"/>
      <c r="BHQ106" s="36"/>
      <c r="BHR106" s="38"/>
      <c r="BHS106" s="38"/>
      <c r="BHY106" s="36"/>
      <c r="BHZ106" s="38"/>
      <c r="BIA106" s="38"/>
      <c r="BIG106" s="36"/>
      <c r="BIH106" s="38"/>
      <c r="BII106" s="38"/>
      <c r="BIO106" s="36"/>
      <c r="BIP106" s="38"/>
      <c r="BIQ106" s="38"/>
      <c r="BIW106" s="36"/>
      <c r="BIX106" s="38"/>
      <c r="BIY106" s="38"/>
      <c r="BJE106" s="36"/>
      <c r="BJF106" s="38"/>
      <c r="BJG106" s="38"/>
      <c r="BJM106" s="36"/>
      <c r="BJN106" s="38"/>
      <c r="BJO106" s="38"/>
      <c r="BJU106" s="36"/>
      <c r="BJV106" s="38"/>
      <c r="BJW106" s="38"/>
      <c r="BKC106" s="36"/>
      <c r="BKD106" s="38"/>
      <c r="BKE106" s="38"/>
      <c r="BKK106" s="36"/>
      <c r="BKL106" s="38"/>
      <c r="BKM106" s="38"/>
      <c r="BKS106" s="36"/>
      <c r="BKT106" s="38"/>
      <c r="BKU106" s="38"/>
      <c r="BLA106" s="36"/>
      <c r="BLB106" s="38"/>
      <c r="BLC106" s="38"/>
      <c r="BLI106" s="36"/>
      <c r="BLJ106" s="38"/>
      <c r="BLK106" s="38"/>
      <c r="BLQ106" s="36"/>
      <c r="BLR106" s="38"/>
      <c r="BLS106" s="38"/>
      <c r="BLY106" s="36"/>
      <c r="BLZ106" s="38"/>
      <c r="BMA106" s="38"/>
      <c r="BMG106" s="36"/>
      <c r="BMH106" s="38"/>
      <c r="BMI106" s="38"/>
      <c r="BMO106" s="36"/>
      <c r="BMP106" s="38"/>
      <c r="BMQ106" s="38"/>
      <c r="BMW106" s="36"/>
      <c r="BMX106" s="38"/>
      <c r="BMY106" s="38"/>
      <c r="BNE106" s="36"/>
      <c r="BNF106" s="38"/>
      <c r="BNG106" s="38"/>
      <c r="BNM106" s="36"/>
      <c r="BNN106" s="38"/>
      <c r="BNO106" s="38"/>
      <c r="BNU106" s="36"/>
      <c r="BNV106" s="38"/>
      <c r="BNW106" s="38"/>
      <c r="BOC106" s="36"/>
      <c r="BOD106" s="38"/>
      <c r="BOE106" s="38"/>
      <c r="BOK106" s="36"/>
      <c r="BOL106" s="38"/>
      <c r="BOM106" s="38"/>
      <c r="BOS106" s="36"/>
      <c r="BOT106" s="38"/>
      <c r="BOU106" s="38"/>
      <c r="BPA106" s="36"/>
      <c r="BPB106" s="38"/>
      <c r="BPC106" s="38"/>
      <c r="BPI106" s="36"/>
      <c r="BPJ106" s="38"/>
      <c r="BPK106" s="38"/>
      <c r="BPQ106" s="36"/>
      <c r="BPR106" s="38"/>
      <c r="BPS106" s="38"/>
      <c r="BPY106" s="36"/>
      <c r="BPZ106" s="38"/>
      <c r="BQA106" s="38"/>
      <c r="BQG106" s="36"/>
      <c r="BQH106" s="38"/>
      <c r="BQI106" s="38"/>
      <c r="BQO106" s="36"/>
      <c r="BQP106" s="38"/>
      <c r="BQQ106" s="38"/>
      <c r="BQW106" s="36"/>
      <c r="BQX106" s="38"/>
      <c r="BQY106" s="38"/>
      <c r="BRE106" s="36"/>
      <c r="BRF106" s="38"/>
      <c r="BRG106" s="38"/>
      <c r="BRM106" s="36"/>
      <c r="BRN106" s="38"/>
      <c r="BRO106" s="38"/>
      <c r="BRU106" s="36"/>
      <c r="BRV106" s="38"/>
      <c r="BRW106" s="38"/>
      <c r="BSC106" s="36"/>
      <c r="BSD106" s="38"/>
      <c r="BSE106" s="38"/>
      <c r="BSK106" s="36"/>
      <c r="BSL106" s="38"/>
      <c r="BSM106" s="38"/>
      <c r="BSS106" s="36"/>
      <c r="BST106" s="38"/>
      <c r="BSU106" s="38"/>
      <c r="BTA106" s="36"/>
      <c r="BTB106" s="38"/>
      <c r="BTC106" s="38"/>
      <c r="BTI106" s="36"/>
      <c r="BTJ106" s="38"/>
      <c r="BTK106" s="38"/>
      <c r="BTQ106" s="36"/>
      <c r="BTR106" s="38"/>
      <c r="BTS106" s="38"/>
      <c r="BTY106" s="36"/>
      <c r="BTZ106" s="38"/>
      <c r="BUA106" s="38"/>
      <c r="BUG106" s="36"/>
      <c r="BUH106" s="38"/>
      <c r="BUI106" s="38"/>
      <c r="BUO106" s="36"/>
      <c r="BUP106" s="38"/>
      <c r="BUQ106" s="38"/>
      <c r="BUW106" s="36"/>
      <c r="BUX106" s="38"/>
      <c r="BUY106" s="38"/>
      <c r="BVE106" s="36"/>
      <c r="BVF106" s="38"/>
      <c r="BVG106" s="38"/>
      <c r="BVM106" s="36"/>
      <c r="BVN106" s="38"/>
      <c r="BVO106" s="38"/>
      <c r="BVU106" s="36"/>
      <c r="BVV106" s="38"/>
      <c r="BVW106" s="38"/>
      <c r="BWC106" s="36"/>
      <c r="BWD106" s="38"/>
      <c r="BWE106" s="38"/>
      <c r="BWK106" s="36"/>
      <c r="BWL106" s="38"/>
      <c r="BWM106" s="38"/>
      <c r="BWS106" s="36"/>
      <c r="BWT106" s="38"/>
      <c r="BWU106" s="38"/>
      <c r="BXA106" s="36"/>
      <c r="BXB106" s="38"/>
      <c r="BXC106" s="38"/>
      <c r="BXI106" s="36"/>
      <c r="BXJ106" s="38"/>
      <c r="BXK106" s="38"/>
      <c r="BXQ106" s="36"/>
      <c r="BXR106" s="38"/>
      <c r="BXS106" s="38"/>
      <c r="BXY106" s="36"/>
      <c r="BXZ106" s="38"/>
      <c r="BYA106" s="38"/>
      <c r="BYG106" s="36"/>
      <c r="BYH106" s="38"/>
      <c r="BYI106" s="38"/>
      <c r="BYO106" s="36"/>
      <c r="BYP106" s="38"/>
      <c r="BYQ106" s="38"/>
      <c r="BYW106" s="36"/>
      <c r="BYX106" s="38"/>
      <c r="BYY106" s="38"/>
      <c r="BZE106" s="36"/>
      <c r="BZF106" s="38"/>
      <c r="BZG106" s="38"/>
      <c r="BZM106" s="36"/>
      <c r="BZN106" s="38"/>
      <c r="BZO106" s="38"/>
      <c r="BZU106" s="36"/>
      <c r="BZV106" s="38"/>
      <c r="BZW106" s="38"/>
      <c r="CAC106" s="36"/>
      <c r="CAD106" s="38"/>
      <c r="CAE106" s="38"/>
      <c r="CAK106" s="36"/>
      <c r="CAL106" s="38"/>
      <c r="CAM106" s="38"/>
      <c r="CAS106" s="36"/>
      <c r="CAT106" s="38"/>
      <c r="CAU106" s="38"/>
      <c r="CBA106" s="36"/>
      <c r="CBB106" s="38"/>
      <c r="CBC106" s="38"/>
      <c r="CBI106" s="36"/>
      <c r="CBJ106" s="38"/>
      <c r="CBK106" s="38"/>
      <c r="CBQ106" s="36"/>
      <c r="CBR106" s="38"/>
      <c r="CBS106" s="38"/>
      <c r="CBY106" s="36"/>
      <c r="CBZ106" s="38"/>
      <c r="CCA106" s="38"/>
      <c r="CCG106" s="36"/>
      <c r="CCH106" s="38"/>
      <c r="CCI106" s="38"/>
      <c r="CCO106" s="36"/>
      <c r="CCP106" s="38"/>
      <c r="CCQ106" s="38"/>
      <c r="CCW106" s="36"/>
      <c r="CCX106" s="38"/>
      <c r="CCY106" s="38"/>
      <c r="CDE106" s="36"/>
      <c r="CDF106" s="38"/>
      <c r="CDG106" s="38"/>
      <c r="CDM106" s="36"/>
      <c r="CDN106" s="38"/>
      <c r="CDO106" s="38"/>
      <c r="CDU106" s="36"/>
      <c r="CDV106" s="38"/>
      <c r="CDW106" s="38"/>
      <c r="CEC106" s="36"/>
      <c r="CED106" s="38"/>
      <c r="CEE106" s="38"/>
      <c r="CEK106" s="36"/>
      <c r="CEL106" s="38"/>
      <c r="CEM106" s="38"/>
      <c r="CES106" s="36"/>
      <c r="CET106" s="38"/>
      <c r="CEU106" s="38"/>
      <c r="CFA106" s="36"/>
      <c r="CFB106" s="38"/>
      <c r="CFC106" s="38"/>
      <c r="CFI106" s="36"/>
      <c r="CFJ106" s="38"/>
      <c r="CFK106" s="38"/>
      <c r="CFQ106" s="36"/>
      <c r="CFR106" s="38"/>
      <c r="CFS106" s="38"/>
      <c r="CFY106" s="36"/>
      <c r="CFZ106" s="38"/>
      <c r="CGA106" s="38"/>
      <c r="CGG106" s="36"/>
      <c r="CGH106" s="38"/>
      <c r="CGI106" s="38"/>
      <c r="CGO106" s="36"/>
      <c r="CGP106" s="38"/>
      <c r="CGQ106" s="38"/>
      <c r="CGW106" s="36"/>
      <c r="CGX106" s="38"/>
      <c r="CGY106" s="38"/>
      <c r="CHE106" s="36"/>
      <c r="CHF106" s="38"/>
      <c r="CHG106" s="38"/>
      <c r="CHM106" s="36"/>
      <c r="CHN106" s="38"/>
      <c r="CHO106" s="38"/>
      <c r="CHU106" s="36"/>
      <c r="CHV106" s="38"/>
      <c r="CHW106" s="38"/>
      <c r="CIC106" s="36"/>
      <c r="CID106" s="38"/>
      <c r="CIE106" s="38"/>
      <c r="CIK106" s="36"/>
      <c r="CIL106" s="38"/>
      <c r="CIM106" s="38"/>
      <c r="CIS106" s="36"/>
      <c r="CIT106" s="38"/>
      <c r="CIU106" s="38"/>
      <c r="CJA106" s="36"/>
      <c r="CJB106" s="38"/>
      <c r="CJC106" s="38"/>
      <c r="CJI106" s="36"/>
      <c r="CJJ106" s="38"/>
      <c r="CJK106" s="38"/>
      <c r="CJQ106" s="36"/>
      <c r="CJR106" s="38"/>
      <c r="CJS106" s="38"/>
      <c r="CJY106" s="36"/>
      <c r="CJZ106" s="38"/>
      <c r="CKA106" s="38"/>
      <c r="CKG106" s="36"/>
      <c r="CKH106" s="38"/>
      <c r="CKI106" s="38"/>
      <c r="CKO106" s="36"/>
      <c r="CKP106" s="38"/>
      <c r="CKQ106" s="38"/>
      <c r="CKW106" s="36"/>
      <c r="CKX106" s="38"/>
      <c r="CKY106" s="38"/>
      <c r="CLE106" s="36"/>
      <c r="CLF106" s="38"/>
      <c r="CLG106" s="38"/>
      <c r="CLM106" s="36"/>
      <c r="CLN106" s="38"/>
      <c r="CLO106" s="38"/>
      <c r="CLU106" s="36"/>
      <c r="CLV106" s="38"/>
      <c r="CLW106" s="38"/>
      <c r="CMC106" s="36"/>
      <c r="CMD106" s="38"/>
      <c r="CME106" s="38"/>
      <c r="CMK106" s="36"/>
      <c r="CML106" s="38"/>
      <c r="CMM106" s="38"/>
      <c r="CMS106" s="36"/>
      <c r="CMT106" s="38"/>
      <c r="CMU106" s="38"/>
      <c r="CNA106" s="36"/>
      <c r="CNB106" s="38"/>
      <c r="CNC106" s="38"/>
      <c r="CNI106" s="36"/>
      <c r="CNJ106" s="38"/>
      <c r="CNK106" s="38"/>
      <c r="CNQ106" s="36"/>
      <c r="CNR106" s="38"/>
      <c r="CNS106" s="38"/>
      <c r="CNY106" s="36"/>
      <c r="CNZ106" s="38"/>
      <c r="COA106" s="38"/>
      <c r="COG106" s="36"/>
      <c r="COH106" s="38"/>
      <c r="COI106" s="38"/>
      <c r="COO106" s="36"/>
      <c r="COP106" s="38"/>
      <c r="COQ106" s="38"/>
      <c r="COW106" s="36"/>
      <c r="COX106" s="38"/>
      <c r="COY106" s="38"/>
      <c r="CPE106" s="36"/>
      <c r="CPF106" s="38"/>
      <c r="CPG106" s="38"/>
      <c r="CPM106" s="36"/>
      <c r="CPN106" s="38"/>
      <c r="CPO106" s="38"/>
      <c r="CPU106" s="36"/>
      <c r="CPV106" s="38"/>
      <c r="CPW106" s="38"/>
      <c r="CQC106" s="36"/>
      <c r="CQD106" s="38"/>
      <c r="CQE106" s="38"/>
      <c r="CQK106" s="36"/>
      <c r="CQL106" s="38"/>
      <c r="CQM106" s="38"/>
      <c r="CQS106" s="36"/>
      <c r="CQT106" s="38"/>
      <c r="CQU106" s="38"/>
      <c r="CRA106" s="36"/>
      <c r="CRB106" s="38"/>
      <c r="CRC106" s="38"/>
      <c r="CRI106" s="36"/>
      <c r="CRJ106" s="38"/>
      <c r="CRK106" s="38"/>
      <c r="CRQ106" s="36"/>
      <c r="CRR106" s="38"/>
      <c r="CRS106" s="38"/>
      <c r="CRY106" s="36"/>
      <c r="CRZ106" s="38"/>
      <c r="CSA106" s="38"/>
      <c r="CSG106" s="36"/>
      <c r="CSH106" s="38"/>
      <c r="CSI106" s="38"/>
      <c r="CSO106" s="36"/>
      <c r="CSP106" s="38"/>
      <c r="CSQ106" s="38"/>
      <c r="CSW106" s="36"/>
      <c r="CSX106" s="38"/>
      <c r="CSY106" s="38"/>
      <c r="CTE106" s="36"/>
      <c r="CTF106" s="38"/>
      <c r="CTG106" s="38"/>
      <c r="CTM106" s="36"/>
      <c r="CTN106" s="38"/>
      <c r="CTO106" s="38"/>
      <c r="CTU106" s="36"/>
      <c r="CTV106" s="38"/>
      <c r="CTW106" s="38"/>
      <c r="CUC106" s="36"/>
      <c r="CUD106" s="38"/>
      <c r="CUE106" s="38"/>
      <c r="CUK106" s="36"/>
      <c r="CUL106" s="38"/>
      <c r="CUM106" s="38"/>
      <c r="CUS106" s="36"/>
      <c r="CUT106" s="38"/>
      <c r="CUU106" s="38"/>
      <c r="CVA106" s="36"/>
      <c r="CVB106" s="38"/>
      <c r="CVC106" s="38"/>
      <c r="CVI106" s="36"/>
      <c r="CVJ106" s="38"/>
      <c r="CVK106" s="38"/>
      <c r="CVQ106" s="36"/>
      <c r="CVR106" s="38"/>
      <c r="CVS106" s="38"/>
      <c r="CVY106" s="36"/>
      <c r="CVZ106" s="38"/>
      <c r="CWA106" s="38"/>
      <c r="CWG106" s="36"/>
      <c r="CWH106" s="38"/>
      <c r="CWI106" s="38"/>
      <c r="CWO106" s="36"/>
      <c r="CWP106" s="38"/>
      <c r="CWQ106" s="38"/>
      <c r="CWW106" s="36"/>
      <c r="CWX106" s="38"/>
      <c r="CWY106" s="38"/>
      <c r="CXE106" s="36"/>
      <c r="CXF106" s="38"/>
      <c r="CXG106" s="38"/>
      <c r="CXM106" s="36"/>
      <c r="CXN106" s="38"/>
      <c r="CXO106" s="38"/>
      <c r="CXU106" s="36"/>
      <c r="CXV106" s="38"/>
      <c r="CXW106" s="38"/>
      <c r="CYC106" s="36"/>
      <c r="CYD106" s="38"/>
      <c r="CYE106" s="38"/>
      <c r="CYK106" s="36"/>
      <c r="CYL106" s="38"/>
      <c r="CYM106" s="38"/>
      <c r="CYS106" s="36"/>
      <c r="CYT106" s="38"/>
      <c r="CYU106" s="38"/>
      <c r="CZA106" s="36"/>
      <c r="CZB106" s="38"/>
      <c r="CZC106" s="38"/>
      <c r="CZI106" s="36"/>
      <c r="CZJ106" s="38"/>
      <c r="CZK106" s="38"/>
      <c r="CZQ106" s="36"/>
      <c r="CZR106" s="38"/>
      <c r="CZS106" s="38"/>
      <c r="CZY106" s="36"/>
      <c r="CZZ106" s="38"/>
      <c r="DAA106" s="38"/>
      <c r="DAG106" s="36"/>
      <c r="DAH106" s="38"/>
      <c r="DAI106" s="38"/>
      <c r="DAO106" s="36"/>
      <c r="DAP106" s="38"/>
      <c r="DAQ106" s="38"/>
      <c r="DAW106" s="36"/>
      <c r="DAX106" s="38"/>
      <c r="DAY106" s="38"/>
      <c r="DBE106" s="36"/>
      <c r="DBF106" s="38"/>
      <c r="DBG106" s="38"/>
      <c r="DBM106" s="36"/>
      <c r="DBN106" s="38"/>
      <c r="DBO106" s="38"/>
      <c r="DBU106" s="36"/>
      <c r="DBV106" s="38"/>
      <c r="DBW106" s="38"/>
      <c r="DCC106" s="36"/>
      <c r="DCD106" s="38"/>
      <c r="DCE106" s="38"/>
      <c r="DCK106" s="36"/>
      <c r="DCL106" s="38"/>
      <c r="DCM106" s="38"/>
      <c r="DCS106" s="36"/>
      <c r="DCT106" s="38"/>
      <c r="DCU106" s="38"/>
      <c r="DDA106" s="36"/>
      <c r="DDB106" s="38"/>
      <c r="DDC106" s="38"/>
      <c r="DDI106" s="36"/>
      <c r="DDJ106" s="38"/>
      <c r="DDK106" s="38"/>
      <c r="DDQ106" s="36"/>
      <c r="DDR106" s="38"/>
      <c r="DDS106" s="38"/>
      <c r="DDY106" s="36"/>
      <c r="DDZ106" s="38"/>
      <c r="DEA106" s="38"/>
      <c r="DEG106" s="36"/>
      <c r="DEH106" s="38"/>
      <c r="DEI106" s="38"/>
      <c r="DEO106" s="36"/>
      <c r="DEP106" s="38"/>
      <c r="DEQ106" s="38"/>
      <c r="DEW106" s="36"/>
      <c r="DEX106" s="38"/>
      <c r="DEY106" s="38"/>
      <c r="DFE106" s="36"/>
      <c r="DFF106" s="38"/>
      <c r="DFG106" s="38"/>
      <c r="DFM106" s="36"/>
      <c r="DFN106" s="38"/>
      <c r="DFO106" s="38"/>
      <c r="DFU106" s="36"/>
      <c r="DFV106" s="38"/>
      <c r="DFW106" s="38"/>
      <c r="DGC106" s="36"/>
      <c r="DGD106" s="38"/>
      <c r="DGE106" s="38"/>
      <c r="DGK106" s="36"/>
      <c r="DGL106" s="38"/>
      <c r="DGM106" s="38"/>
      <c r="DGS106" s="36"/>
      <c r="DGT106" s="38"/>
      <c r="DGU106" s="38"/>
      <c r="DHA106" s="36"/>
      <c r="DHB106" s="38"/>
      <c r="DHC106" s="38"/>
      <c r="DHI106" s="36"/>
      <c r="DHJ106" s="38"/>
      <c r="DHK106" s="38"/>
      <c r="DHQ106" s="36"/>
      <c r="DHR106" s="38"/>
      <c r="DHS106" s="38"/>
      <c r="DHY106" s="36"/>
      <c r="DHZ106" s="38"/>
      <c r="DIA106" s="38"/>
      <c r="DIG106" s="36"/>
      <c r="DIH106" s="38"/>
      <c r="DII106" s="38"/>
      <c r="DIO106" s="36"/>
      <c r="DIP106" s="38"/>
      <c r="DIQ106" s="38"/>
      <c r="DIW106" s="36"/>
      <c r="DIX106" s="38"/>
      <c r="DIY106" s="38"/>
      <c r="DJE106" s="36"/>
      <c r="DJF106" s="38"/>
      <c r="DJG106" s="38"/>
      <c r="DJM106" s="36"/>
      <c r="DJN106" s="38"/>
      <c r="DJO106" s="38"/>
      <c r="DJU106" s="36"/>
      <c r="DJV106" s="38"/>
      <c r="DJW106" s="38"/>
      <c r="DKC106" s="36"/>
      <c r="DKD106" s="38"/>
      <c r="DKE106" s="38"/>
      <c r="DKK106" s="36"/>
      <c r="DKL106" s="38"/>
      <c r="DKM106" s="38"/>
      <c r="DKS106" s="36"/>
      <c r="DKT106" s="38"/>
      <c r="DKU106" s="38"/>
      <c r="DLA106" s="36"/>
      <c r="DLB106" s="38"/>
      <c r="DLC106" s="38"/>
      <c r="DLI106" s="36"/>
      <c r="DLJ106" s="38"/>
      <c r="DLK106" s="38"/>
      <c r="DLQ106" s="36"/>
      <c r="DLR106" s="38"/>
      <c r="DLS106" s="38"/>
      <c r="DLY106" s="36"/>
      <c r="DLZ106" s="38"/>
      <c r="DMA106" s="38"/>
      <c r="DMG106" s="36"/>
      <c r="DMH106" s="38"/>
      <c r="DMI106" s="38"/>
      <c r="DMO106" s="36"/>
      <c r="DMP106" s="38"/>
      <c r="DMQ106" s="38"/>
      <c r="DMW106" s="36"/>
      <c r="DMX106" s="38"/>
      <c r="DMY106" s="38"/>
      <c r="DNE106" s="36"/>
      <c r="DNF106" s="38"/>
      <c r="DNG106" s="38"/>
      <c r="DNM106" s="36"/>
      <c r="DNN106" s="38"/>
      <c r="DNO106" s="38"/>
      <c r="DNU106" s="36"/>
      <c r="DNV106" s="38"/>
      <c r="DNW106" s="38"/>
      <c r="DOC106" s="36"/>
      <c r="DOD106" s="38"/>
      <c r="DOE106" s="38"/>
      <c r="DOK106" s="36"/>
      <c r="DOL106" s="38"/>
      <c r="DOM106" s="38"/>
      <c r="DOS106" s="36"/>
      <c r="DOT106" s="38"/>
      <c r="DOU106" s="38"/>
      <c r="DPA106" s="36"/>
      <c r="DPB106" s="38"/>
      <c r="DPC106" s="38"/>
      <c r="DPI106" s="36"/>
      <c r="DPJ106" s="38"/>
      <c r="DPK106" s="38"/>
      <c r="DPQ106" s="36"/>
      <c r="DPR106" s="38"/>
      <c r="DPS106" s="38"/>
      <c r="DPY106" s="36"/>
      <c r="DPZ106" s="38"/>
      <c r="DQA106" s="38"/>
      <c r="DQG106" s="36"/>
      <c r="DQH106" s="38"/>
      <c r="DQI106" s="38"/>
      <c r="DQO106" s="36"/>
      <c r="DQP106" s="38"/>
      <c r="DQQ106" s="38"/>
      <c r="DQW106" s="36"/>
      <c r="DQX106" s="38"/>
      <c r="DQY106" s="38"/>
      <c r="DRE106" s="36"/>
      <c r="DRF106" s="38"/>
      <c r="DRG106" s="38"/>
      <c r="DRM106" s="36"/>
      <c r="DRN106" s="38"/>
      <c r="DRO106" s="38"/>
      <c r="DRU106" s="36"/>
      <c r="DRV106" s="38"/>
      <c r="DRW106" s="38"/>
      <c r="DSC106" s="36"/>
      <c r="DSD106" s="38"/>
      <c r="DSE106" s="38"/>
      <c r="DSK106" s="36"/>
      <c r="DSL106" s="38"/>
      <c r="DSM106" s="38"/>
      <c r="DSS106" s="36"/>
      <c r="DST106" s="38"/>
      <c r="DSU106" s="38"/>
      <c r="DTA106" s="36"/>
      <c r="DTB106" s="38"/>
      <c r="DTC106" s="38"/>
      <c r="DTI106" s="36"/>
      <c r="DTJ106" s="38"/>
      <c r="DTK106" s="38"/>
      <c r="DTQ106" s="36"/>
      <c r="DTR106" s="38"/>
      <c r="DTS106" s="38"/>
      <c r="DTY106" s="36"/>
      <c r="DTZ106" s="38"/>
      <c r="DUA106" s="38"/>
      <c r="DUG106" s="36"/>
      <c r="DUH106" s="38"/>
      <c r="DUI106" s="38"/>
      <c r="DUO106" s="36"/>
      <c r="DUP106" s="38"/>
      <c r="DUQ106" s="38"/>
      <c r="DUW106" s="36"/>
      <c r="DUX106" s="38"/>
      <c r="DUY106" s="38"/>
      <c r="DVE106" s="36"/>
      <c r="DVF106" s="38"/>
      <c r="DVG106" s="38"/>
      <c r="DVM106" s="36"/>
      <c r="DVN106" s="38"/>
      <c r="DVO106" s="38"/>
      <c r="DVU106" s="36"/>
      <c r="DVV106" s="38"/>
      <c r="DVW106" s="38"/>
      <c r="DWC106" s="36"/>
      <c r="DWD106" s="38"/>
      <c r="DWE106" s="38"/>
      <c r="DWK106" s="36"/>
      <c r="DWL106" s="38"/>
      <c r="DWM106" s="38"/>
      <c r="DWS106" s="36"/>
      <c r="DWT106" s="38"/>
      <c r="DWU106" s="38"/>
      <c r="DXA106" s="36"/>
      <c r="DXB106" s="38"/>
      <c r="DXC106" s="38"/>
      <c r="DXI106" s="36"/>
      <c r="DXJ106" s="38"/>
      <c r="DXK106" s="38"/>
      <c r="DXQ106" s="36"/>
      <c r="DXR106" s="38"/>
      <c r="DXS106" s="38"/>
      <c r="DXY106" s="36"/>
      <c r="DXZ106" s="38"/>
      <c r="DYA106" s="38"/>
      <c r="DYG106" s="36"/>
      <c r="DYH106" s="38"/>
      <c r="DYI106" s="38"/>
      <c r="DYO106" s="36"/>
      <c r="DYP106" s="38"/>
      <c r="DYQ106" s="38"/>
      <c r="DYW106" s="36"/>
      <c r="DYX106" s="38"/>
      <c r="DYY106" s="38"/>
      <c r="DZE106" s="36"/>
      <c r="DZF106" s="38"/>
      <c r="DZG106" s="38"/>
      <c r="DZM106" s="36"/>
      <c r="DZN106" s="38"/>
      <c r="DZO106" s="38"/>
      <c r="DZU106" s="36"/>
      <c r="DZV106" s="38"/>
      <c r="DZW106" s="38"/>
      <c r="EAC106" s="36"/>
      <c r="EAD106" s="38"/>
      <c r="EAE106" s="38"/>
      <c r="EAK106" s="36"/>
      <c r="EAL106" s="38"/>
      <c r="EAM106" s="38"/>
      <c r="EAS106" s="36"/>
      <c r="EAT106" s="38"/>
      <c r="EAU106" s="38"/>
      <c r="EBA106" s="36"/>
      <c r="EBB106" s="38"/>
      <c r="EBC106" s="38"/>
      <c r="EBI106" s="36"/>
      <c r="EBJ106" s="38"/>
      <c r="EBK106" s="38"/>
      <c r="EBQ106" s="36"/>
      <c r="EBR106" s="38"/>
      <c r="EBS106" s="38"/>
      <c r="EBY106" s="36"/>
      <c r="EBZ106" s="38"/>
      <c r="ECA106" s="38"/>
      <c r="ECG106" s="36"/>
      <c r="ECH106" s="38"/>
      <c r="ECI106" s="38"/>
      <c r="ECO106" s="36"/>
      <c r="ECP106" s="38"/>
      <c r="ECQ106" s="38"/>
      <c r="ECW106" s="36"/>
      <c r="ECX106" s="38"/>
      <c r="ECY106" s="38"/>
      <c r="EDE106" s="36"/>
      <c r="EDF106" s="38"/>
      <c r="EDG106" s="38"/>
      <c r="EDM106" s="36"/>
      <c r="EDN106" s="38"/>
      <c r="EDO106" s="38"/>
      <c r="EDU106" s="36"/>
      <c r="EDV106" s="38"/>
      <c r="EDW106" s="38"/>
      <c r="EEC106" s="36"/>
      <c r="EED106" s="38"/>
      <c r="EEE106" s="38"/>
      <c r="EEK106" s="36"/>
      <c r="EEL106" s="38"/>
      <c r="EEM106" s="38"/>
      <c r="EES106" s="36"/>
      <c r="EET106" s="38"/>
      <c r="EEU106" s="38"/>
      <c r="EFA106" s="36"/>
      <c r="EFB106" s="38"/>
      <c r="EFC106" s="38"/>
      <c r="EFI106" s="36"/>
      <c r="EFJ106" s="38"/>
      <c r="EFK106" s="38"/>
      <c r="EFQ106" s="36"/>
      <c r="EFR106" s="38"/>
      <c r="EFS106" s="38"/>
      <c r="EFY106" s="36"/>
      <c r="EFZ106" s="38"/>
      <c r="EGA106" s="38"/>
      <c r="EGG106" s="36"/>
      <c r="EGH106" s="38"/>
      <c r="EGI106" s="38"/>
      <c r="EGO106" s="36"/>
      <c r="EGP106" s="38"/>
      <c r="EGQ106" s="38"/>
      <c r="EGW106" s="36"/>
      <c r="EGX106" s="38"/>
      <c r="EGY106" s="38"/>
      <c r="EHE106" s="36"/>
      <c r="EHF106" s="38"/>
      <c r="EHG106" s="38"/>
      <c r="EHM106" s="36"/>
      <c r="EHN106" s="38"/>
      <c r="EHO106" s="38"/>
      <c r="EHU106" s="36"/>
      <c r="EHV106" s="38"/>
      <c r="EHW106" s="38"/>
      <c r="EIC106" s="36"/>
      <c r="EID106" s="38"/>
      <c r="EIE106" s="38"/>
      <c r="EIK106" s="36"/>
      <c r="EIL106" s="38"/>
      <c r="EIM106" s="38"/>
      <c r="EIS106" s="36"/>
      <c r="EIT106" s="38"/>
      <c r="EIU106" s="38"/>
      <c r="EJA106" s="36"/>
      <c r="EJB106" s="38"/>
      <c r="EJC106" s="38"/>
      <c r="EJI106" s="36"/>
      <c r="EJJ106" s="38"/>
      <c r="EJK106" s="38"/>
      <c r="EJQ106" s="36"/>
      <c r="EJR106" s="38"/>
      <c r="EJS106" s="38"/>
      <c r="EJY106" s="36"/>
      <c r="EJZ106" s="38"/>
      <c r="EKA106" s="38"/>
      <c r="EKG106" s="36"/>
      <c r="EKH106" s="38"/>
      <c r="EKI106" s="38"/>
      <c r="EKO106" s="36"/>
      <c r="EKP106" s="38"/>
      <c r="EKQ106" s="38"/>
      <c r="EKW106" s="36"/>
      <c r="EKX106" s="38"/>
      <c r="EKY106" s="38"/>
      <c r="ELE106" s="36"/>
      <c r="ELF106" s="38"/>
      <c r="ELG106" s="38"/>
      <c r="ELM106" s="36"/>
      <c r="ELN106" s="38"/>
      <c r="ELO106" s="38"/>
      <c r="ELU106" s="36"/>
      <c r="ELV106" s="38"/>
      <c r="ELW106" s="38"/>
      <c r="EMC106" s="36"/>
      <c r="EMD106" s="38"/>
      <c r="EME106" s="38"/>
      <c r="EMK106" s="36"/>
      <c r="EML106" s="38"/>
      <c r="EMM106" s="38"/>
      <c r="EMS106" s="36"/>
      <c r="EMT106" s="38"/>
      <c r="EMU106" s="38"/>
      <c r="ENA106" s="36"/>
      <c r="ENB106" s="38"/>
      <c r="ENC106" s="38"/>
      <c r="ENI106" s="36"/>
      <c r="ENJ106" s="38"/>
      <c r="ENK106" s="38"/>
      <c r="ENQ106" s="36"/>
      <c r="ENR106" s="38"/>
      <c r="ENS106" s="38"/>
      <c r="ENY106" s="36"/>
      <c r="ENZ106" s="38"/>
      <c r="EOA106" s="38"/>
      <c r="EOG106" s="36"/>
      <c r="EOH106" s="38"/>
      <c r="EOI106" s="38"/>
      <c r="EOO106" s="36"/>
      <c r="EOP106" s="38"/>
      <c r="EOQ106" s="38"/>
      <c r="EOW106" s="36"/>
      <c r="EOX106" s="38"/>
      <c r="EOY106" s="38"/>
      <c r="EPE106" s="36"/>
      <c r="EPF106" s="38"/>
      <c r="EPG106" s="38"/>
      <c r="EPM106" s="36"/>
      <c r="EPN106" s="38"/>
      <c r="EPO106" s="38"/>
      <c r="EPU106" s="36"/>
      <c r="EPV106" s="38"/>
      <c r="EPW106" s="38"/>
      <c r="EQC106" s="36"/>
      <c r="EQD106" s="38"/>
      <c r="EQE106" s="38"/>
      <c r="EQK106" s="36"/>
      <c r="EQL106" s="38"/>
      <c r="EQM106" s="38"/>
      <c r="EQS106" s="36"/>
      <c r="EQT106" s="38"/>
      <c r="EQU106" s="38"/>
      <c r="ERA106" s="36"/>
      <c r="ERB106" s="38"/>
      <c r="ERC106" s="38"/>
      <c r="ERI106" s="36"/>
      <c r="ERJ106" s="38"/>
      <c r="ERK106" s="38"/>
      <c r="ERQ106" s="36"/>
      <c r="ERR106" s="38"/>
      <c r="ERS106" s="38"/>
      <c r="ERY106" s="36"/>
      <c r="ERZ106" s="38"/>
      <c r="ESA106" s="38"/>
      <c r="ESG106" s="36"/>
      <c r="ESH106" s="38"/>
      <c r="ESI106" s="38"/>
      <c r="ESO106" s="36"/>
      <c r="ESP106" s="38"/>
      <c r="ESQ106" s="38"/>
      <c r="ESW106" s="36"/>
      <c r="ESX106" s="38"/>
      <c r="ESY106" s="38"/>
      <c r="ETE106" s="36"/>
      <c r="ETF106" s="38"/>
      <c r="ETG106" s="38"/>
      <c r="ETM106" s="36"/>
      <c r="ETN106" s="38"/>
      <c r="ETO106" s="38"/>
      <c r="ETU106" s="36"/>
      <c r="ETV106" s="38"/>
      <c r="ETW106" s="38"/>
      <c r="EUC106" s="36"/>
      <c r="EUD106" s="38"/>
      <c r="EUE106" s="38"/>
      <c r="EUK106" s="36"/>
      <c r="EUL106" s="38"/>
      <c r="EUM106" s="38"/>
      <c r="EUS106" s="36"/>
      <c r="EUT106" s="38"/>
      <c r="EUU106" s="38"/>
      <c r="EVA106" s="36"/>
      <c r="EVB106" s="38"/>
      <c r="EVC106" s="38"/>
      <c r="EVI106" s="36"/>
      <c r="EVJ106" s="38"/>
      <c r="EVK106" s="38"/>
      <c r="EVQ106" s="36"/>
      <c r="EVR106" s="38"/>
      <c r="EVS106" s="38"/>
      <c r="EVY106" s="36"/>
      <c r="EVZ106" s="38"/>
      <c r="EWA106" s="38"/>
      <c r="EWG106" s="36"/>
      <c r="EWH106" s="38"/>
      <c r="EWI106" s="38"/>
      <c r="EWO106" s="36"/>
      <c r="EWP106" s="38"/>
      <c r="EWQ106" s="38"/>
      <c r="EWW106" s="36"/>
      <c r="EWX106" s="38"/>
      <c r="EWY106" s="38"/>
      <c r="EXE106" s="36"/>
      <c r="EXF106" s="38"/>
      <c r="EXG106" s="38"/>
      <c r="EXM106" s="36"/>
      <c r="EXN106" s="38"/>
      <c r="EXO106" s="38"/>
      <c r="EXU106" s="36"/>
      <c r="EXV106" s="38"/>
      <c r="EXW106" s="38"/>
      <c r="EYC106" s="36"/>
      <c r="EYD106" s="38"/>
      <c r="EYE106" s="38"/>
      <c r="EYK106" s="36"/>
      <c r="EYL106" s="38"/>
      <c r="EYM106" s="38"/>
      <c r="EYS106" s="36"/>
      <c r="EYT106" s="38"/>
      <c r="EYU106" s="38"/>
      <c r="EZA106" s="36"/>
      <c r="EZB106" s="38"/>
      <c r="EZC106" s="38"/>
      <c r="EZI106" s="36"/>
      <c r="EZJ106" s="38"/>
      <c r="EZK106" s="38"/>
      <c r="EZQ106" s="36"/>
      <c r="EZR106" s="38"/>
      <c r="EZS106" s="38"/>
      <c r="EZY106" s="36"/>
      <c r="EZZ106" s="38"/>
      <c r="FAA106" s="38"/>
      <c r="FAG106" s="36"/>
      <c r="FAH106" s="38"/>
      <c r="FAI106" s="38"/>
      <c r="FAO106" s="36"/>
      <c r="FAP106" s="38"/>
      <c r="FAQ106" s="38"/>
      <c r="FAW106" s="36"/>
      <c r="FAX106" s="38"/>
      <c r="FAY106" s="38"/>
      <c r="FBE106" s="36"/>
      <c r="FBF106" s="38"/>
      <c r="FBG106" s="38"/>
      <c r="FBM106" s="36"/>
      <c r="FBN106" s="38"/>
      <c r="FBO106" s="38"/>
      <c r="FBU106" s="36"/>
      <c r="FBV106" s="38"/>
      <c r="FBW106" s="38"/>
      <c r="FCC106" s="36"/>
      <c r="FCD106" s="38"/>
      <c r="FCE106" s="38"/>
      <c r="FCK106" s="36"/>
      <c r="FCL106" s="38"/>
      <c r="FCM106" s="38"/>
      <c r="FCS106" s="36"/>
      <c r="FCT106" s="38"/>
      <c r="FCU106" s="38"/>
      <c r="FDA106" s="36"/>
      <c r="FDB106" s="38"/>
      <c r="FDC106" s="38"/>
      <c r="FDI106" s="36"/>
      <c r="FDJ106" s="38"/>
      <c r="FDK106" s="38"/>
      <c r="FDQ106" s="36"/>
      <c r="FDR106" s="38"/>
      <c r="FDS106" s="38"/>
      <c r="FDY106" s="36"/>
      <c r="FDZ106" s="38"/>
      <c r="FEA106" s="38"/>
      <c r="FEG106" s="36"/>
      <c r="FEH106" s="38"/>
      <c r="FEI106" s="38"/>
      <c r="FEO106" s="36"/>
      <c r="FEP106" s="38"/>
      <c r="FEQ106" s="38"/>
      <c r="FEW106" s="36"/>
      <c r="FEX106" s="38"/>
      <c r="FEY106" s="38"/>
      <c r="FFE106" s="36"/>
      <c r="FFF106" s="38"/>
      <c r="FFG106" s="38"/>
      <c r="FFM106" s="36"/>
      <c r="FFN106" s="38"/>
      <c r="FFO106" s="38"/>
      <c r="FFU106" s="36"/>
      <c r="FFV106" s="38"/>
      <c r="FFW106" s="38"/>
      <c r="FGC106" s="36"/>
      <c r="FGD106" s="38"/>
      <c r="FGE106" s="38"/>
      <c r="FGK106" s="36"/>
      <c r="FGL106" s="38"/>
      <c r="FGM106" s="38"/>
      <c r="FGS106" s="36"/>
      <c r="FGT106" s="38"/>
      <c r="FGU106" s="38"/>
      <c r="FHA106" s="36"/>
      <c r="FHB106" s="38"/>
      <c r="FHC106" s="38"/>
      <c r="FHI106" s="36"/>
      <c r="FHJ106" s="38"/>
      <c r="FHK106" s="38"/>
      <c r="FHQ106" s="36"/>
      <c r="FHR106" s="38"/>
      <c r="FHS106" s="38"/>
      <c r="FHY106" s="36"/>
      <c r="FHZ106" s="38"/>
      <c r="FIA106" s="38"/>
      <c r="FIG106" s="36"/>
      <c r="FIH106" s="38"/>
      <c r="FII106" s="38"/>
      <c r="FIO106" s="36"/>
      <c r="FIP106" s="38"/>
      <c r="FIQ106" s="38"/>
      <c r="FIW106" s="36"/>
      <c r="FIX106" s="38"/>
      <c r="FIY106" s="38"/>
      <c r="FJE106" s="36"/>
      <c r="FJF106" s="38"/>
      <c r="FJG106" s="38"/>
      <c r="FJM106" s="36"/>
      <c r="FJN106" s="38"/>
      <c r="FJO106" s="38"/>
      <c r="FJU106" s="36"/>
      <c r="FJV106" s="38"/>
      <c r="FJW106" s="38"/>
      <c r="FKC106" s="36"/>
      <c r="FKD106" s="38"/>
      <c r="FKE106" s="38"/>
      <c r="FKK106" s="36"/>
      <c r="FKL106" s="38"/>
      <c r="FKM106" s="38"/>
      <c r="FKS106" s="36"/>
      <c r="FKT106" s="38"/>
      <c r="FKU106" s="38"/>
      <c r="FLA106" s="36"/>
      <c r="FLB106" s="38"/>
      <c r="FLC106" s="38"/>
      <c r="FLI106" s="36"/>
      <c r="FLJ106" s="38"/>
      <c r="FLK106" s="38"/>
      <c r="FLQ106" s="36"/>
      <c r="FLR106" s="38"/>
      <c r="FLS106" s="38"/>
      <c r="FLY106" s="36"/>
      <c r="FLZ106" s="38"/>
      <c r="FMA106" s="38"/>
      <c r="FMG106" s="36"/>
      <c r="FMH106" s="38"/>
      <c r="FMI106" s="38"/>
      <c r="FMO106" s="36"/>
      <c r="FMP106" s="38"/>
      <c r="FMQ106" s="38"/>
      <c r="FMW106" s="36"/>
      <c r="FMX106" s="38"/>
      <c r="FMY106" s="38"/>
      <c r="FNE106" s="36"/>
      <c r="FNF106" s="38"/>
      <c r="FNG106" s="38"/>
      <c r="FNM106" s="36"/>
      <c r="FNN106" s="38"/>
      <c r="FNO106" s="38"/>
      <c r="FNU106" s="36"/>
      <c r="FNV106" s="38"/>
      <c r="FNW106" s="38"/>
      <c r="FOC106" s="36"/>
      <c r="FOD106" s="38"/>
      <c r="FOE106" s="38"/>
      <c r="FOK106" s="36"/>
      <c r="FOL106" s="38"/>
      <c r="FOM106" s="38"/>
      <c r="FOS106" s="36"/>
      <c r="FOT106" s="38"/>
      <c r="FOU106" s="38"/>
      <c r="FPA106" s="36"/>
      <c r="FPB106" s="38"/>
      <c r="FPC106" s="38"/>
      <c r="FPI106" s="36"/>
      <c r="FPJ106" s="38"/>
      <c r="FPK106" s="38"/>
      <c r="FPQ106" s="36"/>
      <c r="FPR106" s="38"/>
      <c r="FPS106" s="38"/>
      <c r="FPY106" s="36"/>
      <c r="FPZ106" s="38"/>
      <c r="FQA106" s="38"/>
      <c r="FQG106" s="36"/>
      <c r="FQH106" s="38"/>
      <c r="FQI106" s="38"/>
      <c r="FQO106" s="36"/>
      <c r="FQP106" s="38"/>
      <c r="FQQ106" s="38"/>
      <c r="FQW106" s="36"/>
      <c r="FQX106" s="38"/>
      <c r="FQY106" s="38"/>
      <c r="FRE106" s="36"/>
      <c r="FRF106" s="38"/>
      <c r="FRG106" s="38"/>
      <c r="FRM106" s="36"/>
      <c r="FRN106" s="38"/>
      <c r="FRO106" s="38"/>
      <c r="FRU106" s="36"/>
      <c r="FRV106" s="38"/>
      <c r="FRW106" s="38"/>
      <c r="FSC106" s="36"/>
      <c r="FSD106" s="38"/>
      <c r="FSE106" s="38"/>
      <c r="FSK106" s="36"/>
      <c r="FSL106" s="38"/>
      <c r="FSM106" s="38"/>
      <c r="FSS106" s="36"/>
      <c r="FST106" s="38"/>
      <c r="FSU106" s="38"/>
      <c r="FTA106" s="36"/>
      <c r="FTB106" s="38"/>
      <c r="FTC106" s="38"/>
      <c r="FTI106" s="36"/>
      <c r="FTJ106" s="38"/>
      <c r="FTK106" s="38"/>
      <c r="FTQ106" s="36"/>
      <c r="FTR106" s="38"/>
      <c r="FTS106" s="38"/>
      <c r="FTY106" s="36"/>
      <c r="FTZ106" s="38"/>
      <c r="FUA106" s="38"/>
      <c r="FUG106" s="36"/>
      <c r="FUH106" s="38"/>
      <c r="FUI106" s="38"/>
      <c r="FUO106" s="36"/>
      <c r="FUP106" s="38"/>
      <c r="FUQ106" s="38"/>
      <c r="FUW106" s="36"/>
      <c r="FUX106" s="38"/>
      <c r="FUY106" s="38"/>
      <c r="FVE106" s="36"/>
      <c r="FVF106" s="38"/>
      <c r="FVG106" s="38"/>
      <c r="FVM106" s="36"/>
      <c r="FVN106" s="38"/>
      <c r="FVO106" s="38"/>
      <c r="FVU106" s="36"/>
      <c r="FVV106" s="38"/>
      <c r="FVW106" s="38"/>
      <c r="FWC106" s="36"/>
      <c r="FWD106" s="38"/>
      <c r="FWE106" s="38"/>
      <c r="FWK106" s="36"/>
      <c r="FWL106" s="38"/>
      <c r="FWM106" s="38"/>
      <c r="FWS106" s="36"/>
      <c r="FWT106" s="38"/>
      <c r="FWU106" s="38"/>
      <c r="FXA106" s="36"/>
      <c r="FXB106" s="38"/>
      <c r="FXC106" s="38"/>
      <c r="FXI106" s="36"/>
      <c r="FXJ106" s="38"/>
      <c r="FXK106" s="38"/>
      <c r="FXQ106" s="36"/>
      <c r="FXR106" s="38"/>
      <c r="FXS106" s="38"/>
      <c r="FXY106" s="36"/>
      <c r="FXZ106" s="38"/>
      <c r="FYA106" s="38"/>
      <c r="FYG106" s="36"/>
      <c r="FYH106" s="38"/>
      <c r="FYI106" s="38"/>
      <c r="FYO106" s="36"/>
      <c r="FYP106" s="38"/>
      <c r="FYQ106" s="38"/>
      <c r="FYW106" s="36"/>
      <c r="FYX106" s="38"/>
      <c r="FYY106" s="38"/>
      <c r="FZE106" s="36"/>
      <c r="FZF106" s="38"/>
      <c r="FZG106" s="38"/>
      <c r="FZM106" s="36"/>
      <c r="FZN106" s="38"/>
      <c r="FZO106" s="38"/>
      <c r="FZU106" s="36"/>
      <c r="FZV106" s="38"/>
      <c r="FZW106" s="38"/>
      <c r="GAC106" s="36"/>
      <c r="GAD106" s="38"/>
      <c r="GAE106" s="38"/>
      <c r="GAK106" s="36"/>
      <c r="GAL106" s="38"/>
      <c r="GAM106" s="38"/>
      <c r="GAS106" s="36"/>
      <c r="GAT106" s="38"/>
      <c r="GAU106" s="38"/>
      <c r="GBA106" s="36"/>
      <c r="GBB106" s="38"/>
      <c r="GBC106" s="38"/>
      <c r="GBI106" s="36"/>
      <c r="GBJ106" s="38"/>
      <c r="GBK106" s="38"/>
      <c r="GBQ106" s="36"/>
      <c r="GBR106" s="38"/>
      <c r="GBS106" s="38"/>
      <c r="GBY106" s="36"/>
      <c r="GBZ106" s="38"/>
      <c r="GCA106" s="38"/>
      <c r="GCG106" s="36"/>
      <c r="GCH106" s="38"/>
      <c r="GCI106" s="38"/>
      <c r="GCO106" s="36"/>
      <c r="GCP106" s="38"/>
      <c r="GCQ106" s="38"/>
      <c r="GCW106" s="36"/>
      <c r="GCX106" s="38"/>
      <c r="GCY106" s="38"/>
      <c r="GDE106" s="36"/>
      <c r="GDF106" s="38"/>
      <c r="GDG106" s="38"/>
      <c r="GDM106" s="36"/>
      <c r="GDN106" s="38"/>
      <c r="GDO106" s="38"/>
      <c r="GDU106" s="36"/>
      <c r="GDV106" s="38"/>
      <c r="GDW106" s="38"/>
      <c r="GEC106" s="36"/>
      <c r="GED106" s="38"/>
      <c r="GEE106" s="38"/>
      <c r="GEK106" s="36"/>
      <c r="GEL106" s="38"/>
      <c r="GEM106" s="38"/>
      <c r="GES106" s="36"/>
      <c r="GET106" s="38"/>
      <c r="GEU106" s="38"/>
      <c r="GFA106" s="36"/>
      <c r="GFB106" s="38"/>
      <c r="GFC106" s="38"/>
      <c r="GFI106" s="36"/>
      <c r="GFJ106" s="38"/>
      <c r="GFK106" s="38"/>
      <c r="GFQ106" s="36"/>
      <c r="GFR106" s="38"/>
      <c r="GFS106" s="38"/>
      <c r="GFY106" s="36"/>
      <c r="GFZ106" s="38"/>
      <c r="GGA106" s="38"/>
      <c r="GGG106" s="36"/>
      <c r="GGH106" s="38"/>
      <c r="GGI106" s="38"/>
      <c r="GGO106" s="36"/>
      <c r="GGP106" s="38"/>
      <c r="GGQ106" s="38"/>
      <c r="GGW106" s="36"/>
      <c r="GGX106" s="38"/>
      <c r="GGY106" s="38"/>
      <c r="GHE106" s="36"/>
      <c r="GHF106" s="38"/>
      <c r="GHG106" s="38"/>
      <c r="GHM106" s="36"/>
      <c r="GHN106" s="38"/>
      <c r="GHO106" s="38"/>
      <c r="GHU106" s="36"/>
      <c r="GHV106" s="38"/>
      <c r="GHW106" s="38"/>
      <c r="GIC106" s="36"/>
      <c r="GID106" s="38"/>
      <c r="GIE106" s="38"/>
      <c r="GIK106" s="36"/>
      <c r="GIL106" s="38"/>
      <c r="GIM106" s="38"/>
      <c r="GIS106" s="36"/>
      <c r="GIT106" s="38"/>
      <c r="GIU106" s="38"/>
      <c r="GJA106" s="36"/>
      <c r="GJB106" s="38"/>
      <c r="GJC106" s="38"/>
      <c r="GJI106" s="36"/>
      <c r="GJJ106" s="38"/>
      <c r="GJK106" s="38"/>
      <c r="GJQ106" s="36"/>
      <c r="GJR106" s="38"/>
      <c r="GJS106" s="38"/>
      <c r="GJY106" s="36"/>
      <c r="GJZ106" s="38"/>
      <c r="GKA106" s="38"/>
      <c r="GKG106" s="36"/>
      <c r="GKH106" s="38"/>
      <c r="GKI106" s="38"/>
      <c r="GKO106" s="36"/>
      <c r="GKP106" s="38"/>
      <c r="GKQ106" s="38"/>
      <c r="GKW106" s="36"/>
      <c r="GKX106" s="38"/>
      <c r="GKY106" s="38"/>
      <c r="GLE106" s="36"/>
      <c r="GLF106" s="38"/>
      <c r="GLG106" s="38"/>
      <c r="GLM106" s="36"/>
      <c r="GLN106" s="38"/>
      <c r="GLO106" s="38"/>
      <c r="GLU106" s="36"/>
      <c r="GLV106" s="38"/>
      <c r="GLW106" s="38"/>
      <c r="GMC106" s="36"/>
      <c r="GMD106" s="38"/>
      <c r="GME106" s="38"/>
      <c r="GMK106" s="36"/>
      <c r="GML106" s="38"/>
      <c r="GMM106" s="38"/>
      <c r="GMS106" s="36"/>
      <c r="GMT106" s="38"/>
      <c r="GMU106" s="38"/>
      <c r="GNA106" s="36"/>
      <c r="GNB106" s="38"/>
      <c r="GNC106" s="38"/>
      <c r="GNI106" s="36"/>
      <c r="GNJ106" s="38"/>
      <c r="GNK106" s="38"/>
      <c r="GNQ106" s="36"/>
      <c r="GNR106" s="38"/>
      <c r="GNS106" s="38"/>
      <c r="GNY106" s="36"/>
      <c r="GNZ106" s="38"/>
      <c r="GOA106" s="38"/>
      <c r="GOG106" s="36"/>
      <c r="GOH106" s="38"/>
      <c r="GOI106" s="38"/>
      <c r="GOO106" s="36"/>
      <c r="GOP106" s="38"/>
      <c r="GOQ106" s="38"/>
      <c r="GOW106" s="36"/>
      <c r="GOX106" s="38"/>
      <c r="GOY106" s="38"/>
      <c r="GPE106" s="36"/>
      <c r="GPF106" s="38"/>
      <c r="GPG106" s="38"/>
      <c r="GPM106" s="36"/>
      <c r="GPN106" s="38"/>
      <c r="GPO106" s="38"/>
      <c r="GPU106" s="36"/>
      <c r="GPV106" s="38"/>
      <c r="GPW106" s="38"/>
      <c r="GQC106" s="36"/>
      <c r="GQD106" s="38"/>
      <c r="GQE106" s="38"/>
      <c r="GQK106" s="36"/>
      <c r="GQL106" s="38"/>
      <c r="GQM106" s="38"/>
      <c r="GQS106" s="36"/>
      <c r="GQT106" s="38"/>
      <c r="GQU106" s="38"/>
      <c r="GRA106" s="36"/>
      <c r="GRB106" s="38"/>
      <c r="GRC106" s="38"/>
      <c r="GRI106" s="36"/>
      <c r="GRJ106" s="38"/>
      <c r="GRK106" s="38"/>
      <c r="GRQ106" s="36"/>
      <c r="GRR106" s="38"/>
      <c r="GRS106" s="38"/>
      <c r="GRY106" s="36"/>
      <c r="GRZ106" s="38"/>
      <c r="GSA106" s="38"/>
      <c r="GSG106" s="36"/>
      <c r="GSH106" s="38"/>
      <c r="GSI106" s="38"/>
      <c r="GSO106" s="36"/>
      <c r="GSP106" s="38"/>
      <c r="GSQ106" s="38"/>
      <c r="GSW106" s="36"/>
      <c r="GSX106" s="38"/>
      <c r="GSY106" s="38"/>
      <c r="GTE106" s="36"/>
      <c r="GTF106" s="38"/>
      <c r="GTG106" s="38"/>
      <c r="GTM106" s="36"/>
      <c r="GTN106" s="38"/>
      <c r="GTO106" s="38"/>
      <c r="GTU106" s="36"/>
      <c r="GTV106" s="38"/>
      <c r="GTW106" s="38"/>
      <c r="GUC106" s="36"/>
      <c r="GUD106" s="38"/>
      <c r="GUE106" s="38"/>
      <c r="GUK106" s="36"/>
      <c r="GUL106" s="38"/>
      <c r="GUM106" s="38"/>
      <c r="GUS106" s="36"/>
      <c r="GUT106" s="38"/>
      <c r="GUU106" s="38"/>
      <c r="GVA106" s="36"/>
      <c r="GVB106" s="38"/>
      <c r="GVC106" s="38"/>
      <c r="GVI106" s="36"/>
      <c r="GVJ106" s="38"/>
      <c r="GVK106" s="38"/>
      <c r="GVQ106" s="36"/>
      <c r="GVR106" s="38"/>
      <c r="GVS106" s="38"/>
      <c r="GVY106" s="36"/>
      <c r="GVZ106" s="38"/>
      <c r="GWA106" s="38"/>
      <c r="GWG106" s="36"/>
      <c r="GWH106" s="38"/>
      <c r="GWI106" s="38"/>
      <c r="GWO106" s="36"/>
      <c r="GWP106" s="38"/>
      <c r="GWQ106" s="38"/>
      <c r="GWW106" s="36"/>
      <c r="GWX106" s="38"/>
      <c r="GWY106" s="38"/>
      <c r="GXE106" s="36"/>
      <c r="GXF106" s="38"/>
      <c r="GXG106" s="38"/>
      <c r="GXM106" s="36"/>
      <c r="GXN106" s="38"/>
      <c r="GXO106" s="38"/>
      <c r="GXU106" s="36"/>
      <c r="GXV106" s="38"/>
      <c r="GXW106" s="38"/>
      <c r="GYC106" s="36"/>
      <c r="GYD106" s="38"/>
      <c r="GYE106" s="38"/>
      <c r="GYK106" s="36"/>
      <c r="GYL106" s="38"/>
      <c r="GYM106" s="38"/>
      <c r="GYS106" s="36"/>
      <c r="GYT106" s="38"/>
      <c r="GYU106" s="38"/>
      <c r="GZA106" s="36"/>
      <c r="GZB106" s="38"/>
      <c r="GZC106" s="38"/>
      <c r="GZI106" s="36"/>
      <c r="GZJ106" s="38"/>
      <c r="GZK106" s="38"/>
      <c r="GZQ106" s="36"/>
      <c r="GZR106" s="38"/>
      <c r="GZS106" s="38"/>
      <c r="GZY106" s="36"/>
      <c r="GZZ106" s="38"/>
      <c r="HAA106" s="38"/>
      <c r="HAG106" s="36"/>
      <c r="HAH106" s="38"/>
      <c r="HAI106" s="38"/>
      <c r="HAO106" s="36"/>
      <c r="HAP106" s="38"/>
      <c r="HAQ106" s="38"/>
      <c r="HAW106" s="36"/>
      <c r="HAX106" s="38"/>
      <c r="HAY106" s="38"/>
      <c r="HBE106" s="36"/>
      <c r="HBF106" s="38"/>
      <c r="HBG106" s="38"/>
      <c r="HBM106" s="36"/>
      <c r="HBN106" s="38"/>
      <c r="HBO106" s="38"/>
      <c r="HBU106" s="36"/>
      <c r="HBV106" s="38"/>
      <c r="HBW106" s="38"/>
      <c r="HCC106" s="36"/>
      <c r="HCD106" s="38"/>
      <c r="HCE106" s="38"/>
      <c r="HCK106" s="36"/>
      <c r="HCL106" s="38"/>
      <c r="HCM106" s="38"/>
      <c r="HCS106" s="36"/>
      <c r="HCT106" s="38"/>
      <c r="HCU106" s="38"/>
      <c r="HDA106" s="36"/>
      <c r="HDB106" s="38"/>
      <c r="HDC106" s="38"/>
      <c r="HDI106" s="36"/>
      <c r="HDJ106" s="38"/>
      <c r="HDK106" s="38"/>
      <c r="HDQ106" s="36"/>
      <c r="HDR106" s="38"/>
      <c r="HDS106" s="38"/>
      <c r="HDY106" s="36"/>
      <c r="HDZ106" s="38"/>
      <c r="HEA106" s="38"/>
      <c r="HEG106" s="36"/>
      <c r="HEH106" s="38"/>
      <c r="HEI106" s="38"/>
      <c r="HEO106" s="36"/>
      <c r="HEP106" s="38"/>
      <c r="HEQ106" s="38"/>
      <c r="HEW106" s="36"/>
      <c r="HEX106" s="38"/>
      <c r="HEY106" s="38"/>
      <c r="HFE106" s="36"/>
      <c r="HFF106" s="38"/>
      <c r="HFG106" s="38"/>
      <c r="HFM106" s="36"/>
      <c r="HFN106" s="38"/>
      <c r="HFO106" s="38"/>
      <c r="HFU106" s="36"/>
      <c r="HFV106" s="38"/>
      <c r="HFW106" s="38"/>
      <c r="HGC106" s="36"/>
      <c r="HGD106" s="38"/>
      <c r="HGE106" s="38"/>
      <c r="HGK106" s="36"/>
      <c r="HGL106" s="38"/>
      <c r="HGM106" s="38"/>
      <c r="HGS106" s="36"/>
      <c r="HGT106" s="38"/>
      <c r="HGU106" s="38"/>
      <c r="HHA106" s="36"/>
      <c r="HHB106" s="38"/>
      <c r="HHC106" s="38"/>
      <c r="HHI106" s="36"/>
      <c r="HHJ106" s="38"/>
      <c r="HHK106" s="38"/>
      <c r="HHQ106" s="36"/>
      <c r="HHR106" s="38"/>
      <c r="HHS106" s="38"/>
      <c r="HHY106" s="36"/>
      <c r="HHZ106" s="38"/>
      <c r="HIA106" s="38"/>
      <c r="HIG106" s="36"/>
      <c r="HIH106" s="38"/>
      <c r="HII106" s="38"/>
      <c r="HIO106" s="36"/>
      <c r="HIP106" s="38"/>
      <c r="HIQ106" s="38"/>
      <c r="HIW106" s="36"/>
      <c r="HIX106" s="38"/>
      <c r="HIY106" s="38"/>
      <c r="HJE106" s="36"/>
      <c r="HJF106" s="38"/>
      <c r="HJG106" s="38"/>
      <c r="HJM106" s="36"/>
      <c r="HJN106" s="38"/>
      <c r="HJO106" s="38"/>
      <c r="HJU106" s="36"/>
      <c r="HJV106" s="38"/>
      <c r="HJW106" s="38"/>
      <c r="HKC106" s="36"/>
      <c r="HKD106" s="38"/>
      <c r="HKE106" s="38"/>
      <c r="HKK106" s="36"/>
      <c r="HKL106" s="38"/>
      <c r="HKM106" s="38"/>
      <c r="HKS106" s="36"/>
      <c r="HKT106" s="38"/>
      <c r="HKU106" s="38"/>
      <c r="HLA106" s="36"/>
      <c r="HLB106" s="38"/>
      <c r="HLC106" s="38"/>
      <c r="HLI106" s="36"/>
      <c r="HLJ106" s="38"/>
      <c r="HLK106" s="38"/>
      <c r="HLQ106" s="36"/>
      <c r="HLR106" s="38"/>
      <c r="HLS106" s="38"/>
      <c r="HLY106" s="36"/>
      <c r="HLZ106" s="38"/>
      <c r="HMA106" s="38"/>
      <c r="HMG106" s="36"/>
      <c r="HMH106" s="38"/>
      <c r="HMI106" s="38"/>
      <c r="HMO106" s="36"/>
      <c r="HMP106" s="38"/>
      <c r="HMQ106" s="38"/>
      <c r="HMW106" s="36"/>
      <c r="HMX106" s="38"/>
      <c r="HMY106" s="38"/>
      <c r="HNE106" s="36"/>
      <c r="HNF106" s="38"/>
      <c r="HNG106" s="38"/>
      <c r="HNM106" s="36"/>
      <c r="HNN106" s="38"/>
      <c r="HNO106" s="38"/>
      <c r="HNU106" s="36"/>
      <c r="HNV106" s="38"/>
      <c r="HNW106" s="38"/>
      <c r="HOC106" s="36"/>
      <c r="HOD106" s="38"/>
      <c r="HOE106" s="38"/>
      <c r="HOK106" s="36"/>
      <c r="HOL106" s="38"/>
      <c r="HOM106" s="38"/>
      <c r="HOS106" s="36"/>
      <c r="HOT106" s="38"/>
      <c r="HOU106" s="38"/>
      <c r="HPA106" s="36"/>
      <c r="HPB106" s="38"/>
      <c r="HPC106" s="38"/>
      <c r="HPI106" s="36"/>
      <c r="HPJ106" s="38"/>
      <c r="HPK106" s="38"/>
      <c r="HPQ106" s="36"/>
      <c r="HPR106" s="38"/>
      <c r="HPS106" s="38"/>
      <c r="HPY106" s="36"/>
      <c r="HPZ106" s="38"/>
      <c r="HQA106" s="38"/>
      <c r="HQG106" s="36"/>
      <c r="HQH106" s="38"/>
      <c r="HQI106" s="38"/>
      <c r="HQO106" s="36"/>
      <c r="HQP106" s="38"/>
      <c r="HQQ106" s="38"/>
      <c r="HQW106" s="36"/>
      <c r="HQX106" s="38"/>
      <c r="HQY106" s="38"/>
      <c r="HRE106" s="36"/>
      <c r="HRF106" s="38"/>
      <c r="HRG106" s="38"/>
      <c r="HRM106" s="36"/>
      <c r="HRN106" s="38"/>
      <c r="HRO106" s="38"/>
      <c r="HRU106" s="36"/>
      <c r="HRV106" s="38"/>
      <c r="HRW106" s="38"/>
      <c r="HSC106" s="36"/>
      <c r="HSD106" s="38"/>
      <c r="HSE106" s="38"/>
      <c r="HSK106" s="36"/>
      <c r="HSL106" s="38"/>
      <c r="HSM106" s="38"/>
      <c r="HSS106" s="36"/>
      <c r="HST106" s="38"/>
      <c r="HSU106" s="38"/>
      <c r="HTA106" s="36"/>
      <c r="HTB106" s="38"/>
      <c r="HTC106" s="38"/>
      <c r="HTI106" s="36"/>
      <c r="HTJ106" s="38"/>
      <c r="HTK106" s="38"/>
      <c r="HTQ106" s="36"/>
      <c r="HTR106" s="38"/>
      <c r="HTS106" s="38"/>
      <c r="HTY106" s="36"/>
      <c r="HTZ106" s="38"/>
      <c r="HUA106" s="38"/>
      <c r="HUG106" s="36"/>
      <c r="HUH106" s="38"/>
      <c r="HUI106" s="38"/>
      <c r="HUO106" s="36"/>
      <c r="HUP106" s="38"/>
      <c r="HUQ106" s="38"/>
      <c r="HUW106" s="36"/>
      <c r="HUX106" s="38"/>
      <c r="HUY106" s="38"/>
      <c r="HVE106" s="36"/>
      <c r="HVF106" s="38"/>
      <c r="HVG106" s="38"/>
      <c r="HVM106" s="36"/>
      <c r="HVN106" s="38"/>
      <c r="HVO106" s="38"/>
      <c r="HVU106" s="36"/>
      <c r="HVV106" s="38"/>
      <c r="HVW106" s="38"/>
      <c r="HWC106" s="36"/>
      <c r="HWD106" s="38"/>
      <c r="HWE106" s="38"/>
      <c r="HWK106" s="36"/>
      <c r="HWL106" s="38"/>
      <c r="HWM106" s="38"/>
      <c r="HWS106" s="36"/>
      <c r="HWT106" s="38"/>
      <c r="HWU106" s="38"/>
      <c r="HXA106" s="36"/>
      <c r="HXB106" s="38"/>
      <c r="HXC106" s="38"/>
      <c r="HXI106" s="36"/>
      <c r="HXJ106" s="38"/>
      <c r="HXK106" s="38"/>
      <c r="HXQ106" s="36"/>
      <c r="HXR106" s="38"/>
      <c r="HXS106" s="38"/>
      <c r="HXY106" s="36"/>
      <c r="HXZ106" s="38"/>
      <c r="HYA106" s="38"/>
      <c r="HYG106" s="36"/>
      <c r="HYH106" s="38"/>
      <c r="HYI106" s="38"/>
      <c r="HYO106" s="36"/>
      <c r="HYP106" s="38"/>
      <c r="HYQ106" s="38"/>
      <c r="HYW106" s="36"/>
      <c r="HYX106" s="38"/>
      <c r="HYY106" s="38"/>
      <c r="HZE106" s="36"/>
      <c r="HZF106" s="38"/>
      <c r="HZG106" s="38"/>
      <c r="HZM106" s="36"/>
      <c r="HZN106" s="38"/>
      <c r="HZO106" s="38"/>
      <c r="HZU106" s="36"/>
      <c r="HZV106" s="38"/>
      <c r="HZW106" s="38"/>
      <c r="IAC106" s="36"/>
      <c r="IAD106" s="38"/>
      <c r="IAE106" s="38"/>
      <c r="IAK106" s="36"/>
      <c r="IAL106" s="38"/>
      <c r="IAM106" s="38"/>
      <c r="IAS106" s="36"/>
      <c r="IAT106" s="38"/>
      <c r="IAU106" s="38"/>
      <c r="IBA106" s="36"/>
      <c r="IBB106" s="38"/>
      <c r="IBC106" s="38"/>
      <c r="IBI106" s="36"/>
      <c r="IBJ106" s="38"/>
      <c r="IBK106" s="38"/>
      <c r="IBQ106" s="36"/>
      <c r="IBR106" s="38"/>
      <c r="IBS106" s="38"/>
      <c r="IBY106" s="36"/>
      <c r="IBZ106" s="38"/>
      <c r="ICA106" s="38"/>
      <c r="ICG106" s="36"/>
      <c r="ICH106" s="38"/>
      <c r="ICI106" s="38"/>
      <c r="ICO106" s="36"/>
      <c r="ICP106" s="38"/>
      <c r="ICQ106" s="38"/>
      <c r="ICW106" s="36"/>
      <c r="ICX106" s="38"/>
      <c r="ICY106" s="38"/>
      <c r="IDE106" s="36"/>
      <c r="IDF106" s="38"/>
      <c r="IDG106" s="38"/>
      <c r="IDM106" s="36"/>
      <c r="IDN106" s="38"/>
      <c r="IDO106" s="38"/>
      <c r="IDU106" s="36"/>
      <c r="IDV106" s="38"/>
      <c r="IDW106" s="38"/>
      <c r="IEC106" s="36"/>
      <c r="IED106" s="38"/>
      <c r="IEE106" s="38"/>
      <c r="IEK106" s="36"/>
      <c r="IEL106" s="38"/>
      <c r="IEM106" s="38"/>
      <c r="IES106" s="36"/>
      <c r="IET106" s="38"/>
      <c r="IEU106" s="38"/>
      <c r="IFA106" s="36"/>
      <c r="IFB106" s="38"/>
      <c r="IFC106" s="38"/>
      <c r="IFI106" s="36"/>
      <c r="IFJ106" s="38"/>
      <c r="IFK106" s="38"/>
      <c r="IFQ106" s="36"/>
      <c r="IFR106" s="38"/>
      <c r="IFS106" s="38"/>
      <c r="IFY106" s="36"/>
      <c r="IFZ106" s="38"/>
      <c r="IGA106" s="38"/>
      <c r="IGG106" s="36"/>
      <c r="IGH106" s="38"/>
      <c r="IGI106" s="38"/>
      <c r="IGO106" s="36"/>
      <c r="IGP106" s="38"/>
      <c r="IGQ106" s="38"/>
      <c r="IGW106" s="36"/>
      <c r="IGX106" s="38"/>
      <c r="IGY106" s="38"/>
      <c r="IHE106" s="36"/>
      <c r="IHF106" s="38"/>
      <c r="IHG106" s="38"/>
      <c r="IHM106" s="36"/>
      <c r="IHN106" s="38"/>
      <c r="IHO106" s="38"/>
      <c r="IHU106" s="36"/>
      <c r="IHV106" s="38"/>
      <c r="IHW106" s="38"/>
      <c r="IIC106" s="36"/>
      <c r="IID106" s="38"/>
      <c r="IIE106" s="38"/>
      <c r="IIK106" s="36"/>
      <c r="IIL106" s="38"/>
      <c r="IIM106" s="38"/>
      <c r="IIS106" s="36"/>
      <c r="IIT106" s="38"/>
      <c r="IIU106" s="38"/>
      <c r="IJA106" s="36"/>
      <c r="IJB106" s="38"/>
      <c r="IJC106" s="38"/>
      <c r="IJI106" s="36"/>
      <c r="IJJ106" s="38"/>
      <c r="IJK106" s="38"/>
      <c r="IJQ106" s="36"/>
      <c r="IJR106" s="38"/>
      <c r="IJS106" s="38"/>
      <c r="IJY106" s="36"/>
      <c r="IJZ106" s="38"/>
      <c r="IKA106" s="38"/>
      <c r="IKG106" s="36"/>
      <c r="IKH106" s="38"/>
      <c r="IKI106" s="38"/>
      <c r="IKO106" s="36"/>
      <c r="IKP106" s="38"/>
      <c r="IKQ106" s="38"/>
      <c r="IKW106" s="36"/>
      <c r="IKX106" s="38"/>
      <c r="IKY106" s="38"/>
      <c r="ILE106" s="36"/>
      <c r="ILF106" s="38"/>
      <c r="ILG106" s="38"/>
      <c r="ILM106" s="36"/>
      <c r="ILN106" s="38"/>
      <c r="ILO106" s="38"/>
      <c r="ILU106" s="36"/>
      <c r="ILV106" s="38"/>
      <c r="ILW106" s="38"/>
      <c r="IMC106" s="36"/>
      <c r="IMD106" s="38"/>
      <c r="IME106" s="38"/>
      <c r="IMK106" s="36"/>
      <c r="IML106" s="38"/>
      <c r="IMM106" s="38"/>
      <c r="IMS106" s="36"/>
      <c r="IMT106" s="38"/>
      <c r="IMU106" s="38"/>
      <c r="INA106" s="36"/>
      <c r="INB106" s="38"/>
      <c r="INC106" s="38"/>
      <c r="INI106" s="36"/>
      <c r="INJ106" s="38"/>
      <c r="INK106" s="38"/>
      <c r="INQ106" s="36"/>
      <c r="INR106" s="38"/>
      <c r="INS106" s="38"/>
      <c r="INY106" s="36"/>
      <c r="INZ106" s="38"/>
      <c r="IOA106" s="38"/>
      <c r="IOG106" s="36"/>
      <c r="IOH106" s="38"/>
      <c r="IOI106" s="38"/>
      <c r="IOO106" s="36"/>
      <c r="IOP106" s="38"/>
      <c r="IOQ106" s="38"/>
      <c r="IOW106" s="36"/>
      <c r="IOX106" s="38"/>
      <c r="IOY106" s="38"/>
      <c r="IPE106" s="36"/>
      <c r="IPF106" s="38"/>
      <c r="IPG106" s="38"/>
      <c r="IPM106" s="36"/>
      <c r="IPN106" s="38"/>
      <c r="IPO106" s="38"/>
      <c r="IPU106" s="36"/>
      <c r="IPV106" s="38"/>
      <c r="IPW106" s="38"/>
      <c r="IQC106" s="36"/>
      <c r="IQD106" s="38"/>
      <c r="IQE106" s="38"/>
      <c r="IQK106" s="36"/>
      <c r="IQL106" s="38"/>
      <c r="IQM106" s="38"/>
      <c r="IQS106" s="36"/>
      <c r="IQT106" s="38"/>
      <c r="IQU106" s="38"/>
      <c r="IRA106" s="36"/>
      <c r="IRB106" s="38"/>
      <c r="IRC106" s="38"/>
      <c r="IRI106" s="36"/>
      <c r="IRJ106" s="38"/>
      <c r="IRK106" s="38"/>
      <c r="IRQ106" s="36"/>
      <c r="IRR106" s="38"/>
      <c r="IRS106" s="38"/>
      <c r="IRY106" s="36"/>
      <c r="IRZ106" s="38"/>
      <c r="ISA106" s="38"/>
      <c r="ISG106" s="36"/>
      <c r="ISH106" s="38"/>
      <c r="ISI106" s="38"/>
      <c r="ISO106" s="36"/>
      <c r="ISP106" s="38"/>
      <c r="ISQ106" s="38"/>
      <c r="ISW106" s="36"/>
      <c r="ISX106" s="38"/>
      <c r="ISY106" s="38"/>
      <c r="ITE106" s="36"/>
      <c r="ITF106" s="38"/>
      <c r="ITG106" s="38"/>
      <c r="ITM106" s="36"/>
      <c r="ITN106" s="38"/>
      <c r="ITO106" s="38"/>
      <c r="ITU106" s="36"/>
      <c r="ITV106" s="38"/>
      <c r="ITW106" s="38"/>
      <c r="IUC106" s="36"/>
      <c r="IUD106" s="38"/>
      <c r="IUE106" s="38"/>
      <c r="IUK106" s="36"/>
      <c r="IUL106" s="38"/>
      <c r="IUM106" s="38"/>
      <c r="IUS106" s="36"/>
      <c r="IUT106" s="38"/>
      <c r="IUU106" s="38"/>
      <c r="IVA106" s="36"/>
      <c r="IVB106" s="38"/>
      <c r="IVC106" s="38"/>
      <c r="IVI106" s="36"/>
      <c r="IVJ106" s="38"/>
      <c r="IVK106" s="38"/>
      <c r="IVQ106" s="36"/>
      <c r="IVR106" s="38"/>
      <c r="IVS106" s="38"/>
      <c r="IVY106" s="36"/>
      <c r="IVZ106" s="38"/>
      <c r="IWA106" s="38"/>
      <c r="IWG106" s="36"/>
      <c r="IWH106" s="38"/>
      <c r="IWI106" s="38"/>
      <c r="IWO106" s="36"/>
      <c r="IWP106" s="38"/>
      <c r="IWQ106" s="38"/>
      <c r="IWW106" s="36"/>
      <c r="IWX106" s="38"/>
      <c r="IWY106" s="38"/>
      <c r="IXE106" s="36"/>
      <c r="IXF106" s="38"/>
      <c r="IXG106" s="38"/>
      <c r="IXM106" s="36"/>
      <c r="IXN106" s="38"/>
      <c r="IXO106" s="38"/>
      <c r="IXU106" s="36"/>
      <c r="IXV106" s="38"/>
      <c r="IXW106" s="38"/>
      <c r="IYC106" s="36"/>
      <c r="IYD106" s="38"/>
      <c r="IYE106" s="38"/>
      <c r="IYK106" s="36"/>
      <c r="IYL106" s="38"/>
      <c r="IYM106" s="38"/>
      <c r="IYS106" s="36"/>
      <c r="IYT106" s="38"/>
      <c r="IYU106" s="38"/>
      <c r="IZA106" s="36"/>
      <c r="IZB106" s="38"/>
      <c r="IZC106" s="38"/>
      <c r="IZI106" s="36"/>
      <c r="IZJ106" s="38"/>
      <c r="IZK106" s="38"/>
      <c r="IZQ106" s="36"/>
      <c r="IZR106" s="38"/>
      <c r="IZS106" s="38"/>
      <c r="IZY106" s="36"/>
      <c r="IZZ106" s="38"/>
      <c r="JAA106" s="38"/>
      <c r="JAG106" s="36"/>
      <c r="JAH106" s="38"/>
      <c r="JAI106" s="38"/>
      <c r="JAO106" s="36"/>
      <c r="JAP106" s="38"/>
      <c r="JAQ106" s="38"/>
      <c r="JAW106" s="36"/>
      <c r="JAX106" s="38"/>
      <c r="JAY106" s="38"/>
      <c r="JBE106" s="36"/>
      <c r="JBF106" s="38"/>
      <c r="JBG106" s="38"/>
      <c r="JBM106" s="36"/>
      <c r="JBN106" s="38"/>
      <c r="JBO106" s="38"/>
      <c r="JBU106" s="36"/>
      <c r="JBV106" s="38"/>
      <c r="JBW106" s="38"/>
      <c r="JCC106" s="36"/>
      <c r="JCD106" s="38"/>
      <c r="JCE106" s="38"/>
      <c r="JCK106" s="36"/>
      <c r="JCL106" s="38"/>
      <c r="JCM106" s="38"/>
      <c r="JCS106" s="36"/>
      <c r="JCT106" s="38"/>
      <c r="JCU106" s="38"/>
      <c r="JDA106" s="36"/>
      <c r="JDB106" s="38"/>
      <c r="JDC106" s="38"/>
      <c r="JDI106" s="36"/>
      <c r="JDJ106" s="38"/>
      <c r="JDK106" s="38"/>
      <c r="JDQ106" s="36"/>
      <c r="JDR106" s="38"/>
      <c r="JDS106" s="38"/>
      <c r="JDY106" s="36"/>
      <c r="JDZ106" s="38"/>
      <c r="JEA106" s="38"/>
      <c r="JEG106" s="36"/>
      <c r="JEH106" s="38"/>
      <c r="JEI106" s="38"/>
      <c r="JEO106" s="36"/>
      <c r="JEP106" s="38"/>
      <c r="JEQ106" s="38"/>
      <c r="JEW106" s="36"/>
      <c r="JEX106" s="38"/>
      <c r="JEY106" s="38"/>
      <c r="JFE106" s="36"/>
      <c r="JFF106" s="38"/>
      <c r="JFG106" s="38"/>
      <c r="JFM106" s="36"/>
      <c r="JFN106" s="38"/>
      <c r="JFO106" s="38"/>
      <c r="JFU106" s="36"/>
      <c r="JFV106" s="38"/>
      <c r="JFW106" s="38"/>
      <c r="JGC106" s="36"/>
      <c r="JGD106" s="38"/>
      <c r="JGE106" s="38"/>
      <c r="JGK106" s="36"/>
      <c r="JGL106" s="38"/>
      <c r="JGM106" s="38"/>
      <c r="JGS106" s="36"/>
      <c r="JGT106" s="38"/>
      <c r="JGU106" s="38"/>
      <c r="JHA106" s="36"/>
      <c r="JHB106" s="38"/>
      <c r="JHC106" s="38"/>
      <c r="JHI106" s="36"/>
      <c r="JHJ106" s="38"/>
      <c r="JHK106" s="38"/>
      <c r="JHQ106" s="36"/>
      <c r="JHR106" s="38"/>
      <c r="JHS106" s="38"/>
      <c r="JHY106" s="36"/>
      <c r="JHZ106" s="38"/>
      <c r="JIA106" s="38"/>
      <c r="JIG106" s="36"/>
      <c r="JIH106" s="38"/>
      <c r="JII106" s="38"/>
      <c r="JIO106" s="36"/>
      <c r="JIP106" s="38"/>
      <c r="JIQ106" s="38"/>
      <c r="JIW106" s="36"/>
      <c r="JIX106" s="38"/>
      <c r="JIY106" s="38"/>
      <c r="JJE106" s="36"/>
      <c r="JJF106" s="38"/>
      <c r="JJG106" s="38"/>
      <c r="JJM106" s="36"/>
      <c r="JJN106" s="38"/>
      <c r="JJO106" s="38"/>
      <c r="JJU106" s="36"/>
      <c r="JJV106" s="38"/>
      <c r="JJW106" s="38"/>
      <c r="JKC106" s="36"/>
      <c r="JKD106" s="38"/>
      <c r="JKE106" s="38"/>
      <c r="JKK106" s="36"/>
      <c r="JKL106" s="38"/>
      <c r="JKM106" s="38"/>
      <c r="JKS106" s="36"/>
      <c r="JKT106" s="38"/>
      <c r="JKU106" s="38"/>
      <c r="JLA106" s="36"/>
      <c r="JLB106" s="38"/>
      <c r="JLC106" s="38"/>
      <c r="JLI106" s="36"/>
      <c r="JLJ106" s="38"/>
      <c r="JLK106" s="38"/>
      <c r="JLQ106" s="36"/>
      <c r="JLR106" s="38"/>
      <c r="JLS106" s="38"/>
      <c r="JLY106" s="36"/>
      <c r="JLZ106" s="38"/>
      <c r="JMA106" s="38"/>
      <c r="JMG106" s="36"/>
      <c r="JMH106" s="38"/>
      <c r="JMI106" s="38"/>
      <c r="JMO106" s="36"/>
      <c r="JMP106" s="38"/>
      <c r="JMQ106" s="38"/>
      <c r="JMW106" s="36"/>
      <c r="JMX106" s="38"/>
      <c r="JMY106" s="38"/>
      <c r="JNE106" s="36"/>
      <c r="JNF106" s="38"/>
      <c r="JNG106" s="38"/>
      <c r="JNM106" s="36"/>
      <c r="JNN106" s="38"/>
      <c r="JNO106" s="38"/>
      <c r="JNU106" s="36"/>
      <c r="JNV106" s="38"/>
      <c r="JNW106" s="38"/>
      <c r="JOC106" s="36"/>
      <c r="JOD106" s="38"/>
      <c r="JOE106" s="38"/>
      <c r="JOK106" s="36"/>
      <c r="JOL106" s="38"/>
      <c r="JOM106" s="38"/>
      <c r="JOS106" s="36"/>
      <c r="JOT106" s="38"/>
      <c r="JOU106" s="38"/>
      <c r="JPA106" s="36"/>
      <c r="JPB106" s="38"/>
      <c r="JPC106" s="38"/>
      <c r="JPI106" s="36"/>
      <c r="JPJ106" s="38"/>
      <c r="JPK106" s="38"/>
      <c r="JPQ106" s="36"/>
      <c r="JPR106" s="38"/>
      <c r="JPS106" s="38"/>
      <c r="JPY106" s="36"/>
      <c r="JPZ106" s="38"/>
      <c r="JQA106" s="38"/>
      <c r="JQG106" s="36"/>
      <c r="JQH106" s="38"/>
      <c r="JQI106" s="38"/>
      <c r="JQO106" s="36"/>
      <c r="JQP106" s="38"/>
      <c r="JQQ106" s="38"/>
      <c r="JQW106" s="36"/>
      <c r="JQX106" s="38"/>
      <c r="JQY106" s="38"/>
      <c r="JRE106" s="36"/>
      <c r="JRF106" s="38"/>
      <c r="JRG106" s="38"/>
      <c r="JRM106" s="36"/>
      <c r="JRN106" s="38"/>
      <c r="JRO106" s="38"/>
      <c r="JRU106" s="36"/>
      <c r="JRV106" s="38"/>
      <c r="JRW106" s="38"/>
      <c r="JSC106" s="36"/>
      <c r="JSD106" s="38"/>
      <c r="JSE106" s="38"/>
      <c r="JSK106" s="36"/>
      <c r="JSL106" s="38"/>
      <c r="JSM106" s="38"/>
      <c r="JSS106" s="36"/>
      <c r="JST106" s="38"/>
      <c r="JSU106" s="38"/>
      <c r="JTA106" s="36"/>
      <c r="JTB106" s="38"/>
      <c r="JTC106" s="38"/>
      <c r="JTI106" s="36"/>
      <c r="JTJ106" s="38"/>
      <c r="JTK106" s="38"/>
      <c r="JTQ106" s="36"/>
      <c r="JTR106" s="38"/>
      <c r="JTS106" s="38"/>
      <c r="JTY106" s="36"/>
      <c r="JTZ106" s="38"/>
      <c r="JUA106" s="38"/>
      <c r="JUG106" s="36"/>
      <c r="JUH106" s="38"/>
      <c r="JUI106" s="38"/>
      <c r="JUO106" s="36"/>
      <c r="JUP106" s="38"/>
      <c r="JUQ106" s="38"/>
      <c r="JUW106" s="36"/>
      <c r="JUX106" s="38"/>
      <c r="JUY106" s="38"/>
      <c r="JVE106" s="36"/>
      <c r="JVF106" s="38"/>
      <c r="JVG106" s="38"/>
      <c r="JVM106" s="36"/>
      <c r="JVN106" s="38"/>
      <c r="JVO106" s="38"/>
      <c r="JVU106" s="36"/>
      <c r="JVV106" s="38"/>
      <c r="JVW106" s="38"/>
      <c r="JWC106" s="36"/>
      <c r="JWD106" s="38"/>
      <c r="JWE106" s="38"/>
      <c r="JWK106" s="36"/>
      <c r="JWL106" s="38"/>
      <c r="JWM106" s="38"/>
      <c r="JWS106" s="36"/>
      <c r="JWT106" s="38"/>
      <c r="JWU106" s="38"/>
      <c r="JXA106" s="36"/>
      <c r="JXB106" s="38"/>
      <c r="JXC106" s="38"/>
      <c r="JXI106" s="36"/>
      <c r="JXJ106" s="38"/>
      <c r="JXK106" s="38"/>
      <c r="JXQ106" s="36"/>
      <c r="JXR106" s="38"/>
      <c r="JXS106" s="38"/>
      <c r="JXY106" s="36"/>
      <c r="JXZ106" s="38"/>
      <c r="JYA106" s="38"/>
      <c r="JYG106" s="36"/>
      <c r="JYH106" s="38"/>
      <c r="JYI106" s="38"/>
      <c r="JYO106" s="36"/>
      <c r="JYP106" s="38"/>
      <c r="JYQ106" s="38"/>
      <c r="JYW106" s="36"/>
      <c r="JYX106" s="38"/>
      <c r="JYY106" s="38"/>
      <c r="JZE106" s="36"/>
      <c r="JZF106" s="38"/>
      <c r="JZG106" s="38"/>
      <c r="JZM106" s="36"/>
      <c r="JZN106" s="38"/>
      <c r="JZO106" s="38"/>
      <c r="JZU106" s="36"/>
      <c r="JZV106" s="38"/>
      <c r="JZW106" s="38"/>
      <c r="KAC106" s="36"/>
      <c r="KAD106" s="38"/>
      <c r="KAE106" s="38"/>
      <c r="KAK106" s="36"/>
      <c r="KAL106" s="38"/>
      <c r="KAM106" s="38"/>
      <c r="KAS106" s="36"/>
      <c r="KAT106" s="38"/>
      <c r="KAU106" s="38"/>
      <c r="KBA106" s="36"/>
      <c r="KBB106" s="38"/>
      <c r="KBC106" s="38"/>
      <c r="KBI106" s="36"/>
      <c r="KBJ106" s="38"/>
      <c r="KBK106" s="38"/>
      <c r="KBQ106" s="36"/>
      <c r="KBR106" s="38"/>
      <c r="KBS106" s="38"/>
      <c r="KBY106" s="36"/>
      <c r="KBZ106" s="38"/>
      <c r="KCA106" s="38"/>
      <c r="KCG106" s="36"/>
      <c r="KCH106" s="38"/>
      <c r="KCI106" s="38"/>
      <c r="KCO106" s="36"/>
      <c r="KCP106" s="38"/>
      <c r="KCQ106" s="38"/>
      <c r="KCW106" s="36"/>
      <c r="KCX106" s="38"/>
      <c r="KCY106" s="38"/>
      <c r="KDE106" s="36"/>
      <c r="KDF106" s="38"/>
      <c r="KDG106" s="38"/>
      <c r="KDM106" s="36"/>
      <c r="KDN106" s="38"/>
      <c r="KDO106" s="38"/>
      <c r="KDU106" s="36"/>
      <c r="KDV106" s="38"/>
      <c r="KDW106" s="38"/>
      <c r="KEC106" s="36"/>
      <c r="KED106" s="38"/>
      <c r="KEE106" s="38"/>
      <c r="KEK106" s="36"/>
      <c r="KEL106" s="38"/>
      <c r="KEM106" s="38"/>
      <c r="KES106" s="36"/>
      <c r="KET106" s="38"/>
      <c r="KEU106" s="38"/>
      <c r="KFA106" s="36"/>
      <c r="KFB106" s="38"/>
      <c r="KFC106" s="38"/>
      <c r="KFI106" s="36"/>
      <c r="KFJ106" s="38"/>
      <c r="KFK106" s="38"/>
      <c r="KFQ106" s="36"/>
      <c r="KFR106" s="38"/>
      <c r="KFS106" s="38"/>
      <c r="KFY106" s="36"/>
      <c r="KFZ106" s="38"/>
      <c r="KGA106" s="38"/>
      <c r="KGG106" s="36"/>
      <c r="KGH106" s="38"/>
      <c r="KGI106" s="38"/>
      <c r="KGO106" s="36"/>
      <c r="KGP106" s="38"/>
      <c r="KGQ106" s="38"/>
      <c r="KGW106" s="36"/>
      <c r="KGX106" s="38"/>
      <c r="KGY106" s="38"/>
      <c r="KHE106" s="36"/>
      <c r="KHF106" s="38"/>
      <c r="KHG106" s="38"/>
      <c r="KHM106" s="36"/>
      <c r="KHN106" s="38"/>
      <c r="KHO106" s="38"/>
      <c r="KHU106" s="36"/>
      <c r="KHV106" s="38"/>
      <c r="KHW106" s="38"/>
      <c r="KIC106" s="36"/>
      <c r="KID106" s="38"/>
      <c r="KIE106" s="38"/>
      <c r="KIK106" s="36"/>
      <c r="KIL106" s="38"/>
      <c r="KIM106" s="38"/>
      <c r="KIS106" s="36"/>
      <c r="KIT106" s="38"/>
      <c r="KIU106" s="38"/>
      <c r="KJA106" s="36"/>
      <c r="KJB106" s="38"/>
      <c r="KJC106" s="38"/>
      <c r="KJI106" s="36"/>
      <c r="KJJ106" s="38"/>
      <c r="KJK106" s="38"/>
      <c r="KJQ106" s="36"/>
      <c r="KJR106" s="38"/>
      <c r="KJS106" s="38"/>
      <c r="KJY106" s="36"/>
      <c r="KJZ106" s="38"/>
      <c r="KKA106" s="38"/>
      <c r="KKG106" s="36"/>
      <c r="KKH106" s="38"/>
      <c r="KKI106" s="38"/>
      <c r="KKO106" s="36"/>
      <c r="KKP106" s="38"/>
      <c r="KKQ106" s="38"/>
      <c r="KKW106" s="36"/>
      <c r="KKX106" s="38"/>
      <c r="KKY106" s="38"/>
      <c r="KLE106" s="36"/>
      <c r="KLF106" s="38"/>
      <c r="KLG106" s="38"/>
      <c r="KLM106" s="36"/>
      <c r="KLN106" s="38"/>
      <c r="KLO106" s="38"/>
      <c r="KLU106" s="36"/>
      <c r="KLV106" s="38"/>
      <c r="KLW106" s="38"/>
      <c r="KMC106" s="36"/>
      <c r="KMD106" s="38"/>
      <c r="KME106" s="38"/>
      <c r="KMK106" s="36"/>
      <c r="KML106" s="38"/>
      <c r="KMM106" s="38"/>
      <c r="KMS106" s="36"/>
      <c r="KMT106" s="38"/>
      <c r="KMU106" s="38"/>
      <c r="KNA106" s="36"/>
      <c r="KNB106" s="38"/>
      <c r="KNC106" s="38"/>
      <c r="KNI106" s="36"/>
      <c r="KNJ106" s="38"/>
      <c r="KNK106" s="38"/>
      <c r="KNQ106" s="36"/>
      <c r="KNR106" s="38"/>
      <c r="KNS106" s="38"/>
      <c r="KNY106" s="36"/>
      <c r="KNZ106" s="38"/>
      <c r="KOA106" s="38"/>
      <c r="KOG106" s="36"/>
      <c r="KOH106" s="38"/>
      <c r="KOI106" s="38"/>
      <c r="KOO106" s="36"/>
      <c r="KOP106" s="38"/>
      <c r="KOQ106" s="38"/>
      <c r="KOW106" s="36"/>
      <c r="KOX106" s="38"/>
      <c r="KOY106" s="38"/>
      <c r="KPE106" s="36"/>
      <c r="KPF106" s="38"/>
      <c r="KPG106" s="38"/>
      <c r="KPM106" s="36"/>
      <c r="KPN106" s="38"/>
      <c r="KPO106" s="38"/>
      <c r="KPU106" s="36"/>
      <c r="KPV106" s="38"/>
      <c r="KPW106" s="38"/>
      <c r="KQC106" s="36"/>
      <c r="KQD106" s="38"/>
      <c r="KQE106" s="38"/>
      <c r="KQK106" s="36"/>
      <c r="KQL106" s="38"/>
      <c r="KQM106" s="38"/>
      <c r="KQS106" s="36"/>
      <c r="KQT106" s="38"/>
      <c r="KQU106" s="38"/>
      <c r="KRA106" s="36"/>
      <c r="KRB106" s="38"/>
      <c r="KRC106" s="38"/>
      <c r="KRI106" s="36"/>
      <c r="KRJ106" s="38"/>
      <c r="KRK106" s="38"/>
      <c r="KRQ106" s="36"/>
      <c r="KRR106" s="38"/>
      <c r="KRS106" s="38"/>
      <c r="KRY106" s="36"/>
      <c r="KRZ106" s="38"/>
      <c r="KSA106" s="38"/>
      <c r="KSG106" s="36"/>
      <c r="KSH106" s="38"/>
      <c r="KSI106" s="38"/>
      <c r="KSO106" s="36"/>
      <c r="KSP106" s="38"/>
      <c r="KSQ106" s="38"/>
      <c r="KSW106" s="36"/>
      <c r="KSX106" s="38"/>
      <c r="KSY106" s="38"/>
      <c r="KTE106" s="36"/>
      <c r="KTF106" s="38"/>
      <c r="KTG106" s="38"/>
      <c r="KTM106" s="36"/>
      <c r="KTN106" s="38"/>
      <c r="KTO106" s="38"/>
      <c r="KTU106" s="36"/>
      <c r="KTV106" s="38"/>
      <c r="KTW106" s="38"/>
      <c r="KUC106" s="36"/>
      <c r="KUD106" s="38"/>
      <c r="KUE106" s="38"/>
      <c r="KUK106" s="36"/>
      <c r="KUL106" s="38"/>
      <c r="KUM106" s="38"/>
      <c r="KUS106" s="36"/>
      <c r="KUT106" s="38"/>
      <c r="KUU106" s="38"/>
      <c r="KVA106" s="36"/>
      <c r="KVB106" s="38"/>
      <c r="KVC106" s="38"/>
      <c r="KVI106" s="36"/>
      <c r="KVJ106" s="38"/>
      <c r="KVK106" s="38"/>
      <c r="KVQ106" s="36"/>
      <c r="KVR106" s="38"/>
      <c r="KVS106" s="38"/>
      <c r="KVY106" s="36"/>
      <c r="KVZ106" s="38"/>
      <c r="KWA106" s="38"/>
      <c r="KWG106" s="36"/>
      <c r="KWH106" s="38"/>
      <c r="KWI106" s="38"/>
      <c r="KWO106" s="36"/>
      <c r="KWP106" s="38"/>
      <c r="KWQ106" s="38"/>
      <c r="KWW106" s="36"/>
      <c r="KWX106" s="38"/>
      <c r="KWY106" s="38"/>
      <c r="KXE106" s="36"/>
      <c r="KXF106" s="38"/>
      <c r="KXG106" s="38"/>
      <c r="KXM106" s="36"/>
      <c r="KXN106" s="38"/>
      <c r="KXO106" s="38"/>
      <c r="KXU106" s="36"/>
      <c r="KXV106" s="38"/>
      <c r="KXW106" s="38"/>
      <c r="KYC106" s="36"/>
      <c r="KYD106" s="38"/>
      <c r="KYE106" s="38"/>
      <c r="KYK106" s="36"/>
      <c r="KYL106" s="38"/>
      <c r="KYM106" s="38"/>
      <c r="KYS106" s="36"/>
      <c r="KYT106" s="38"/>
      <c r="KYU106" s="38"/>
      <c r="KZA106" s="36"/>
      <c r="KZB106" s="38"/>
      <c r="KZC106" s="38"/>
      <c r="KZI106" s="36"/>
      <c r="KZJ106" s="38"/>
      <c r="KZK106" s="38"/>
      <c r="KZQ106" s="36"/>
      <c r="KZR106" s="38"/>
      <c r="KZS106" s="38"/>
      <c r="KZY106" s="36"/>
      <c r="KZZ106" s="38"/>
      <c r="LAA106" s="38"/>
      <c r="LAG106" s="36"/>
      <c r="LAH106" s="38"/>
      <c r="LAI106" s="38"/>
      <c r="LAO106" s="36"/>
      <c r="LAP106" s="38"/>
      <c r="LAQ106" s="38"/>
      <c r="LAW106" s="36"/>
      <c r="LAX106" s="38"/>
      <c r="LAY106" s="38"/>
      <c r="LBE106" s="36"/>
      <c r="LBF106" s="38"/>
      <c r="LBG106" s="38"/>
      <c r="LBM106" s="36"/>
      <c r="LBN106" s="38"/>
      <c r="LBO106" s="38"/>
      <c r="LBU106" s="36"/>
      <c r="LBV106" s="38"/>
      <c r="LBW106" s="38"/>
      <c r="LCC106" s="36"/>
      <c r="LCD106" s="38"/>
      <c r="LCE106" s="38"/>
      <c r="LCK106" s="36"/>
      <c r="LCL106" s="38"/>
      <c r="LCM106" s="38"/>
      <c r="LCS106" s="36"/>
      <c r="LCT106" s="38"/>
      <c r="LCU106" s="38"/>
      <c r="LDA106" s="36"/>
      <c r="LDB106" s="38"/>
      <c r="LDC106" s="38"/>
      <c r="LDI106" s="36"/>
      <c r="LDJ106" s="38"/>
      <c r="LDK106" s="38"/>
      <c r="LDQ106" s="36"/>
      <c r="LDR106" s="38"/>
      <c r="LDS106" s="38"/>
      <c r="LDY106" s="36"/>
      <c r="LDZ106" s="38"/>
      <c r="LEA106" s="38"/>
      <c r="LEG106" s="36"/>
      <c r="LEH106" s="38"/>
      <c r="LEI106" s="38"/>
      <c r="LEO106" s="36"/>
      <c r="LEP106" s="38"/>
      <c r="LEQ106" s="38"/>
      <c r="LEW106" s="36"/>
      <c r="LEX106" s="38"/>
      <c r="LEY106" s="38"/>
      <c r="LFE106" s="36"/>
      <c r="LFF106" s="38"/>
      <c r="LFG106" s="38"/>
      <c r="LFM106" s="36"/>
      <c r="LFN106" s="38"/>
      <c r="LFO106" s="38"/>
      <c r="LFU106" s="36"/>
      <c r="LFV106" s="38"/>
      <c r="LFW106" s="38"/>
      <c r="LGC106" s="36"/>
      <c r="LGD106" s="38"/>
      <c r="LGE106" s="38"/>
      <c r="LGK106" s="36"/>
      <c r="LGL106" s="38"/>
      <c r="LGM106" s="38"/>
      <c r="LGS106" s="36"/>
      <c r="LGT106" s="38"/>
      <c r="LGU106" s="38"/>
      <c r="LHA106" s="36"/>
      <c r="LHB106" s="38"/>
      <c r="LHC106" s="38"/>
      <c r="LHI106" s="36"/>
      <c r="LHJ106" s="38"/>
      <c r="LHK106" s="38"/>
      <c r="LHQ106" s="36"/>
      <c r="LHR106" s="38"/>
      <c r="LHS106" s="38"/>
      <c r="LHY106" s="36"/>
      <c r="LHZ106" s="38"/>
      <c r="LIA106" s="38"/>
      <c r="LIG106" s="36"/>
      <c r="LIH106" s="38"/>
      <c r="LII106" s="38"/>
      <c r="LIO106" s="36"/>
      <c r="LIP106" s="38"/>
      <c r="LIQ106" s="38"/>
      <c r="LIW106" s="36"/>
      <c r="LIX106" s="38"/>
      <c r="LIY106" s="38"/>
      <c r="LJE106" s="36"/>
      <c r="LJF106" s="38"/>
      <c r="LJG106" s="38"/>
      <c r="LJM106" s="36"/>
      <c r="LJN106" s="38"/>
      <c r="LJO106" s="38"/>
      <c r="LJU106" s="36"/>
      <c r="LJV106" s="38"/>
      <c r="LJW106" s="38"/>
      <c r="LKC106" s="36"/>
      <c r="LKD106" s="38"/>
      <c r="LKE106" s="38"/>
      <c r="LKK106" s="36"/>
      <c r="LKL106" s="38"/>
      <c r="LKM106" s="38"/>
      <c r="LKS106" s="36"/>
      <c r="LKT106" s="38"/>
      <c r="LKU106" s="38"/>
      <c r="LLA106" s="36"/>
      <c r="LLB106" s="38"/>
      <c r="LLC106" s="38"/>
      <c r="LLI106" s="36"/>
      <c r="LLJ106" s="38"/>
      <c r="LLK106" s="38"/>
      <c r="LLQ106" s="36"/>
      <c r="LLR106" s="38"/>
      <c r="LLS106" s="38"/>
      <c r="LLY106" s="36"/>
      <c r="LLZ106" s="38"/>
      <c r="LMA106" s="38"/>
      <c r="LMG106" s="36"/>
      <c r="LMH106" s="38"/>
      <c r="LMI106" s="38"/>
      <c r="LMO106" s="36"/>
      <c r="LMP106" s="38"/>
      <c r="LMQ106" s="38"/>
      <c r="LMW106" s="36"/>
      <c r="LMX106" s="38"/>
      <c r="LMY106" s="38"/>
      <c r="LNE106" s="36"/>
      <c r="LNF106" s="38"/>
      <c r="LNG106" s="38"/>
      <c r="LNM106" s="36"/>
      <c r="LNN106" s="38"/>
      <c r="LNO106" s="38"/>
      <c r="LNU106" s="36"/>
      <c r="LNV106" s="38"/>
      <c r="LNW106" s="38"/>
      <c r="LOC106" s="36"/>
      <c r="LOD106" s="38"/>
      <c r="LOE106" s="38"/>
      <c r="LOK106" s="36"/>
      <c r="LOL106" s="38"/>
      <c r="LOM106" s="38"/>
      <c r="LOS106" s="36"/>
      <c r="LOT106" s="38"/>
      <c r="LOU106" s="38"/>
      <c r="LPA106" s="36"/>
      <c r="LPB106" s="38"/>
      <c r="LPC106" s="38"/>
      <c r="LPI106" s="36"/>
      <c r="LPJ106" s="38"/>
      <c r="LPK106" s="38"/>
      <c r="LPQ106" s="36"/>
      <c r="LPR106" s="38"/>
      <c r="LPS106" s="38"/>
      <c r="LPY106" s="36"/>
      <c r="LPZ106" s="38"/>
      <c r="LQA106" s="38"/>
      <c r="LQG106" s="36"/>
      <c r="LQH106" s="38"/>
      <c r="LQI106" s="38"/>
      <c r="LQO106" s="36"/>
      <c r="LQP106" s="38"/>
      <c r="LQQ106" s="38"/>
      <c r="LQW106" s="36"/>
      <c r="LQX106" s="38"/>
      <c r="LQY106" s="38"/>
      <c r="LRE106" s="36"/>
      <c r="LRF106" s="38"/>
      <c r="LRG106" s="38"/>
      <c r="LRM106" s="36"/>
      <c r="LRN106" s="38"/>
      <c r="LRO106" s="38"/>
      <c r="LRU106" s="36"/>
      <c r="LRV106" s="38"/>
      <c r="LRW106" s="38"/>
      <c r="LSC106" s="36"/>
      <c r="LSD106" s="38"/>
      <c r="LSE106" s="38"/>
      <c r="LSK106" s="36"/>
      <c r="LSL106" s="38"/>
      <c r="LSM106" s="38"/>
      <c r="LSS106" s="36"/>
      <c r="LST106" s="38"/>
      <c r="LSU106" s="38"/>
      <c r="LTA106" s="36"/>
      <c r="LTB106" s="38"/>
      <c r="LTC106" s="38"/>
      <c r="LTI106" s="36"/>
      <c r="LTJ106" s="38"/>
      <c r="LTK106" s="38"/>
      <c r="LTQ106" s="36"/>
      <c r="LTR106" s="38"/>
      <c r="LTS106" s="38"/>
      <c r="LTY106" s="36"/>
      <c r="LTZ106" s="38"/>
      <c r="LUA106" s="38"/>
      <c r="LUG106" s="36"/>
      <c r="LUH106" s="38"/>
      <c r="LUI106" s="38"/>
      <c r="LUO106" s="36"/>
      <c r="LUP106" s="38"/>
      <c r="LUQ106" s="38"/>
      <c r="LUW106" s="36"/>
      <c r="LUX106" s="38"/>
      <c r="LUY106" s="38"/>
      <c r="LVE106" s="36"/>
      <c r="LVF106" s="38"/>
      <c r="LVG106" s="38"/>
      <c r="LVM106" s="36"/>
      <c r="LVN106" s="38"/>
      <c r="LVO106" s="38"/>
      <c r="LVU106" s="36"/>
      <c r="LVV106" s="38"/>
      <c r="LVW106" s="38"/>
      <c r="LWC106" s="36"/>
      <c r="LWD106" s="38"/>
      <c r="LWE106" s="38"/>
      <c r="LWK106" s="36"/>
      <c r="LWL106" s="38"/>
      <c r="LWM106" s="38"/>
      <c r="LWS106" s="36"/>
      <c r="LWT106" s="38"/>
      <c r="LWU106" s="38"/>
      <c r="LXA106" s="36"/>
      <c r="LXB106" s="38"/>
      <c r="LXC106" s="38"/>
      <c r="LXI106" s="36"/>
      <c r="LXJ106" s="38"/>
      <c r="LXK106" s="38"/>
      <c r="LXQ106" s="36"/>
      <c r="LXR106" s="38"/>
      <c r="LXS106" s="38"/>
      <c r="LXY106" s="36"/>
      <c r="LXZ106" s="38"/>
      <c r="LYA106" s="38"/>
      <c r="LYG106" s="36"/>
      <c r="LYH106" s="38"/>
      <c r="LYI106" s="38"/>
      <c r="LYO106" s="36"/>
      <c r="LYP106" s="38"/>
      <c r="LYQ106" s="38"/>
      <c r="LYW106" s="36"/>
      <c r="LYX106" s="38"/>
      <c r="LYY106" s="38"/>
      <c r="LZE106" s="36"/>
      <c r="LZF106" s="38"/>
      <c r="LZG106" s="38"/>
      <c r="LZM106" s="36"/>
      <c r="LZN106" s="38"/>
      <c r="LZO106" s="38"/>
      <c r="LZU106" s="36"/>
      <c r="LZV106" s="38"/>
      <c r="LZW106" s="38"/>
      <c r="MAC106" s="36"/>
      <c r="MAD106" s="38"/>
      <c r="MAE106" s="38"/>
      <c r="MAK106" s="36"/>
      <c r="MAL106" s="38"/>
      <c r="MAM106" s="38"/>
      <c r="MAS106" s="36"/>
      <c r="MAT106" s="38"/>
      <c r="MAU106" s="38"/>
      <c r="MBA106" s="36"/>
      <c r="MBB106" s="38"/>
      <c r="MBC106" s="38"/>
      <c r="MBI106" s="36"/>
      <c r="MBJ106" s="38"/>
      <c r="MBK106" s="38"/>
      <c r="MBQ106" s="36"/>
      <c r="MBR106" s="38"/>
      <c r="MBS106" s="38"/>
      <c r="MBY106" s="36"/>
      <c r="MBZ106" s="38"/>
      <c r="MCA106" s="38"/>
      <c r="MCG106" s="36"/>
      <c r="MCH106" s="38"/>
      <c r="MCI106" s="38"/>
      <c r="MCO106" s="36"/>
      <c r="MCP106" s="38"/>
      <c r="MCQ106" s="38"/>
      <c r="MCW106" s="36"/>
      <c r="MCX106" s="38"/>
      <c r="MCY106" s="38"/>
      <c r="MDE106" s="36"/>
      <c r="MDF106" s="38"/>
      <c r="MDG106" s="38"/>
      <c r="MDM106" s="36"/>
      <c r="MDN106" s="38"/>
      <c r="MDO106" s="38"/>
      <c r="MDU106" s="36"/>
      <c r="MDV106" s="38"/>
      <c r="MDW106" s="38"/>
      <c r="MEC106" s="36"/>
      <c r="MED106" s="38"/>
      <c r="MEE106" s="38"/>
      <c r="MEK106" s="36"/>
      <c r="MEL106" s="38"/>
      <c r="MEM106" s="38"/>
      <c r="MES106" s="36"/>
      <c r="MET106" s="38"/>
      <c r="MEU106" s="38"/>
      <c r="MFA106" s="36"/>
      <c r="MFB106" s="38"/>
      <c r="MFC106" s="38"/>
      <c r="MFI106" s="36"/>
      <c r="MFJ106" s="38"/>
      <c r="MFK106" s="38"/>
      <c r="MFQ106" s="36"/>
      <c r="MFR106" s="38"/>
      <c r="MFS106" s="38"/>
      <c r="MFY106" s="36"/>
      <c r="MFZ106" s="38"/>
      <c r="MGA106" s="38"/>
      <c r="MGG106" s="36"/>
      <c r="MGH106" s="38"/>
      <c r="MGI106" s="38"/>
      <c r="MGO106" s="36"/>
      <c r="MGP106" s="38"/>
      <c r="MGQ106" s="38"/>
      <c r="MGW106" s="36"/>
      <c r="MGX106" s="38"/>
      <c r="MGY106" s="38"/>
      <c r="MHE106" s="36"/>
      <c r="MHF106" s="38"/>
      <c r="MHG106" s="38"/>
      <c r="MHM106" s="36"/>
      <c r="MHN106" s="38"/>
      <c r="MHO106" s="38"/>
      <c r="MHU106" s="36"/>
      <c r="MHV106" s="38"/>
      <c r="MHW106" s="38"/>
      <c r="MIC106" s="36"/>
      <c r="MID106" s="38"/>
      <c r="MIE106" s="38"/>
      <c r="MIK106" s="36"/>
      <c r="MIL106" s="38"/>
      <c r="MIM106" s="38"/>
      <c r="MIS106" s="36"/>
      <c r="MIT106" s="38"/>
      <c r="MIU106" s="38"/>
      <c r="MJA106" s="36"/>
      <c r="MJB106" s="38"/>
      <c r="MJC106" s="38"/>
      <c r="MJI106" s="36"/>
      <c r="MJJ106" s="38"/>
      <c r="MJK106" s="38"/>
      <c r="MJQ106" s="36"/>
      <c r="MJR106" s="38"/>
      <c r="MJS106" s="38"/>
      <c r="MJY106" s="36"/>
      <c r="MJZ106" s="38"/>
      <c r="MKA106" s="38"/>
      <c r="MKG106" s="36"/>
      <c r="MKH106" s="38"/>
      <c r="MKI106" s="38"/>
      <c r="MKO106" s="36"/>
      <c r="MKP106" s="38"/>
      <c r="MKQ106" s="38"/>
      <c r="MKW106" s="36"/>
      <c r="MKX106" s="38"/>
      <c r="MKY106" s="38"/>
      <c r="MLE106" s="36"/>
      <c r="MLF106" s="38"/>
      <c r="MLG106" s="38"/>
      <c r="MLM106" s="36"/>
      <c r="MLN106" s="38"/>
      <c r="MLO106" s="38"/>
      <c r="MLU106" s="36"/>
      <c r="MLV106" s="38"/>
      <c r="MLW106" s="38"/>
      <c r="MMC106" s="36"/>
      <c r="MMD106" s="38"/>
      <c r="MME106" s="38"/>
      <c r="MMK106" s="36"/>
      <c r="MML106" s="38"/>
      <c r="MMM106" s="38"/>
      <c r="MMS106" s="36"/>
      <c r="MMT106" s="38"/>
      <c r="MMU106" s="38"/>
      <c r="MNA106" s="36"/>
      <c r="MNB106" s="38"/>
      <c r="MNC106" s="38"/>
      <c r="MNI106" s="36"/>
      <c r="MNJ106" s="38"/>
      <c r="MNK106" s="38"/>
      <c r="MNQ106" s="36"/>
      <c r="MNR106" s="38"/>
      <c r="MNS106" s="38"/>
      <c r="MNY106" s="36"/>
      <c r="MNZ106" s="38"/>
      <c r="MOA106" s="38"/>
      <c r="MOG106" s="36"/>
      <c r="MOH106" s="38"/>
      <c r="MOI106" s="38"/>
      <c r="MOO106" s="36"/>
      <c r="MOP106" s="38"/>
      <c r="MOQ106" s="38"/>
      <c r="MOW106" s="36"/>
      <c r="MOX106" s="38"/>
      <c r="MOY106" s="38"/>
      <c r="MPE106" s="36"/>
      <c r="MPF106" s="38"/>
      <c r="MPG106" s="38"/>
      <c r="MPM106" s="36"/>
      <c r="MPN106" s="38"/>
      <c r="MPO106" s="38"/>
      <c r="MPU106" s="36"/>
      <c r="MPV106" s="38"/>
      <c r="MPW106" s="38"/>
      <c r="MQC106" s="36"/>
      <c r="MQD106" s="38"/>
      <c r="MQE106" s="38"/>
      <c r="MQK106" s="36"/>
      <c r="MQL106" s="38"/>
      <c r="MQM106" s="38"/>
      <c r="MQS106" s="36"/>
      <c r="MQT106" s="38"/>
      <c r="MQU106" s="38"/>
      <c r="MRA106" s="36"/>
      <c r="MRB106" s="38"/>
      <c r="MRC106" s="38"/>
      <c r="MRI106" s="36"/>
      <c r="MRJ106" s="38"/>
      <c r="MRK106" s="38"/>
      <c r="MRQ106" s="36"/>
      <c r="MRR106" s="38"/>
      <c r="MRS106" s="38"/>
      <c r="MRY106" s="36"/>
      <c r="MRZ106" s="38"/>
      <c r="MSA106" s="38"/>
      <c r="MSG106" s="36"/>
      <c r="MSH106" s="38"/>
      <c r="MSI106" s="38"/>
      <c r="MSO106" s="36"/>
      <c r="MSP106" s="38"/>
      <c r="MSQ106" s="38"/>
      <c r="MSW106" s="36"/>
      <c r="MSX106" s="38"/>
      <c r="MSY106" s="38"/>
      <c r="MTE106" s="36"/>
      <c r="MTF106" s="38"/>
      <c r="MTG106" s="38"/>
      <c r="MTM106" s="36"/>
      <c r="MTN106" s="38"/>
      <c r="MTO106" s="38"/>
      <c r="MTU106" s="36"/>
      <c r="MTV106" s="38"/>
      <c r="MTW106" s="38"/>
      <c r="MUC106" s="36"/>
      <c r="MUD106" s="38"/>
      <c r="MUE106" s="38"/>
      <c r="MUK106" s="36"/>
      <c r="MUL106" s="38"/>
      <c r="MUM106" s="38"/>
      <c r="MUS106" s="36"/>
      <c r="MUT106" s="38"/>
      <c r="MUU106" s="38"/>
      <c r="MVA106" s="36"/>
      <c r="MVB106" s="38"/>
      <c r="MVC106" s="38"/>
      <c r="MVI106" s="36"/>
      <c r="MVJ106" s="38"/>
      <c r="MVK106" s="38"/>
      <c r="MVQ106" s="36"/>
      <c r="MVR106" s="38"/>
      <c r="MVS106" s="38"/>
      <c r="MVY106" s="36"/>
      <c r="MVZ106" s="38"/>
      <c r="MWA106" s="38"/>
      <c r="MWG106" s="36"/>
      <c r="MWH106" s="38"/>
      <c r="MWI106" s="38"/>
      <c r="MWO106" s="36"/>
      <c r="MWP106" s="38"/>
      <c r="MWQ106" s="38"/>
      <c r="MWW106" s="36"/>
      <c r="MWX106" s="38"/>
      <c r="MWY106" s="38"/>
      <c r="MXE106" s="36"/>
      <c r="MXF106" s="38"/>
      <c r="MXG106" s="38"/>
      <c r="MXM106" s="36"/>
      <c r="MXN106" s="38"/>
      <c r="MXO106" s="38"/>
      <c r="MXU106" s="36"/>
      <c r="MXV106" s="38"/>
      <c r="MXW106" s="38"/>
      <c r="MYC106" s="36"/>
      <c r="MYD106" s="38"/>
      <c r="MYE106" s="38"/>
      <c r="MYK106" s="36"/>
      <c r="MYL106" s="38"/>
      <c r="MYM106" s="38"/>
      <c r="MYS106" s="36"/>
      <c r="MYT106" s="38"/>
      <c r="MYU106" s="38"/>
      <c r="MZA106" s="36"/>
      <c r="MZB106" s="38"/>
      <c r="MZC106" s="38"/>
      <c r="MZI106" s="36"/>
      <c r="MZJ106" s="38"/>
      <c r="MZK106" s="38"/>
      <c r="MZQ106" s="36"/>
      <c r="MZR106" s="38"/>
      <c r="MZS106" s="38"/>
      <c r="MZY106" s="36"/>
      <c r="MZZ106" s="38"/>
      <c r="NAA106" s="38"/>
      <c r="NAG106" s="36"/>
      <c r="NAH106" s="38"/>
      <c r="NAI106" s="38"/>
      <c r="NAO106" s="36"/>
      <c r="NAP106" s="38"/>
      <c r="NAQ106" s="38"/>
      <c r="NAW106" s="36"/>
      <c r="NAX106" s="38"/>
      <c r="NAY106" s="38"/>
      <c r="NBE106" s="36"/>
      <c r="NBF106" s="38"/>
      <c r="NBG106" s="38"/>
      <c r="NBM106" s="36"/>
      <c r="NBN106" s="38"/>
      <c r="NBO106" s="38"/>
      <c r="NBU106" s="36"/>
      <c r="NBV106" s="38"/>
      <c r="NBW106" s="38"/>
      <c r="NCC106" s="36"/>
      <c r="NCD106" s="38"/>
      <c r="NCE106" s="38"/>
      <c r="NCK106" s="36"/>
      <c r="NCL106" s="38"/>
      <c r="NCM106" s="38"/>
      <c r="NCS106" s="36"/>
      <c r="NCT106" s="38"/>
      <c r="NCU106" s="38"/>
      <c r="NDA106" s="36"/>
      <c r="NDB106" s="38"/>
      <c r="NDC106" s="38"/>
      <c r="NDI106" s="36"/>
      <c r="NDJ106" s="38"/>
      <c r="NDK106" s="38"/>
      <c r="NDQ106" s="36"/>
      <c r="NDR106" s="38"/>
      <c r="NDS106" s="38"/>
      <c r="NDY106" s="36"/>
      <c r="NDZ106" s="38"/>
      <c r="NEA106" s="38"/>
      <c r="NEG106" s="36"/>
      <c r="NEH106" s="38"/>
      <c r="NEI106" s="38"/>
      <c r="NEO106" s="36"/>
      <c r="NEP106" s="38"/>
      <c r="NEQ106" s="38"/>
      <c r="NEW106" s="36"/>
      <c r="NEX106" s="38"/>
      <c r="NEY106" s="38"/>
      <c r="NFE106" s="36"/>
      <c r="NFF106" s="38"/>
      <c r="NFG106" s="38"/>
      <c r="NFM106" s="36"/>
      <c r="NFN106" s="38"/>
      <c r="NFO106" s="38"/>
      <c r="NFU106" s="36"/>
      <c r="NFV106" s="38"/>
      <c r="NFW106" s="38"/>
      <c r="NGC106" s="36"/>
      <c r="NGD106" s="38"/>
      <c r="NGE106" s="38"/>
      <c r="NGK106" s="36"/>
      <c r="NGL106" s="38"/>
      <c r="NGM106" s="38"/>
      <c r="NGS106" s="36"/>
      <c r="NGT106" s="38"/>
      <c r="NGU106" s="38"/>
      <c r="NHA106" s="36"/>
      <c r="NHB106" s="38"/>
      <c r="NHC106" s="38"/>
      <c r="NHI106" s="36"/>
      <c r="NHJ106" s="38"/>
      <c r="NHK106" s="38"/>
      <c r="NHQ106" s="36"/>
      <c r="NHR106" s="38"/>
      <c r="NHS106" s="38"/>
      <c r="NHY106" s="36"/>
      <c r="NHZ106" s="38"/>
      <c r="NIA106" s="38"/>
      <c r="NIG106" s="36"/>
      <c r="NIH106" s="38"/>
      <c r="NII106" s="38"/>
      <c r="NIO106" s="36"/>
      <c r="NIP106" s="38"/>
      <c r="NIQ106" s="38"/>
      <c r="NIW106" s="36"/>
      <c r="NIX106" s="38"/>
      <c r="NIY106" s="38"/>
      <c r="NJE106" s="36"/>
      <c r="NJF106" s="38"/>
      <c r="NJG106" s="38"/>
      <c r="NJM106" s="36"/>
      <c r="NJN106" s="38"/>
      <c r="NJO106" s="38"/>
      <c r="NJU106" s="36"/>
      <c r="NJV106" s="38"/>
      <c r="NJW106" s="38"/>
      <c r="NKC106" s="36"/>
      <c r="NKD106" s="38"/>
      <c r="NKE106" s="38"/>
      <c r="NKK106" s="36"/>
      <c r="NKL106" s="38"/>
      <c r="NKM106" s="38"/>
      <c r="NKS106" s="36"/>
      <c r="NKT106" s="38"/>
      <c r="NKU106" s="38"/>
      <c r="NLA106" s="36"/>
      <c r="NLB106" s="38"/>
      <c r="NLC106" s="38"/>
      <c r="NLI106" s="36"/>
      <c r="NLJ106" s="38"/>
      <c r="NLK106" s="38"/>
      <c r="NLQ106" s="36"/>
      <c r="NLR106" s="38"/>
      <c r="NLS106" s="38"/>
      <c r="NLY106" s="36"/>
      <c r="NLZ106" s="38"/>
      <c r="NMA106" s="38"/>
      <c r="NMG106" s="36"/>
      <c r="NMH106" s="38"/>
      <c r="NMI106" s="38"/>
      <c r="NMO106" s="36"/>
      <c r="NMP106" s="38"/>
      <c r="NMQ106" s="38"/>
      <c r="NMW106" s="36"/>
      <c r="NMX106" s="38"/>
      <c r="NMY106" s="38"/>
      <c r="NNE106" s="36"/>
      <c r="NNF106" s="38"/>
      <c r="NNG106" s="38"/>
      <c r="NNM106" s="36"/>
      <c r="NNN106" s="38"/>
      <c r="NNO106" s="38"/>
      <c r="NNU106" s="36"/>
      <c r="NNV106" s="38"/>
      <c r="NNW106" s="38"/>
      <c r="NOC106" s="36"/>
      <c r="NOD106" s="38"/>
      <c r="NOE106" s="38"/>
      <c r="NOK106" s="36"/>
      <c r="NOL106" s="38"/>
      <c r="NOM106" s="38"/>
      <c r="NOS106" s="36"/>
      <c r="NOT106" s="38"/>
      <c r="NOU106" s="38"/>
      <c r="NPA106" s="36"/>
      <c r="NPB106" s="38"/>
      <c r="NPC106" s="38"/>
      <c r="NPI106" s="36"/>
      <c r="NPJ106" s="38"/>
      <c r="NPK106" s="38"/>
      <c r="NPQ106" s="36"/>
      <c r="NPR106" s="38"/>
      <c r="NPS106" s="38"/>
      <c r="NPY106" s="36"/>
      <c r="NPZ106" s="38"/>
      <c r="NQA106" s="38"/>
      <c r="NQG106" s="36"/>
      <c r="NQH106" s="38"/>
      <c r="NQI106" s="38"/>
      <c r="NQO106" s="36"/>
      <c r="NQP106" s="38"/>
      <c r="NQQ106" s="38"/>
      <c r="NQW106" s="36"/>
      <c r="NQX106" s="38"/>
      <c r="NQY106" s="38"/>
      <c r="NRE106" s="36"/>
      <c r="NRF106" s="38"/>
      <c r="NRG106" s="38"/>
      <c r="NRM106" s="36"/>
      <c r="NRN106" s="38"/>
      <c r="NRO106" s="38"/>
      <c r="NRU106" s="36"/>
      <c r="NRV106" s="38"/>
      <c r="NRW106" s="38"/>
      <c r="NSC106" s="36"/>
      <c r="NSD106" s="38"/>
      <c r="NSE106" s="38"/>
      <c r="NSK106" s="36"/>
      <c r="NSL106" s="38"/>
      <c r="NSM106" s="38"/>
      <c r="NSS106" s="36"/>
      <c r="NST106" s="38"/>
      <c r="NSU106" s="38"/>
      <c r="NTA106" s="36"/>
      <c r="NTB106" s="38"/>
      <c r="NTC106" s="38"/>
      <c r="NTI106" s="36"/>
      <c r="NTJ106" s="38"/>
      <c r="NTK106" s="38"/>
      <c r="NTQ106" s="36"/>
      <c r="NTR106" s="38"/>
      <c r="NTS106" s="38"/>
      <c r="NTY106" s="36"/>
      <c r="NTZ106" s="38"/>
      <c r="NUA106" s="38"/>
      <c r="NUG106" s="36"/>
      <c r="NUH106" s="38"/>
      <c r="NUI106" s="38"/>
      <c r="NUO106" s="36"/>
      <c r="NUP106" s="38"/>
      <c r="NUQ106" s="38"/>
      <c r="NUW106" s="36"/>
      <c r="NUX106" s="38"/>
      <c r="NUY106" s="38"/>
      <c r="NVE106" s="36"/>
      <c r="NVF106" s="38"/>
      <c r="NVG106" s="38"/>
      <c r="NVM106" s="36"/>
      <c r="NVN106" s="38"/>
      <c r="NVO106" s="38"/>
      <c r="NVU106" s="36"/>
      <c r="NVV106" s="38"/>
      <c r="NVW106" s="38"/>
      <c r="NWC106" s="36"/>
      <c r="NWD106" s="38"/>
      <c r="NWE106" s="38"/>
      <c r="NWK106" s="36"/>
      <c r="NWL106" s="38"/>
      <c r="NWM106" s="38"/>
      <c r="NWS106" s="36"/>
      <c r="NWT106" s="38"/>
      <c r="NWU106" s="38"/>
      <c r="NXA106" s="36"/>
      <c r="NXB106" s="38"/>
      <c r="NXC106" s="38"/>
      <c r="NXI106" s="36"/>
      <c r="NXJ106" s="38"/>
      <c r="NXK106" s="38"/>
      <c r="NXQ106" s="36"/>
      <c r="NXR106" s="38"/>
      <c r="NXS106" s="38"/>
      <c r="NXY106" s="36"/>
      <c r="NXZ106" s="38"/>
      <c r="NYA106" s="38"/>
      <c r="NYG106" s="36"/>
      <c r="NYH106" s="38"/>
      <c r="NYI106" s="38"/>
      <c r="NYO106" s="36"/>
      <c r="NYP106" s="38"/>
      <c r="NYQ106" s="38"/>
      <c r="NYW106" s="36"/>
      <c r="NYX106" s="38"/>
      <c r="NYY106" s="38"/>
      <c r="NZE106" s="36"/>
      <c r="NZF106" s="38"/>
      <c r="NZG106" s="38"/>
      <c r="NZM106" s="36"/>
      <c r="NZN106" s="38"/>
      <c r="NZO106" s="38"/>
      <c r="NZU106" s="36"/>
      <c r="NZV106" s="38"/>
      <c r="NZW106" s="38"/>
      <c r="OAC106" s="36"/>
      <c r="OAD106" s="38"/>
      <c r="OAE106" s="38"/>
      <c r="OAK106" s="36"/>
      <c r="OAL106" s="38"/>
      <c r="OAM106" s="38"/>
      <c r="OAS106" s="36"/>
      <c r="OAT106" s="38"/>
      <c r="OAU106" s="38"/>
      <c r="OBA106" s="36"/>
      <c r="OBB106" s="38"/>
      <c r="OBC106" s="38"/>
      <c r="OBI106" s="36"/>
      <c r="OBJ106" s="38"/>
      <c r="OBK106" s="38"/>
      <c r="OBQ106" s="36"/>
      <c r="OBR106" s="38"/>
      <c r="OBS106" s="38"/>
      <c r="OBY106" s="36"/>
      <c r="OBZ106" s="38"/>
      <c r="OCA106" s="38"/>
      <c r="OCG106" s="36"/>
      <c r="OCH106" s="38"/>
      <c r="OCI106" s="38"/>
      <c r="OCO106" s="36"/>
      <c r="OCP106" s="38"/>
      <c r="OCQ106" s="38"/>
      <c r="OCW106" s="36"/>
      <c r="OCX106" s="38"/>
      <c r="OCY106" s="38"/>
      <c r="ODE106" s="36"/>
      <c r="ODF106" s="38"/>
      <c r="ODG106" s="38"/>
      <c r="ODM106" s="36"/>
      <c r="ODN106" s="38"/>
      <c r="ODO106" s="38"/>
      <c r="ODU106" s="36"/>
      <c r="ODV106" s="38"/>
      <c r="ODW106" s="38"/>
      <c r="OEC106" s="36"/>
      <c r="OED106" s="38"/>
      <c r="OEE106" s="38"/>
      <c r="OEK106" s="36"/>
      <c r="OEL106" s="38"/>
      <c r="OEM106" s="38"/>
      <c r="OES106" s="36"/>
      <c r="OET106" s="38"/>
      <c r="OEU106" s="38"/>
      <c r="OFA106" s="36"/>
      <c r="OFB106" s="38"/>
      <c r="OFC106" s="38"/>
      <c r="OFI106" s="36"/>
      <c r="OFJ106" s="38"/>
      <c r="OFK106" s="38"/>
      <c r="OFQ106" s="36"/>
      <c r="OFR106" s="38"/>
      <c r="OFS106" s="38"/>
      <c r="OFY106" s="36"/>
      <c r="OFZ106" s="38"/>
      <c r="OGA106" s="38"/>
      <c r="OGG106" s="36"/>
      <c r="OGH106" s="38"/>
      <c r="OGI106" s="38"/>
      <c r="OGO106" s="36"/>
      <c r="OGP106" s="38"/>
      <c r="OGQ106" s="38"/>
      <c r="OGW106" s="36"/>
      <c r="OGX106" s="38"/>
      <c r="OGY106" s="38"/>
      <c r="OHE106" s="36"/>
      <c r="OHF106" s="38"/>
      <c r="OHG106" s="38"/>
      <c r="OHM106" s="36"/>
      <c r="OHN106" s="38"/>
      <c r="OHO106" s="38"/>
      <c r="OHU106" s="36"/>
      <c r="OHV106" s="38"/>
      <c r="OHW106" s="38"/>
      <c r="OIC106" s="36"/>
      <c r="OID106" s="38"/>
      <c r="OIE106" s="38"/>
      <c r="OIK106" s="36"/>
      <c r="OIL106" s="38"/>
      <c r="OIM106" s="38"/>
      <c r="OIS106" s="36"/>
      <c r="OIT106" s="38"/>
      <c r="OIU106" s="38"/>
      <c r="OJA106" s="36"/>
      <c r="OJB106" s="38"/>
      <c r="OJC106" s="38"/>
      <c r="OJI106" s="36"/>
      <c r="OJJ106" s="38"/>
      <c r="OJK106" s="38"/>
      <c r="OJQ106" s="36"/>
      <c r="OJR106" s="38"/>
      <c r="OJS106" s="38"/>
      <c r="OJY106" s="36"/>
      <c r="OJZ106" s="38"/>
      <c r="OKA106" s="38"/>
      <c r="OKG106" s="36"/>
      <c r="OKH106" s="38"/>
      <c r="OKI106" s="38"/>
      <c r="OKO106" s="36"/>
      <c r="OKP106" s="38"/>
      <c r="OKQ106" s="38"/>
      <c r="OKW106" s="36"/>
      <c r="OKX106" s="38"/>
      <c r="OKY106" s="38"/>
      <c r="OLE106" s="36"/>
      <c r="OLF106" s="38"/>
      <c r="OLG106" s="38"/>
      <c r="OLM106" s="36"/>
      <c r="OLN106" s="38"/>
      <c r="OLO106" s="38"/>
      <c r="OLU106" s="36"/>
      <c r="OLV106" s="38"/>
      <c r="OLW106" s="38"/>
      <c r="OMC106" s="36"/>
      <c r="OMD106" s="38"/>
      <c r="OME106" s="38"/>
      <c r="OMK106" s="36"/>
      <c r="OML106" s="38"/>
      <c r="OMM106" s="38"/>
      <c r="OMS106" s="36"/>
      <c r="OMT106" s="38"/>
      <c r="OMU106" s="38"/>
      <c r="ONA106" s="36"/>
      <c r="ONB106" s="38"/>
      <c r="ONC106" s="38"/>
      <c r="ONI106" s="36"/>
      <c r="ONJ106" s="38"/>
      <c r="ONK106" s="38"/>
      <c r="ONQ106" s="36"/>
      <c r="ONR106" s="38"/>
      <c r="ONS106" s="38"/>
      <c r="ONY106" s="36"/>
      <c r="ONZ106" s="38"/>
      <c r="OOA106" s="38"/>
      <c r="OOG106" s="36"/>
      <c r="OOH106" s="38"/>
      <c r="OOI106" s="38"/>
      <c r="OOO106" s="36"/>
      <c r="OOP106" s="38"/>
      <c r="OOQ106" s="38"/>
      <c r="OOW106" s="36"/>
      <c r="OOX106" s="38"/>
      <c r="OOY106" s="38"/>
      <c r="OPE106" s="36"/>
      <c r="OPF106" s="38"/>
      <c r="OPG106" s="38"/>
      <c r="OPM106" s="36"/>
      <c r="OPN106" s="38"/>
      <c r="OPO106" s="38"/>
      <c r="OPU106" s="36"/>
      <c r="OPV106" s="38"/>
      <c r="OPW106" s="38"/>
      <c r="OQC106" s="36"/>
      <c r="OQD106" s="38"/>
      <c r="OQE106" s="38"/>
      <c r="OQK106" s="36"/>
      <c r="OQL106" s="38"/>
      <c r="OQM106" s="38"/>
      <c r="OQS106" s="36"/>
      <c r="OQT106" s="38"/>
      <c r="OQU106" s="38"/>
      <c r="ORA106" s="36"/>
      <c r="ORB106" s="38"/>
      <c r="ORC106" s="38"/>
      <c r="ORI106" s="36"/>
      <c r="ORJ106" s="38"/>
      <c r="ORK106" s="38"/>
      <c r="ORQ106" s="36"/>
      <c r="ORR106" s="38"/>
      <c r="ORS106" s="38"/>
      <c r="ORY106" s="36"/>
      <c r="ORZ106" s="38"/>
      <c r="OSA106" s="38"/>
      <c r="OSG106" s="36"/>
      <c r="OSH106" s="38"/>
      <c r="OSI106" s="38"/>
      <c r="OSO106" s="36"/>
      <c r="OSP106" s="38"/>
      <c r="OSQ106" s="38"/>
      <c r="OSW106" s="36"/>
      <c r="OSX106" s="38"/>
      <c r="OSY106" s="38"/>
      <c r="OTE106" s="36"/>
      <c r="OTF106" s="38"/>
      <c r="OTG106" s="38"/>
      <c r="OTM106" s="36"/>
      <c r="OTN106" s="38"/>
      <c r="OTO106" s="38"/>
      <c r="OTU106" s="36"/>
      <c r="OTV106" s="38"/>
      <c r="OTW106" s="38"/>
      <c r="OUC106" s="36"/>
      <c r="OUD106" s="38"/>
      <c r="OUE106" s="38"/>
      <c r="OUK106" s="36"/>
      <c r="OUL106" s="38"/>
      <c r="OUM106" s="38"/>
      <c r="OUS106" s="36"/>
      <c r="OUT106" s="38"/>
      <c r="OUU106" s="38"/>
      <c r="OVA106" s="36"/>
      <c r="OVB106" s="38"/>
      <c r="OVC106" s="38"/>
      <c r="OVI106" s="36"/>
      <c r="OVJ106" s="38"/>
      <c r="OVK106" s="38"/>
      <c r="OVQ106" s="36"/>
      <c r="OVR106" s="38"/>
      <c r="OVS106" s="38"/>
      <c r="OVY106" s="36"/>
      <c r="OVZ106" s="38"/>
      <c r="OWA106" s="38"/>
      <c r="OWG106" s="36"/>
      <c r="OWH106" s="38"/>
      <c r="OWI106" s="38"/>
      <c r="OWO106" s="36"/>
      <c r="OWP106" s="38"/>
      <c r="OWQ106" s="38"/>
      <c r="OWW106" s="36"/>
      <c r="OWX106" s="38"/>
      <c r="OWY106" s="38"/>
      <c r="OXE106" s="36"/>
      <c r="OXF106" s="38"/>
      <c r="OXG106" s="38"/>
      <c r="OXM106" s="36"/>
      <c r="OXN106" s="38"/>
      <c r="OXO106" s="38"/>
      <c r="OXU106" s="36"/>
      <c r="OXV106" s="38"/>
      <c r="OXW106" s="38"/>
      <c r="OYC106" s="36"/>
      <c r="OYD106" s="38"/>
      <c r="OYE106" s="38"/>
      <c r="OYK106" s="36"/>
      <c r="OYL106" s="38"/>
      <c r="OYM106" s="38"/>
      <c r="OYS106" s="36"/>
      <c r="OYT106" s="38"/>
      <c r="OYU106" s="38"/>
      <c r="OZA106" s="36"/>
      <c r="OZB106" s="38"/>
      <c r="OZC106" s="38"/>
      <c r="OZI106" s="36"/>
      <c r="OZJ106" s="38"/>
      <c r="OZK106" s="38"/>
      <c r="OZQ106" s="36"/>
      <c r="OZR106" s="38"/>
      <c r="OZS106" s="38"/>
      <c r="OZY106" s="36"/>
      <c r="OZZ106" s="38"/>
      <c r="PAA106" s="38"/>
      <c r="PAG106" s="36"/>
      <c r="PAH106" s="38"/>
      <c r="PAI106" s="38"/>
      <c r="PAO106" s="36"/>
      <c r="PAP106" s="38"/>
      <c r="PAQ106" s="38"/>
      <c r="PAW106" s="36"/>
      <c r="PAX106" s="38"/>
      <c r="PAY106" s="38"/>
      <c r="PBE106" s="36"/>
      <c r="PBF106" s="38"/>
      <c r="PBG106" s="38"/>
      <c r="PBM106" s="36"/>
      <c r="PBN106" s="38"/>
      <c r="PBO106" s="38"/>
      <c r="PBU106" s="36"/>
      <c r="PBV106" s="38"/>
      <c r="PBW106" s="38"/>
      <c r="PCC106" s="36"/>
      <c r="PCD106" s="38"/>
      <c r="PCE106" s="38"/>
      <c r="PCK106" s="36"/>
      <c r="PCL106" s="38"/>
      <c r="PCM106" s="38"/>
      <c r="PCS106" s="36"/>
      <c r="PCT106" s="38"/>
      <c r="PCU106" s="38"/>
      <c r="PDA106" s="36"/>
      <c r="PDB106" s="38"/>
      <c r="PDC106" s="38"/>
      <c r="PDI106" s="36"/>
      <c r="PDJ106" s="38"/>
      <c r="PDK106" s="38"/>
      <c r="PDQ106" s="36"/>
      <c r="PDR106" s="38"/>
      <c r="PDS106" s="38"/>
      <c r="PDY106" s="36"/>
      <c r="PDZ106" s="38"/>
      <c r="PEA106" s="38"/>
      <c r="PEG106" s="36"/>
      <c r="PEH106" s="38"/>
      <c r="PEI106" s="38"/>
      <c r="PEO106" s="36"/>
      <c r="PEP106" s="38"/>
      <c r="PEQ106" s="38"/>
      <c r="PEW106" s="36"/>
      <c r="PEX106" s="38"/>
      <c r="PEY106" s="38"/>
      <c r="PFE106" s="36"/>
      <c r="PFF106" s="38"/>
      <c r="PFG106" s="38"/>
      <c r="PFM106" s="36"/>
      <c r="PFN106" s="38"/>
      <c r="PFO106" s="38"/>
      <c r="PFU106" s="36"/>
      <c r="PFV106" s="38"/>
      <c r="PFW106" s="38"/>
      <c r="PGC106" s="36"/>
      <c r="PGD106" s="38"/>
      <c r="PGE106" s="38"/>
      <c r="PGK106" s="36"/>
      <c r="PGL106" s="38"/>
      <c r="PGM106" s="38"/>
      <c r="PGS106" s="36"/>
      <c r="PGT106" s="38"/>
      <c r="PGU106" s="38"/>
      <c r="PHA106" s="36"/>
      <c r="PHB106" s="38"/>
      <c r="PHC106" s="38"/>
      <c r="PHI106" s="36"/>
      <c r="PHJ106" s="38"/>
      <c r="PHK106" s="38"/>
      <c r="PHQ106" s="36"/>
      <c r="PHR106" s="38"/>
      <c r="PHS106" s="38"/>
      <c r="PHY106" s="36"/>
      <c r="PHZ106" s="38"/>
      <c r="PIA106" s="38"/>
      <c r="PIG106" s="36"/>
      <c r="PIH106" s="38"/>
      <c r="PII106" s="38"/>
      <c r="PIO106" s="36"/>
      <c r="PIP106" s="38"/>
      <c r="PIQ106" s="38"/>
      <c r="PIW106" s="36"/>
      <c r="PIX106" s="38"/>
      <c r="PIY106" s="38"/>
      <c r="PJE106" s="36"/>
      <c r="PJF106" s="38"/>
      <c r="PJG106" s="38"/>
      <c r="PJM106" s="36"/>
      <c r="PJN106" s="38"/>
      <c r="PJO106" s="38"/>
      <c r="PJU106" s="36"/>
      <c r="PJV106" s="38"/>
      <c r="PJW106" s="38"/>
      <c r="PKC106" s="36"/>
      <c r="PKD106" s="38"/>
      <c r="PKE106" s="38"/>
      <c r="PKK106" s="36"/>
      <c r="PKL106" s="38"/>
      <c r="PKM106" s="38"/>
      <c r="PKS106" s="36"/>
      <c r="PKT106" s="38"/>
      <c r="PKU106" s="38"/>
      <c r="PLA106" s="36"/>
      <c r="PLB106" s="38"/>
      <c r="PLC106" s="38"/>
      <c r="PLI106" s="36"/>
      <c r="PLJ106" s="38"/>
      <c r="PLK106" s="38"/>
      <c r="PLQ106" s="36"/>
      <c r="PLR106" s="38"/>
      <c r="PLS106" s="38"/>
      <c r="PLY106" s="36"/>
      <c r="PLZ106" s="38"/>
      <c r="PMA106" s="38"/>
      <c r="PMG106" s="36"/>
      <c r="PMH106" s="38"/>
      <c r="PMI106" s="38"/>
      <c r="PMO106" s="36"/>
      <c r="PMP106" s="38"/>
      <c r="PMQ106" s="38"/>
      <c r="PMW106" s="36"/>
      <c r="PMX106" s="38"/>
      <c r="PMY106" s="38"/>
      <c r="PNE106" s="36"/>
      <c r="PNF106" s="38"/>
      <c r="PNG106" s="38"/>
      <c r="PNM106" s="36"/>
      <c r="PNN106" s="38"/>
      <c r="PNO106" s="38"/>
      <c r="PNU106" s="36"/>
      <c r="PNV106" s="38"/>
      <c r="PNW106" s="38"/>
      <c r="POC106" s="36"/>
      <c r="POD106" s="38"/>
      <c r="POE106" s="38"/>
      <c r="POK106" s="36"/>
      <c r="POL106" s="38"/>
      <c r="POM106" s="38"/>
      <c r="POS106" s="36"/>
      <c r="POT106" s="38"/>
      <c r="POU106" s="38"/>
      <c r="PPA106" s="36"/>
      <c r="PPB106" s="38"/>
      <c r="PPC106" s="38"/>
      <c r="PPI106" s="36"/>
      <c r="PPJ106" s="38"/>
      <c r="PPK106" s="38"/>
      <c r="PPQ106" s="36"/>
      <c r="PPR106" s="38"/>
      <c r="PPS106" s="38"/>
      <c r="PPY106" s="36"/>
      <c r="PPZ106" s="38"/>
      <c r="PQA106" s="38"/>
      <c r="PQG106" s="36"/>
      <c r="PQH106" s="38"/>
      <c r="PQI106" s="38"/>
      <c r="PQO106" s="36"/>
      <c r="PQP106" s="38"/>
      <c r="PQQ106" s="38"/>
      <c r="PQW106" s="36"/>
      <c r="PQX106" s="38"/>
      <c r="PQY106" s="38"/>
      <c r="PRE106" s="36"/>
      <c r="PRF106" s="38"/>
      <c r="PRG106" s="38"/>
      <c r="PRM106" s="36"/>
      <c r="PRN106" s="38"/>
      <c r="PRO106" s="38"/>
      <c r="PRU106" s="36"/>
      <c r="PRV106" s="38"/>
      <c r="PRW106" s="38"/>
      <c r="PSC106" s="36"/>
      <c r="PSD106" s="38"/>
      <c r="PSE106" s="38"/>
      <c r="PSK106" s="36"/>
      <c r="PSL106" s="38"/>
      <c r="PSM106" s="38"/>
      <c r="PSS106" s="36"/>
      <c r="PST106" s="38"/>
      <c r="PSU106" s="38"/>
      <c r="PTA106" s="36"/>
      <c r="PTB106" s="38"/>
      <c r="PTC106" s="38"/>
      <c r="PTI106" s="36"/>
      <c r="PTJ106" s="38"/>
      <c r="PTK106" s="38"/>
      <c r="PTQ106" s="36"/>
      <c r="PTR106" s="38"/>
      <c r="PTS106" s="38"/>
      <c r="PTY106" s="36"/>
      <c r="PTZ106" s="38"/>
      <c r="PUA106" s="38"/>
      <c r="PUG106" s="36"/>
      <c r="PUH106" s="38"/>
      <c r="PUI106" s="38"/>
      <c r="PUO106" s="36"/>
      <c r="PUP106" s="38"/>
      <c r="PUQ106" s="38"/>
      <c r="PUW106" s="36"/>
      <c r="PUX106" s="38"/>
      <c r="PUY106" s="38"/>
      <c r="PVE106" s="36"/>
      <c r="PVF106" s="38"/>
      <c r="PVG106" s="38"/>
      <c r="PVM106" s="36"/>
      <c r="PVN106" s="38"/>
      <c r="PVO106" s="38"/>
      <c r="PVU106" s="36"/>
      <c r="PVV106" s="38"/>
      <c r="PVW106" s="38"/>
      <c r="PWC106" s="36"/>
      <c r="PWD106" s="38"/>
      <c r="PWE106" s="38"/>
      <c r="PWK106" s="36"/>
      <c r="PWL106" s="38"/>
      <c r="PWM106" s="38"/>
      <c r="PWS106" s="36"/>
      <c r="PWT106" s="38"/>
      <c r="PWU106" s="38"/>
      <c r="PXA106" s="36"/>
      <c r="PXB106" s="38"/>
      <c r="PXC106" s="38"/>
      <c r="PXI106" s="36"/>
      <c r="PXJ106" s="38"/>
      <c r="PXK106" s="38"/>
      <c r="PXQ106" s="36"/>
      <c r="PXR106" s="38"/>
      <c r="PXS106" s="38"/>
      <c r="PXY106" s="36"/>
      <c r="PXZ106" s="38"/>
      <c r="PYA106" s="38"/>
      <c r="PYG106" s="36"/>
      <c r="PYH106" s="38"/>
      <c r="PYI106" s="38"/>
      <c r="PYO106" s="36"/>
      <c r="PYP106" s="38"/>
      <c r="PYQ106" s="38"/>
      <c r="PYW106" s="36"/>
      <c r="PYX106" s="38"/>
      <c r="PYY106" s="38"/>
      <c r="PZE106" s="36"/>
      <c r="PZF106" s="38"/>
      <c r="PZG106" s="38"/>
      <c r="PZM106" s="36"/>
      <c r="PZN106" s="38"/>
      <c r="PZO106" s="38"/>
      <c r="PZU106" s="36"/>
      <c r="PZV106" s="38"/>
      <c r="PZW106" s="38"/>
      <c r="QAC106" s="36"/>
      <c r="QAD106" s="38"/>
      <c r="QAE106" s="38"/>
      <c r="QAK106" s="36"/>
      <c r="QAL106" s="38"/>
      <c r="QAM106" s="38"/>
      <c r="QAS106" s="36"/>
      <c r="QAT106" s="38"/>
      <c r="QAU106" s="38"/>
      <c r="QBA106" s="36"/>
      <c r="QBB106" s="38"/>
      <c r="QBC106" s="38"/>
      <c r="QBI106" s="36"/>
      <c r="QBJ106" s="38"/>
      <c r="QBK106" s="38"/>
      <c r="QBQ106" s="36"/>
      <c r="QBR106" s="38"/>
      <c r="QBS106" s="38"/>
      <c r="QBY106" s="36"/>
      <c r="QBZ106" s="38"/>
      <c r="QCA106" s="38"/>
      <c r="QCG106" s="36"/>
      <c r="QCH106" s="38"/>
      <c r="QCI106" s="38"/>
      <c r="QCO106" s="36"/>
      <c r="QCP106" s="38"/>
      <c r="QCQ106" s="38"/>
      <c r="QCW106" s="36"/>
      <c r="QCX106" s="38"/>
      <c r="QCY106" s="38"/>
      <c r="QDE106" s="36"/>
      <c r="QDF106" s="38"/>
      <c r="QDG106" s="38"/>
      <c r="QDM106" s="36"/>
      <c r="QDN106" s="38"/>
      <c r="QDO106" s="38"/>
      <c r="QDU106" s="36"/>
      <c r="QDV106" s="38"/>
      <c r="QDW106" s="38"/>
      <c r="QEC106" s="36"/>
      <c r="QED106" s="38"/>
      <c r="QEE106" s="38"/>
      <c r="QEK106" s="36"/>
      <c r="QEL106" s="38"/>
      <c r="QEM106" s="38"/>
      <c r="QES106" s="36"/>
      <c r="QET106" s="38"/>
      <c r="QEU106" s="38"/>
      <c r="QFA106" s="36"/>
      <c r="QFB106" s="38"/>
      <c r="QFC106" s="38"/>
      <c r="QFI106" s="36"/>
      <c r="QFJ106" s="38"/>
      <c r="QFK106" s="38"/>
      <c r="QFQ106" s="36"/>
      <c r="QFR106" s="38"/>
      <c r="QFS106" s="38"/>
      <c r="QFY106" s="36"/>
      <c r="QFZ106" s="38"/>
      <c r="QGA106" s="38"/>
      <c r="QGG106" s="36"/>
      <c r="QGH106" s="38"/>
      <c r="QGI106" s="38"/>
      <c r="QGO106" s="36"/>
      <c r="QGP106" s="38"/>
      <c r="QGQ106" s="38"/>
      <c r="QGW106" s="36"/>
      <c r="QGX106" s="38"/>
      <c r="QGY106" s="38"/>
      <c r="QHE106" s="36"/>
      <c r="QHF106" s="38"/>
      <c r="QHG106" s="38"/>
      <c r="QHM106" s="36"/>
      <c r="QHN106" s="38"/>
      <c r="QHO106" s="38"/>
      <c r="QHU106" s="36"/>
      <c r="QHV106" s="38"/>
      <c r="QHW106" s="38"/>
      <c r="QIC106" s="36"/>
      <c r="QID106" s="38"/>
      <c r="QIE106" s="38"/>
      <c r="QIK106" s="36"/>
      <c r="QIL106" s="38"/>
      <c r="QIM106" s="38"/>
      <c r="QIS106" s="36"/>
      <c r="QIT106" s="38"/>
      <c r="QIU106" s="38"/>
      <c r="QJA106" s="36"/>
      <c r="QJB106" s="38"/>
      <c r="QJC106" s="38"/>
      <c r="QJI106" s="36"/>
      <c r="QJJ106" s="38"/>
      <c r="QJK106" s="38"/>
      <c r="QJQ106" s="36"/>
      <c r="QJR106" s="38"/>
      <c r="QJS106" s="38"/>
      <c r="QJY106" s="36"/>
      <c r="QJZ106" s="38"/>
      <c r="QKA106" s="38"/>
      <c r="QKG106" s="36"/>
      <c r="QKH106" s="38"/>
      <c r="QKI106" s="38"/>
      <c r="QKO106" s="36"/>
      <c r="QKP106" s="38"/>
      <c r="QKQ106" s="38"/>
      <c r="QKW106" s="36"/>
      <c r="QKX106" s="38"/>
      <c r="QKY106" s="38"/>
      <c r="QLE106" s="36"/>
      <c r="QLF106" s="38"/>
      <c r="QLG106" s="38"/>
      <c r="QLM106" s="36"/>
      <c r="QLN106" s="38"/>
      <c r="QLO106" s="38"/>
      <c r="QLU106" s="36"/>
      <c r="QLV106" s="38"/>
      <c r="QLW106" s="38"/>
      <c r="QMC106" s="36"/>
      <c r="QMD106" s="38"/>
      <c r="QME106" s="38"/>
      <c r="QMK106" s="36"/>
      <c r="QML106" s="38"/>
      <c r="QMM106" s="38"/>
      <c r="QMS106" s="36"/>
      <c r="QMT106" s="38"/>
      <c r="QMU106" s="38"/>
      <c r="QNA106" s="36"/>
      <c r="QNB106" s="38"/>
      <c r="QNC106" s="38"/>
      <c r="QNI106" s="36"/>
      <c r="QNJ106" s="38"/>
      <c r="QNK106" s="38"/>
      <c r="QNQ106" s="36"/>
      <c r="QNR106" s="38"/>
      <c r="QNS106" s="38"/>
      <c r="QNY106" s="36"/>
      <c r="QNZ106" s="38"/>
      <c r="QOA106" s="38"/>
      <c r="QOG106" s="36"/>
      <c r="QOH106" s="38"/>
      <c r="QOI106" s="38"/>
      <c r="QOO106" s="36"/>
      <c r="QOP106" s="38"/>
      <c r="QOQ106" s="38"/>
      <c r="QOW106" s="36"/>
      <c r="QOX106" s="38"/>
      <c r="QOY106" s="38"/>
      <c r="QPE106" s="36"/>
      <c r="QPF106" s="38"/>
      <c r="QPG106" s="38"/>
      <c r="QPM106" s="36"/>
      <c r="QPN106" s="38"/>
      <c r="QPO106" s="38"/>
      <c r="QPU106" s="36"/>
      <c r="QPV106" s="38"/>
      <c r="QPW106" s="38"/>
      <c r="QQC106" s="36"/>
      <c r="QQD106" s="38"/>
      <c r="QQE106" s="38"/>
      <c r="QQK106" s="36"/>
      <c r="QQL106" s="38"/>
      <c r="QQM106" s="38"/>
      <c r="QQS106" s="36"/>
      <c r="QQT106" s="38"/>
      <c r="QQU106" s="38"/>
      <c r="QRA106" s="36"/>
      <c r="QRB106" s="38"/>
      <c r="QRC106" s="38"/>
      <c r="QRI106" s="36"/>
      <c r="QRJ106" s="38"/>
      <c r="QRK106" s="38"/>
      <c r="QRQ106" s="36"/>
      <c r="QRR106" s="38"/>
      <c r="QRS106" s="38"/>
      <c r="QRY106" s="36"/>
      <c r="QRZ106" s="38"/>
      <c r="QSA106" s="38"/>
      <c r="QSG106" s="36"/>
      <c r="QSH106" s="38"/>
      <c r="QSI106" s="38"/>
      <c r="QSO106" s="36"/>
      <c r="QSP106" s="38"/>
      <c r="QSQ106" s="38"/>
      <c r="QSW106" s="36"/>
      <c r="QSX106" s="38"/>
      <c r="QSY106" s="38"/>
      <c r="QTE106" s="36"/>
      <c r="QTF106" s="38"/>
      <c r="QTG106" s="38"/>
      <c r="QTM106" s="36"/>
      <c r="QTN106" s="38"/>
      <c r="QTO106" s="38"/>
      <c r="QTU106" s="36"/>
      <c r="QTV106" s="38"/>
      <c r="QTW106" s="38"/>
      <c r="QUC106" s="36"/>
      <c r="QUD106" s="38"/>
      <c r="QUE106" s="38"/>
      <c r="QUK106" s="36"/>
      <c r="QUL106" s="38"/>
      <c r="QUM106" s="38"/>
      <c r="QUS106" s="36"/>
      <c r="QUT106" s="38"/>
      <c r="QUU106" s="38"/>
      <c r="QVA106" s="36"/>
      <c r="QVB106" s="38"/>
      <c r="QVC106" s="38"/>
      <c r="QVI106" s="36"/>
      <c r="QVJ106" s="38"/>
      <c r="QVK106" s="38"/>
      <c r="QVQ106" s="36"/>
      <c r="QVR106" s="38"/>
      <c r="QVS106" s="38"/>
      <c r="QVY106" s="36"/>
      <c r="QVZ106" s="38"/>
      <c r="QWA106" s="38"/>
      <c r="QWG106" s="36"/>
      <c r="QWH106" s="38"/>
      <c r="QWI106" s="38"/>
      <c r="QWO106" s="36"/>
      <c r="QWP106" s="38"/>
      <c r="QWQ106" s="38"/>
      <c r="QWW106" s="36"/>
      <c r="QWX106" s="38"/>
      <c r="QWY106" s="38"/>
      <c r="QXE106" s="36"/>
      <c r="QXF106" s="38"/>
      <c r="QXG106" s="38"/>
      <c r="QXM106" s="36"/>
      <c r="QXN106" s="38"/>
      <c r="QXO106" s="38"/>
      <c r="QXU106" s="36"/>
      <c r="QXV106" s="38"/>
      <c r="QXW106" s="38"/>
      <c r="QYC106" s="36"/>
      <c r="QYD106" s="38"/>
      <c r="QYE106" s="38"/>
      <c r="QYK106" s="36"/>
      <c r="QYL106" s="38"/>
      <c r="QYM106" s="38"/>
      <c r="QYS106" s="36"/>
      <c r="QYT106" s="38"/>
      <c r="QYU106" s="38"/>
      <c r="QZA106" s="36"/>
      <c r="QZB106" s="38"/>
      <c r="QZC106" s="38"/>
      <c r="QZI106" s="36"/>
      <c r="QZJ106" s="38"/>
      <c r="QZK106" s="38"/>
      <c r="QZQ106" s="36"/>
      <c r="QZR106" s="38"/>
      <c r="QZS106" s="38"/>
      <c r="QZY106" s="36"/>
      <c r="QZZ106" s="38"/>
      <c r="RAA106" s="38"/>
      <c r="RAG106" s="36"/>
      <c r="RAH106" s="38"/>
      <c r="RAI106" s="38"/>
      <c r="RAO106" s="36"/>
      <c r="RAP106" s="38"/>
      <c r="RAQ106" s="38"/>
      <c r="RAW106" s="36"/>
      <c r="RAX106" s="38"/>
      <c r="RAY106" s="38"/>
      <c r="RBE106" s="36"/>
      <c r="RBF106" s="38"/>
      <c r="RBG106" s="38"/>
      <c r="RBM106" s="36"/>
      <c r="RBN106" s="38"/>
      <c r="RBO106" s="38"/>
      <c r="RBU106" s="36"/>
      <c r="RBV106" s="38"/>
      <c r="RBW106" s="38"/>
      <c r="RCC106" s="36"/>
      <c r="RCD106" s="38"/>
      <c r="RCE106" s="38"/>
      <c r="RCK106" s="36"/>
      <c r="RCL106" s="38"/>
      <c r="RCM106" s="38"/>
      <c r="RCS106" s="36"/>
      <c r="RCT106" s="38"/>
      <c r="RCU106" s="38"/>
      <c r="RDA106" s="36"/>
      <c r="RDB106" s="38"/>
      <c r="RDC106" s="38"/>
      <c r="RDI106" s="36"/>
      <c r="RDJ106" s="38"/>
      <c r="RDK106" s="38"/>
      <c r="RDQ106" s="36"/>
      <c r="RDR106" s="38"/>
      <c r="RDS106" s="38"/>
      <c r="RDY106" s="36"/>
      <c r="RDZ106" s="38"/>
      <c r="REA106" s="38"/>
      <c r="REG106" s="36"/>
      <c r="REH106" s="38"/>
      <c r="REI106" s="38"/>
      <c r="REO106" s="36"/>
      <c r="REP106" s="38"/>
      <c r="REQ106" s="38"/>
      <c r="REW106" s="36"/>
      <c r="REX106" s="38"/>
      <c r="REY106" s="38"/>
      <c r="RFE106" s="36"/>
      <c r="RFF106" s="38"/>
      <c r="RFG106" s="38"/>
      <c r="RFM106" s="36"/>
      <c r="RFN106" s="38"/>
      <c r="RFO106" s="38"/>
      <c r="RFU106" s="36"/>
      <c r="RFV106" s="38"/>
      <c r="RFW106" s="38"/>
      <c r="RGC106" s="36"/>
      <c r="RGD106" s="38"/>
      <c r="RGE106" s="38"/>
      <c r="RGK106" s="36"/>
      <c r="RGL106" s="38"/>
      <c r="RGM106" s="38"/>
      <c r="RGS106" s="36"/>
      <c r="RGT106" s="38"/>
      <c r="RGU106" s="38"/>
      <c r="RHA106" s="36"/>
      <c r="RHB106" s="38"/>
      <c r="RHC106" s="38"/>
      <c r="RHI106" s="36"/>
      <c r="RHJ106" s="38"/>
      <c r="RHK106" s="38"/>
      <c r="RHQ106" s="36"/>
      <c r="RHR106" s="38"/>
      <c r="RHS106" s="38"/>
      <c r="RHY106" s="36"/>
      <c r="RHZ106" s="38"/>
      <c r="RIA106" s="38"/>
      <c r="RIG106" s="36"/>
      <c r="RIH106" s="38"/>
      <c r="RII106" s="38"/>
      <c r="RIO106" s="36"/>
      <c r="RIP106" s="38"/>
      <c r="RIQ106" s="38"/>
      <c r="RIW106" s="36"/>
      <c r="RIX106" s="38"/>
      <c r="RIY106" s="38"/>
      <c r="RJE106" s="36"/>
      <c r="RJF106" s="38"/>
      <c r="RJG106" s="38"/>
      <c r="RJM106" s="36"/>
      <c r="RJN106" s="38"/>
      <c r="RJO106" s="38"/>
      <c r="RJU106" s="36"/>
      <c r="RJV106" s="38"/>
      <c r="RJW106" s="38"/>
      <c r="RKC106" s="36"/>
      <c r="RKD106" s="38"/>
      <c r="RKE106" s="38"/>
      <c r="RKK106" s="36"/>
      <c r="RKL106" s="38"/>
      <c r="RKM106" s="38"/>
      <c r="RKS106" s="36"/>
      <c r="RKT106" s="38"/>
      <c r="RKU106" s="38"/>
      <c r="RLA106" s="36"/>
      <c r="RLB106" s="38"/>
      <c r="RLC106" s="38"/>
      <c r="RLI106" s="36"/>
      <c r="RLJ106" s="38"/>
      <c r="RLK106" s="38"/>
      <c r="RLQ106" s="36"/>
      <c r="RLR106" s="38"/>
      <c r="RLS106" s="38"/>
      <c r="RLY106" s="36"/>
      <c r="RLZ106" s="38"/>
      <c r="RMA106" s="38"/>
      <c r="RMG106" s="36"/>
      <c r="RMH106" s="38"/>
      <c r="RMI106" s="38"/>
      <c r="RMO106" s="36"/>
      <c r="RMP106" s="38"/>
      <c r="RMQ106" s="38"/>
      <c r="RMW106" s="36"/>
      <c r="RMX106" s="38"/>
      <c r="RMY106" s="38"/>
      <c r="RNE106" s="36"/>
      <c r="RNF106" s="38"/>
      <c r="RNG106" s="38"/>
      <c r="RNM106" s="36"/>
      <c r="RNN106" s="38"/>
      <c r="RNO106" s="38"/>
      <c r="RNU106" s="36"/>
      <c r="RNV106" s="38"/>
      <c r="RNW106" s="38"/>
      <c r="ROC106" s="36"/>
      <c r="ROD106" s="38"/>
      <c r="ROE106" s="38"/>
      <c r="ROK106" s="36"/>
      <c r="ROL106" s="38"/>
      <c r="ROM106" s="38"/>
      <c r="ROS106" s="36"/>
      <c r="ROT106" s="38"/>
      <c r="ROU106" s="38"/>
      <c r="RPA106" s="36"/>
      <c r="RPB106" s="38"/>
      <c r="RPC106" s="38"/>
      <c r="RPI106" s="36"/>
      <c r="RPJ106" s="38"/>
      <c r="RPK106" s="38"/>
      <c r="RPQ106" s="36"/>
      <c r="RPR106" s="38"/>
      <c r="RPS106" s="38"/>
      <c r="RPY106" s="36"/>
      <c r="RPZ106" s="38"/>
      <c r="RQA106" s="38"/>
      <c r="RQG106" s="36"/>
      <c r="RQH106" s="38"/>
      <c r="RQI106" s="38"/>
      <c r="RQO106" s="36"/>
      <c r="RQP106" s="38"/>
      <c r="RQQ106" s="38"/>
      <c r="RQW106" s="36"/>
      <c r="RQX106" s="38"/>
      <c r="RQY106" s="38"/>
      <c r="RRE106" s="36"/>
      <c r="RRF106" s="38"/>
      <c r="RRG106" s="38"/>
      <c r="RRM106" s="36"/>
      <c r="RRN106" s="38"/>
      <c r="RRO106" s="38"/>
      <c r="RRU106" s="36"/>
      <c r="RRV106" s="38"/>
      <c r="RRW106" s="38"/>
      <c r="RSC106" s="36"/>
      <c r="RSD106" s="38"/>
      <c r="RSE106" s="38"/>
      <c r="RSK106" s="36"/>
      <c r="RSL106" s="38"/>
      <c r="RSM106" s="38"/>
      <c r="RSS106" s="36"/>
      <c r="RST106" s="38"/>
      <c r="RSU106" s="38"/>
      <c r="RTA106" s="36"/>
      <c r="RTB106" s="38"/>
      <c r="RTC106" s="38"/>
      <c r="RTI106" s="36"/>
      <c r="RTJ106" s="38"/>
      <c r="RTK106" s="38"/>
      <c r="RTQ106" s="36"/>
      <c r="RTR106" s="38"/>
      <c r="RTS106" s="38"/>
      <c r="RTY106" s="36"/>
      <c r="RTZ106" s="38"/>
      <c r="RUA106" s="38"/>
      <c r="RUG106" s="36"/>
      <c r="RUH106" s="38"/>
      <c r="RUI106" s="38"/>
      <c r="RUO106" s="36"/>
      <c r="RUP106" s="38"/>
      <c r="RUQ106" s="38"/>
      <c r="RUW106" s="36"/>
      <c r="RUX106" s="38"/>
      <c r="RUY106" s="38"/>
      <c r="RVE106" s="36"/>
      <c r="RVF106" s="38"/>
      <c r="RVG106" s="38"/>
      <c r="RVM106" s="36"/>
      <c r="RVN106" s="38"/>
      <c r="RVO106" s="38"/>
      <c r="RVU106" s="36"/>
      <c r="RVV106" s="38"/>
      <c r="RVW106" s="38"/>
      <c r="RWC106" s="36"/>
      <c r="RWD106" s="38"/>
      <c r="RWE106" s="38"/>
      <c r="RWK106" s="36"/>
      <c r="RWL106" s="38"/>
      <c r="RWM106" s="38"/>
      <c r="RWS106" s="36"/>
      <c r="RWT106" s="38"/>
      <c r="RWU106" s="38"/>
      <c r="RXA106" s="36"/>
      <c r="RXB106" s="38"/>
      <c r="RXC106" s="38"/>
      <c r="RXI106" s="36"/>
      <c r="RXJ106" s="38"/>
      <c r="RXK106" s="38"/>
      <c r="RXQ106" s="36"/>
      <c r="RXR106" s="38"/>
      <c r="RXS106" s="38"/>
      <c r="RXY106" s="36"/>
      <c r="RXZ106" s="38"/>
      <c r="RYA106" s="38"/>
      <c r="RYG106" s="36"/>
      <c r="RYH106" s="38"/>
      <c r="RYI106" s="38"/>
      <c r="RYO106" s="36"/>
      <c r="RYP106" s="38"/>
      <c r="RYQ106" s="38"/>
      <c r="RYW106" s="36"/>
      <c r="RYX106" s="38"/>
      <c r="RYY106" s="38"/>
      <c r="RZE106" s="36"/>
      <c r="RZF106" s="38"/>
      <c r="RZG106" s="38"/>
      <c r="RZM106" s="36"/>
      <c r="RZN106" s="38"/>
      <c r="RZO106" s="38"/>
      <c r="RZU106" s="36"/>
      <c r="RZV106" s="38"/>
      <c r="RZW106" s="38"/>
      <c r="SAC106" s="36"/>
      <c r="SAD106" s="38"/>
      <c r="SAE106" s="38"/>
      <c r="SAK106" s="36"/>
      <c r="SAL106" s="38"/>
      <c r="SAM106" s="38"/>
      <c r="SAS106" s="36"/>
      <c r="SAT106" s="38"/>
      <c r="SAU106" s="38"/>
      <c r="SBA106" s="36"/>
      <c r="SBB106" s="38"/>
      <c r="SBC106" s="38"/>
      <c r="SBI106" s="36"/>
      <c r="SBJ106" s="38"/>
      <c r="SBK106" s="38"/>
      <c r="SBQ106" s="36"/>
      <c r="SBR106" s="38"/>
      <c r="SBS106" s="38"/>
      <c r="SBY106" s="36"/>
      <c r="SBZ106" s="38"/>
      <c r="SCA106" s="38"/>
      <c r="SCG106" s="36"/>
      <c r="SCH106" s="38"/>
      <c r="SCI106" s="38"/>
      <c r="SCO106" s="36"/>
      <c r="SCP106" s="38"/>
      <c r="SCQ106" s="38"/>
      <c r="SCW106" s="36"/>
      <c r="SCX106" s="38"/>
      <c r="SCY106" s="38"/>
      <c r="SDE106" s="36"/>
      <c r="SDF106" s="38"/>
      <c r="SDG106" s="38"/>
      <c r="SDM106" s="36"/>
      <c r="SDN106" s="38"/>
      <c r="SDO106" s="38"/>
      <c r="SDU106" s="36"/>
      <c r="SDV106" s="38"/>
      <c r="SDW106" s="38"/>
      <c r="SEC106" s="36"/>
      <c r="SED106" s="38"/>
      <c r="SEE106" s="38"/>
      <c r="SEK106" s="36"/>
      <c r="SEL106" s="38"/>
      <c r="SEM106" s="38"/>
      <c r="SES106" s="36"/>
      <c r="SET106" s="38"/>
      <c r="SEU106" s="38"/>
      <c r="SFA106" s="36"/>
      <c r="SFB106" s="38"/>
      <c r="SFC106" s="38"/>
      <c r="SFI106" s="36"/>
      <c r="SFJ106" s="38"/>
      <c r="SFK106" s="38"/>
      <c r="SFQ106" s="36"/>
      <c r="SFR106" s="38"/>
      <c r="SFS106" s="38"/>
      <c r="SFY106" s="36"/>
      <c r="SFZ106" s="38"/>
      <c r="SGA106" s="38"/>
      <c r="SGG106" s="36"/>
      <c r="SGH106" s="38"/>
      <c r="SGI106" s="38"/>
      <c r="SGO106" s="36"/>
      <c r="SGP106" s="38"/>
      <c r="SGQ106" s="38"/>
      <c r="SGW106" s="36"/>
      <c r="SGX106" s="38"/>
      <c r="SGY106" s="38"/>
      <c r="SHE106" s="36"/>
      <c r="SHF106" s="38"/>
      <c r="SHG106" s="38"/>
      <c r="SHM106" s="36"/>
      <c r="SHN106" s="38"/>
      <c r="SHO106" s="38"/>
      <c r="SHU106" s="36"/>
      <c r="SHV106" s="38"/>
      <c r="SHW106" s="38"/>
      <c r="SIC106" s="36"/>
      <c r="SID106" s="38"/>
      <c r="SIE106" s="38"/>
      <c r="SIK106" s="36"/>
      <c r="SIL106" s="38"/>
      <c r="SIM106" s="38"/>
      <c r="SIS106" s="36"/>
      <c r="SIT106" s="38"/>
      <c r="SIU106" s="38"/>
      <c r="SJA106" s="36"/>
      <c r="SJB106" s="38"/>
      <c r="SJC106" s="38"/>
      <c r="SJI106" s="36"/>
      <c r="SJJ106" s="38"/>
      <c r="SJK106" s="38"/>
      <c r="SJQ106" s="36"/>
      <c r="SJR106" s="38"/>
      <c r="SJS106" s="38"/>
      <c r="SJY106" s="36"/>
      <c r="SJZ106" s="38"/>
      <c r="SKA106" s="38"/>
      <c r="SKG106" s="36"/>
      <c r="SKH106" s="38"/>
      <c r="SKI106" s="38"/>
      <c r="SKO106" s="36"/>
      <c r="SKP106" s="38"/>
      <c r="SKQ106" s="38"/>
      <c r="SKW106" s="36"/>
      <c r="SKX106" s="38"/>
      <c r="SKY106" s="38"/>
      <c r="SLE106" s="36"/>
      <c r="SLF106" s="38"/>
      <c r="SLG106" s="38"/>
      <c r="SLM106" s="36"/>
      <c r="SLN106" s="38"/>
      <c r="SLO106" s="38"/>
      <c r="SLU106" s="36"/>
      <c r="SLV106" s="38"/>
      <c r="SLW106" s="38"/>
      <c r="SMC106" s="36"/>
      <c r="SMD106" s="38"/>
      <c r="SME106" s="38"/>
      <c r="SMK106" s="36"/>
      <c r="SML106" s="38"/>
      <c r="SMM106" s="38"/>
      <c r="SMS106" s="36"/>
      <c r="SMT106" s="38"/>
      <c r="SMU106" s="38"/>
      <c r="SNA106" s="36"/>
      <c r="SNB106" s="38"/>
      <c r="SNC106" s="38"/>
      <c r="SNI106" s="36"/>
      <c r="SNJ106" s="38"/>
      <c r="SNK106" s="38"/>
      <c r="SNQ106" s="36"/>
      <c r="SNR106" s="38"/>
      <c r="SNS106" s="38"/>
      <c r="SNY106" s="36"/>
      <c r="SNZ106" s="38"/>
      <c r="SOA106" s="38"/>
      <c r="SOG106" s="36"/>
      <c r="SOH106" s="38"/>
      <c r="SOI106" s="38"/>
      <c r="SOO106" s="36"/>
      <c r="SOP106" s="38"/>
      <c r="SOQ106" s="38"/>
      <c r="SOW106" s="36"/>
      <c r="SOX106" s="38"/>
      <c r="SOY106" s="38"/>
      <c r="SPE106" s="36"/>
      <c r="SPF106" s="38"/>
      <c r="SPG106" s="38"/>
      <c r="SPM106" s="36"/>
      <c r="SPN106" s="38"/>
      <c r="SPO106" s="38"/>
      <c r="SPU106" s="36"/>
      <c r="SPV106" s="38"/>
      <c r="SPW106" s="38"/>
      <c r="SQC106" s="36"/>
      <c r="SQD106" s="38"/>
      <c r="SQE106" s="38"/>
      <c r="SQK106" s="36"/>
      <c r="SQL106" s="38"/>
      <c r="SQM106" s="38"/>
      <c r="SQS106" s="36"/>
      <c r="SQT106" s="38"/>
      <c r="SQU106" s="38"/>
      <c r="SRA106" s="36"/>
      <c r="SRB106" s="38"/>
      <c r="SRC106" s="38"/>
      <c r="SRI106" s="36"/>
      <c r="SRJ106" s="38"/>
      <c r="SRK106" s="38"/>
      <c r="SRQ106" s="36"/>
      <c r="SRR106" s="38"/>
      <c r="SRS106" s="38"/>
      <c r="SRY106" s="36"/>
      <c r="SRZ106" s="38"/>
      <c r="SSA106" s="38"/>
      <c r="SSG106" s="36"/>
      <c r="SSH106" s="38"/>
      <c r="SSI106" s="38"/>
      <c r="SSO106" s="36"/>
      <c r="SSP106" s="38"/>
      <c r="SSQ106" s="38"/>
      <c r="SSW106" s="36"/>
      <c r="SSX106" s="38"/>
      <c r="SSY106" s="38"/>
      <c r="STE106" s="36"/>
      <c r="STF106" s="38"/>
      <c r="STG106" s="38"/>
      <c r="STM106" s="36"/>
      <c r="STN106" s="38"/>
      <c r="STO106" s="38"/>
      <c r="STU106" s="36"/>
      <c r="STV106" s="38"/>
      <c r="STW106" s="38"/>
      <c r="SUC106" s="36"/>
      <c r="SUD106" s="38"/>
      <c r="SUE106" s="38"/>
      <c r="SUK106" s="36"/>
      <c r="SUL106" s="38"/>
      <c r="SUM106" s="38"/>
      <c r="SUS106" s="36"/>
      <c r="SUT106" s="38"/>
      <c r="SUU106" s="38"/>
      <c r="SVA106" s="36"/>
      <c r="SVB106" s="38"/>
      <c r="SVC106" s="38"/>
      <c r="SVI106" s="36"/>
      <c r="SVJ106" s="38"/>
      <c r="SVK106" s="38"/>
      <c r="SVQ106" s="36"/>
      <c r="SVR106" s="38"/>
      <c r="SVS106" s="38"/>
      <c r="SVY106" s="36"/>
      <c r="SVZ106" s="38"/>
      <c r="SWA106" s="38"/>
      <c r="SWG106" s="36"/>
      <c r="SWH106" s="38"/>
      <c r="SWI106" s="38"/>
      <c r="SWO106" s="36"/>
      <c r="SWP106" s="38"/>
      <c r="SWQ106" s="38"/>
      <c r="SWW106" s="36"/>
      <c r="SWX106" s="38"/>
      <c r="SWY106" s="38"/>
      <c r="SXE106" s="36"/>
      <c r="SXF106" s="38"/>
      <c r="SXG106" s="38"/>
      <c r="SXM106" s="36"/>
      <c r="SXN106" s="38"/>
      <c r="SXO106" s="38"/>
      <c r="SXU106" s="36"/>
      <c r="SXV106" s="38"/>
      <c r="SXW106" s="38"/>
      <c r="SYC106" s="36"/>
      <c r="SYD106" s="38"/>
      <c r="SYE106" s="38"/>
      <c r="SYK106" s="36"/>
      <c r="SYL106" s="38"/>
      <c r="SYM106" s="38"/>
      <c r="SYS106" s="36"/>
      <c r="SYT106" s="38"/>
      <c r="SYU106" s="38"/>
      <c r="SZA106" s="36"/>
      <c r="SZB106" s="38"/>
      <c r="SZC106" s="38"/>
      <c r="SZI106" s="36"/>
      <c r="SZJ106" s="38"/>
      <c r="SZK106" s="38"/>
      <c r="SZQ106" s="36"/>
      <c r="SZR106" s="38"/>
      <c r="SZS106" s="38"/>
      <c r="SZY106" s="36"/>
      <c r="SZZ106" s="38"/>
      <c r="TAA106" s="38"/>
      <c r="TAG106" s="36"/>
      <c r="TAH106" s="38"/>
      <c r="TAI106" s="38"/>
      <c r="TAO106" s="36"/>
      <c r="TAP106" s="38"/>
      <c r="TAQ106" s="38"/>
      <c r="TAW106" s="36"/>
      <c r="TAX106" s="38"/>
      <c r="TAY106" s="38"/>
      <c r="TBE106" s="36"/>
      <c r="TBF106" s="38"/>
      <c r="TBG106" s="38"/>
      <c r="TBM106" s="36"/>
      <c r="TBN106" s="38"/>
      <c r="TBO106" s="38"/>
      <c r="TBU106" s="36"/>
      <c r="TBV106" s="38"/>
      <c r="TBW106" s="38"/>
      <c r="TCC106" s="36"/>
      <c r="TCD106" s="38"/>
      <c r="TCE106" s="38"/>
      <c r="TCK106" s="36"/>
      <c r="TCL106" s="38"/>
      <c r="TCM106" s="38"/>
      <c r="TCS106" s="36"/>
      <c r="TCT106" s="38"/>
      <c r="TCU106" s="38"/>
      <c r="TDA106" s="36"/>
      <c r="TDB106" s="38"/>
      <c r="TDC106" s="38"/>
      <c r="TDI106" s="36"/>
      <c r="TDJ106" s="38"/>
      <c r="TDK106" s="38"/>
      <c r="TDQ106" s="36"/>
      <c r="TDR106" s="38"/>
      <c r="TDS106" s="38"/>
      <c r="TDY106" s="36"/>
      <c r="TDZ106" s="38"/>
      <c r="TEA106" s="38"/>
      <c r="TEG106" s="36"/>
      <c r="TEH106" s="38"/>
      <c r="TEI106" s="38"/>
      <c r="TEO106" s="36"/>
      <c r="TEP106" s="38"/>
      <c r="TEQ106" s="38"/>
      <c r="TEW106" s="36"/>
      <c r="TEX106" s="38"/>
      <c r="TEY106" s="38"/>
      <c r="TFE106" s="36"/>
      <c r="TFF106" s="38"/>
      <c r="TFG106" s="38"/>
      <c r="TFM106" s="36"/>
      <c r="TFN106" s="38"/>
      <c r="TFO106" s="38"/>
      <c r="TFU106" s="36"/>
      <c r="TFV106" s="38"/>
      <c r="TFW106" s="38"/>
      <c r="TGC106" s="36"/>
      <c r="TGD106" s="38"/>
      <c r="TGE106" s="38"/>
      <c r="TGK106" s="36"/>
      <c r="TGL106" s="38"/>
      <c r="TGM106" s="38"/>
      <c r="TGS106" s="36"/>
      <c r="TGT106" s="38"/>
      <c r="TGU106" s="38"/>
      <c r="THA106" s="36"/>
      <c r="THB106" s="38"/>
      <c r="THC106" s="38"/>
      <c r="THI106" s="36"/>
      <c r="THJ106" s="38"/>
      <c r="THK106" s="38"/>
      <c r="THQ106" s="36"/>
      <c r="THR106" s="38"/>
      <c r="THS106" s="38"/>
      <c r="THY106" s="36"/>
      <c r="THZ106" s="38"/>
      <c r="TIA106" s="38"/>
      <c r="TIG106" s="36"/>
      <c r="TIH106" s="38"/>
      <c r="TII106" s="38"/>
      <c r="TIO106" s="36"/>
      <c r="TIP106" s="38"/>
      <c r="TIQ106" s="38"/>
      <c r="TIW106" s="36"/>
      <c r="TIX106" s="38"/>
      <c r="TIY106" s="38"/>
      <c r="TJE106" s="36"/>
      <c r="TJF106" s="38"/>
      <c r="TJG106" s="38"/>
      <c r="TJM106" s="36"/>
      <c r="TJN106" s="38"/>
      <c r="TJO106" s="38"/>
      <c r="TJU106" s="36"/>
      <c r="TJV106" s="38"/>
      <c r="TJW106" s="38"/>
      <c r="TKC106" s="36"/>
      <c r="TKD106" s="38"/>
      <c r="TKE106" s="38"/>
      <c r="TKK106" s="36"/>
      <c r="TKL106" s="38"/>
      <c r="TKM106" s="38"/>
      <c r="TKS106" s="36"/>
      <c r="TKT106" s="38"/>
      <c r="TKU106" s="38"/>
      <c r="TLA106" s="36"/>
      <c r="TLB106" s="38"/>
      <c r="TLC106" s="38"/>
      <c r="TLI106" s="36"/>
      <c r="TLJ106" s="38"/>
      <c r="TLK106" s="38"/>
      <c r="TLQ106" s="36"/>
      <c r="TLR106" s="38"/>
      <c r="TLS106" s="38"/>
      <c r="TLY106" s="36"/>
      <c r="TLZ106" s="38"/>
      <c r="TMA106" s="38"/>
      <c r="TMG106" s="36"/>
      <c r="TMH106" s="38"/>
      <c r="TMI106" s="38"/>
      <c r="TMO106" s="36"/>
      <c r="TMP106" s="38"/>
      <c r="TMQ106" s="38"/>
      <c r="TMW106" s="36"/>
      <c r="TMX106" s="38"/>
      <c r="TMY106" s="38"/>
      <c r="TNE106" s="36"/>
      <c r="TNF106" s="38"/>
      <c r="TNG106" s="38"/>
      <c r="TNM106" s="36"/>
      <c r="TNN106" s="38"/>
      <c r="TNO106" s="38"/>
      <c r="TNU106" s="36"/>
      <c r="TNV106" s="38"/>
      <c r="TNW106" s="38"/>
      <c r="TOC106" s="36"/>
      <c r="TOD106" s="38"/>
      <c r="TOE106" s="38"/>
      <c r="TOK106" s="36"/>
      <c r="TOL106" s="38"/>
      <c r="TOM106" s="38"/>
      <c r="TOS106" s="36"/>
      <c r="TOT106" s="38"/>
      <c r="TOU106" s="38"/>
      <c r="TPA106" s="36"/>
      <c r="TPB106" s="38"/>
      <c r="TPC106" s="38"/>
      <c r="TPI106" s="36"/>
      <c r="TPJ106" s="38"/>
      <c r="TPK106" s="38"/>
      <c r="TPQ106" s="36"/>
      <c r="TPR106" s="38"/>
      <c r="TPS106" s="38"/>
      <c r="TPY106" s="36"/>
      <c r="TPZ106" s="38"/>
      <c r="TQA106" s="38"/>
      <c r="TQG106" s="36"/>
      <c r="TQH106" s="38"/>
      <c r="TQI106" s="38"/>
      <c r="TQO106" s="36"/>
      <c r="TQP106" s="38"/>
      <c r="TQQ106" s="38"/>
      <c r="TQW106" s="36"/>
      <c r="TQX106" s="38"/>
      <c r="TQY106" s="38"/>
      <c r="TRE106" s="36"/>
      <c r="TRF106" s="38"/>
      <c r="TRG106" s="38"/>
      <c r="TRM106" s="36"/>
      <c r="TRN106" s="38"/>
      <c r="TRO106" s="38"/>
      <c r="TRU106" s="36"/>
      <c r="TRV106" s="38"/>
      <c r="TRW106" s="38"/>
      <c r="TSC106" s="36"/>
      <c r="TSD106" s="38"/>
      <c r="TSE106" s="38"/>
      <c r="TSK106" s="36"/>
      <c r="TSL106" s="38"/>
      <c r="TSM106" s="38"/>
      <c r="TSS106" s="36"/>
      <c r="TST106" s="38"/>
      <c r="TSU106" s="38"/>
      <c r="TTA106" s="36"/>
      <c r="TTB106" s="38"/>
      <c r="TTC106" s="38"/>
      <c r="TTI106" s="36"/>
      <c r="TTJ106" s="38"/>
      <c r="TTK106" s="38"/>
      <c r="TTQ106" s="36"/>
      <c r="TTR106" s="38"/>
      <c r="TTS106" s="38"/>
      <c r="TTY106" s="36"/>
      <c r="TTZ106" s="38"/>
      <c r="TUA106" s="38"/>
      <c r="TUG106" s="36"/>
      <c r="TUH106" s="38"/>
      <c r="TUI106" s="38"/>
      <c r="TUO106" s="36"/>
      <c r="TUP106" s="38"/>
      <c r="TUQ106" s="38"/>
      <c r="TUW106" s="36"/>
      <c r="TUX106" s="38"/>
      <c r="TUY106" s="38"/>
      <c r="TVE106" s="36"/>
      <c r="TVF106" s="38"/>
      <c r="TVG106" s="38"/>
      <c r="TVM106" s="36"/>
      <c r="TVN106" s="38"/>
      <c r="TVO106" s="38"/>
      <c r="TVU106" s="36"/>
      <c r="TVV106" s="38"/>
      <c r="TVW106" s="38"/>
      <c r="TWC106" s="36"/>
      <c r="TWD106" s="38"/>
      <c r="TWE106" s="38"/>
      <c r="TWK106" s="36"/>
      <c r="TWL106" s="38"/>
      <c r="TWM106" s="38"/>
      <c r="TWS106" s="36"/>
      <c r="TWT106" s="38"/>
      <c r="TWU106" s="38"/>
      <c r="TXA106" s="36"/>
      <c r="TXB106" s="38"/>
      <c r="TXC106" s="38"/>
      <c r="TXI106" s="36"/>
      <c r="TXJ106" s="38"/>
      <c r="TXK106" s="38"/>
      <c r="TXQ106" s="36"/>
      <c r="TXR106" s="38"/>
      <c r="TXS106" s="38"/>
      <c r="TXY106" s="36"/>
      <c r="TXZ106" s="38"/>
      <c r="TYA106" s="38"/>
      <c r="TYG106" s="36"/>
      <c r="TYH106" s="38"/>
      <c r="TYI106" s="38"/>
      <c r="TYO106" s="36"/>
      <c r="TYP106" s="38"/>
      <c r="TYQ106" s="38"/>
      <c r="TYW106" s="36"/>
      <c r="TYX106" s="38"/>
      <c r="TYY106" s="38"/>
      <c r="TZE106" s="36"/>
      <c r="TZF106" s="38"/>
      <c r="TZG106" s="38"/>
      <c r="TZM106" s="36"/>
      <c r="TZN106" s="38"/>
      <c r="TZO106" s="38"/>
      <c r="TZU106" s="36"/>
      <c r="TZV106" s="38"/>
      <c r="TZW106" s="38"/>
      <c r="UAC106" s="36"/>
      <c r="UAD106" s="38"/>
      <c r="UAE106" s="38"/>
      <c r="UAK106" s="36"/>
      <c r="UAL106" s="38"/>
      <c r="UAM106" s="38"/>
      <c r="UAS106" s="36"/>
      <c r="UAT106" s="38"/>
      <c r="UAU106" s="38"/>
      <c r="UBA106" s="36"/>
      <c r="UBB106" s="38"/>
      <c r="UBC106" s="38"/>
      <c r="UBI106" s="36"/>
      <c r="UBJ106" s="38"/>
      <c r="UBK106" s="38"/>
      <c r="UBQ106" s="36"/>
      <c r="UBR106" s="38"/>
      <c r="UBS106" s="38"/>
      <c r="UBY106" s="36"/>
      <c r="UBZ106" s="38"/>
      <c r="UCA106" s="38"/>
      <c r="UCG106" s="36"/>
      <c r="UCH106" s="38"/>
      <c r="UCI106" s="38"/>
      <c r="UCO106" s="36"/>
      <c r="UCP106" s="38"/>
      <c r="UCQ106" s="38"/>
      <c r="UCW106" s="36"/>
      <c r="UCX106" s="38"/>
      <c r="UCY106" s="38"/>
      <c r="UDE106" s="36"/>
      <c r="UDF106" s="38"/>
      <c r="UDG106" s="38"/>
      <c r="UDM106" s="36"/>
      <c r="UDN106" s="38"/>
      <c r="UDO106" s="38"/>
      <c r="UDU106" s="36"/>
      <c r="UDV106" s="38"/>
      <c r="UDW106" s="38"/>
      <c r="UEC106" s="36"/>
      <c r="UED106" s="38"/>
      <c r="UEE106" s="38"/>
      <c r="UEK106" s="36"/>
      <c r="UEL106" s="38"/>
      <c r="UEM106" s="38"/>
      <c r="UES106" s="36"/>
      <c r="UET106" s="38"/>
      <c r="UEU106" s="38"/>
      <c r="UFA106" s="36"/>
      <c r="UFB106" s="38"/>
      <c r="UFC106" s="38"/>
      <c r="UFI106" s="36"/>
      <c r="UFJ106" s="38"/>
      <c r="UFK106" s="38"/>
      <c r="UFQ106" s="36"/>
      <c r="UFR106" s="38"/>
      <c r="UFS106" s="38"/>
      <c r="UFY106" s="36"/>
      <c r="UFZ106" s="38"/>
      <c r="UGA106" s="38"/>
      <c r="UGG106" s="36"/>
      <c r="UGH106" s="38"/>
      <c r="UGI106" s="38"/>
      <c r="UGO106" s="36"/>
      <c r="UGP106" s="38"/>
      <c r="UGQ106" s="38"/>
      <c r="UGW106" s="36"/>
      <c r="UGX106" s="38"/>
      <c r="UGY106" s="38"/>
      <c r="UHE106" s="36"/>
      <c r="UHF106" s="38"/>
      <c r="UHG106" s="38"/>
      <c r="UHM106" s="36"/>
      <c r="UHN106" s="38"/>
      <c r="UHO106" s="38"/>
      <c r="UHU106" s="36"/>
      <c r="UHV106" s="38"/>
      <c r="UHW106" s="38"/>
      <c r="UIC106" s="36"/>
      <c r="UID106" s="38"/>
      <c r="UIE106" s="38"/>
      <c r="UIK106" s="36"/>
      <c r="UIL106" s="38"/>
      <c r="UIM106" s="38"/>
      <c r="UIS106" s="36"/>
      <c r="UIT106" s="38"/>
      <c r="UIU106" s="38"/>
      <c r="UJA106" s="36"/>
      <c r="UJB106" s="38"/>
      <c r="UJC106" s="38"/>
      <c r="UJI106" s="36"/>
      <c r="UJJ106" s="38"/>
      <c r="UJK106" s="38"/>
      <c r="UJQ106" s="36"/>
      <c r="UJR106" s="38"/>
      <c r="UJS106" s="38"/>
      <c r="UJY106" s="36"/>
      <c r="UJZ106" s="38"/>
      <c r="UKA106" s="38"/>
      <c r="UKG106" s="36"/>
      <c r="UKH106" s="38"/>
      <c r="UKI106" s="38"/>
      <c r="UKO106" s="36"/>
      <c r="UKP106" s="38"/>
      <c r="UKQ106" s="38"/>
      <c r="UKW106" s="36"/>
      <c r="UKX106" s="38"/>
      <c r="UKY106" s="38"/>
      <c r="ULE106" s="36"/>
      <c r="ULF106" s="38"/>
      <c r="ULG106" s="38"/>
      <c r="ULM106" s="36"/>
      <c r="ULN106" s="38"/>
      <c r="ULO106" s="38"/>
      <c r="ULU106" s="36"/>
      <c r="ULV106" s="38"/>
      <c r="ULW106" s="38"/>
      <c r="UMC106" s="36"/>
      <c r="UMD106" s="38"/>
      <c r="UME106" s="38"/>
      <c r="UMK106" s="36"/>
      <c r="UML106" s="38"/>
      <c r="UMM106" s="38"/>
      <c r="UMS106" s="36"/>
      <c r="UMT106" s="38"/>
      <c r="UMU106" s="38"/>
      <c r="UNA106" s="36"/>
      <c r="UNB106" s="38"/>
      <c r="UNC106" s="38"/>
      <c r="UNI106" s="36"/>
      <c r="UNJ106" s="38"/>
      <c r="UNK106" s="38"/>
      <c r="UNQ106" s="36"/>
      <c r="UNR106" s="38"/>
      <c r="UNS106" s="38"/>
      <c r="UNY106" s="36"/>
      <c r="UNZ106" s="38"/>
      <c r="UOA106" s="38"/>
      <c r="UOG106" s="36"/>
      <c r="UOH106" s="38"/>
      <c r="UOI106" s="38"/>
      <c r="UOO106" s="36"/>
      <c r="UOP106" s="38"/>
      <c r="UOQ106" s="38"/>
      <c r="UOW106" s="36"/>
      <c r="UOX106" s="38"/>
      <c r="UOY106" s="38"/>
      <c r="UPE106" s="36"/>
      <c r="UPF106" s="38"/>
      <c r="UPG106" s="38"/>
      <c r="UPM106" s="36"/>
      <c r="UPN106" s="38"/>
      <c r="UPO106" s="38"/>
      <c r="UPU106" s="36"/>
      <c r="UPV106" s="38"/>
      <c r="UPW106" s="38"/>
      <c r="UQC106" s="36"/>
      <c r="UQD106" s="38"/>
      <c r="UQE106" s="38"/>
      <c r="UQK106" s="36"/>
      <c r="UQL106" s="38"/>
      <c r="UQM106" s="38"/>
      <c r="UQS106" s="36"/>
      <c r="UQT106" s="38"/>
      <c r="UQU106" s="38"/>
      <c r="URA106" s="36"/>
      <c r="URB106" s="38"/>
      <c r="URC106" s="38"/>
      <c r="URI106" s="36"/>
      <c r="URJ106" s="38"/>
      <c r="URK106" s="38"/>
      <c r="URQ106" s="36"/>
      <c r="URR106" s="38"/>
      <c r="URS106" s="38"/>
      <c r="URY106" s="36"/>
      <c r="URZ106" s="38"/>
      <c r="USA106" s="38"/>
      <c r="USG106" s="36"/>
      <c r="USH106" s="38"/>
      <c r="USI106" s="38"/>
      <c r="USO106" s="36"/>
      <c r="USP106" s="38"/>
      <c r="USQ106" s="38"/>
      <c r="USW106" s="36"/>
      <c r="USX106" s="38"/>
      <c r="USY106" s="38"/>
      <c r="UTE106" s="36"/>
      <c r="UTF106" s="38"/>
      <c r="UTG106" s="38"/>
      <c r="UTM106" s="36"/>
      <c r="UTN106" s="38"/>
      <c r="UTO106" s="38"/>
      <c r="UTU106" s="36"/>
      <c r="UTV106" s="38"/>
      <c r="UTW106" s="38"/>
      <c r="UUC106" s="36"/>
      <c r="UUD106" s="38"/>
      <c r="UUE106" s="38"/>
      <c r="UUK106" s="36"/>
      <c r="UUL106" s="38"/>
      <c r="UUM106" s="38"/>
      <c r="UUS106" s="36"/>
      <c r="UUT106" s="38"/>
      <c r="UUU106" s="38"/>
      <c r="UVA106" s="36"/>
      <c r="UVB106" s="38"/>
      <c r="UVC106" s="38"/>
      <c r="UVI106" s="36"/>
      <c r="UVJ106" s="38"/>
      <c r="UVK106" s="38"/>
      <c r="UVQ106" s="36"/>
      <c r="UVR106" s="38"/>
      <c r="UVS106" s="38"/>
      <c r="UVY106" s="36"/>
      <c r="UVZ106" s="38"/>
      <c r="UWA106" s="38"/>
      <c r="UWG106" s="36"/>
      <c r="UWH106" s="38"/>
      <c r="UWI106" s="38"/>
      <c r="UWO106" s="36"/>
      <c r="UWP106" s="38"/>
      <c r="UWQ106" s="38"/>
      <c r="UWW106" s="36"/>
      <c r="UWX106" s="38"/>
      <c r="UWY106" s="38"/>
      <c r="UXE106" s="36"/>
      <c r="UXF106" s="38"/>
      <c r="UXG106" s="38"/>
      <c r="UXM106" s="36"/>
      <c r="UXN106" s="38"/>
      <c r="UXO106" s="38"/>
      <c r="UXU106" s="36"/>
      <c r="UXV106" s="38"/>
      <c r="UXW106" s="38"/>
      <c r="UYC106" s="36"/>
      <c r="UYD106" s="38"/>
      <c r="UYE106" s="38"/>
      <c r="UYK106" s="36"/>
      <c r="UYL106" s="38"/>
      <c r="UYM106" s="38"/>
      <c r="UYS106" s="36"/>
      <c r="UYT106" s="38"/>
      <c r="UYU106" s="38"/>
      <c r="UZA106" s="36"/>
      <c r="UZB106" s="38"/>
      <c r="UZC106" s="38"/>
      <c r="UZI106" s="36"/>
      <c r="UZJ106" s="38"/>
      <c r="UZK106" s="38"/>
      <c r="UZQ106" s="36"/>
      <c r="UZR106" s="38"/>
      <c r="UZS106" s="38"/>
      <c r="UZY106" s="36"/>
      <c r="UZZ106" s="38"/>
      <c r="VAA106" s="38"/>
      <c r="VAG106" s="36"/>
      <c r="VAH106" s="38"/>
      <c r="VAI106" s="38"/>
      <c r="VAO106" s="36"/>
      <c r="VAP106" s="38"/>
      <c r="VAQ106" s="38"/>
      <c r="VAW106" s="36"/>
      <c r="VAX106" s="38"/>
      <c r="VAY106" s="38"/>
      <c r="VBE106" s="36"/>
      <c r="VBF106" s="38"/>
      <c r="VBG106" s="38"/>
      <c r="VBM106" s="36"/>
      <c r="VBN106" s="38"/>
      <c r="VBO106" s="38"/>
      <c r="VBU106" s="36"/>
      <c r="VBV106" s="38"/>
      <c r="VBW106" s="38"/>
      <c r="VCC106" s="36"/>
      <c r="VCD106" s="38"/>
      <c r="VCE106" s="38"/>
      <c r="VCK106" s="36"/>
      <c r="VCL106" s="38"/>
      <c r="VCM106" s="38"/>
      <c r="VCS106" s="36"/>
      <c r="VCT106" s="38"/>
      <c r="VCU106" s="38"/>
      <c r="VDA106" s="36"/>
      <c r="VDB106" s="38"/>
      <c r="VDC106" s="38"/>
      <c r="VDI106" s="36"/>
      <c r="VDJ106" s="38"/>
      <c r="VDK106" s="38"/>
      <c r="VDQ106" s="36"/>
      <c r="VDR106" s="38"/>
      <c r="VDS106" s="38"/>
      <c r="VDY106" s="36"/>
      <c r="VDZ106" s="38"/>
      <c r="VEA106" s="38"/>
      <c r="VEG106" s="36"/>
      <c r="VEH106" s="38"/>
      <c r="VEI106" s="38"/>
      <c r="VEO106" s="36"/>
      <c r="VEP106" s="38"/>
      <c r="VEQ106" s="38"/>
      <c r="VEW106" s="36"/>
      <c r="VEX106" s="38"/>
      <c r="VEY106" s="38"/>
      <c r="VFE106" s="36"/>
      <c r="VFF106" s="38"/>
      <c r="VFG106" s="38"/>
      <c r="VFM106" s="36"/>
      <c r="VFN106" s="38"/>
      <c r="VFO106" s="38"/>
      <c r="VFU106" s="36"/>
      <c r="VFV106" s="38"/>
      <c r="VFW106" s="38"/>
      <c r="VGC106" s="36"/>
      <c r="VGD106" s="38"/>
      <c r="VGE106" s="38"/>
      <c r="VGK106" s="36"/>
      <c r="VGL106" s="38"/>
      <c r="VGM106" s="38"/>
      <c r="VGS106" s="36"/>
      <c r="VGT106" s="38"/>
      <c r="VGU106" s="38"/>
      <c r="VHA106" s="36"/>
      <c r="VHB106" s="38"/>
      <c r="VHC106" s="38"/>
      <c r="VHI106" s="36"/>
      <c r="VHJ106" s="38"/>
      <c r="VHK106" s="38"/>
      <c r="VHQ106" s="36"/>
      <c r="VHR106" s="38"/>
      <c r="VHS106" s="38"/>
      <c r="VHY106" s="36"/>
      <c r="VHZ106" s="38"/>
      <c r="VIA106" s="38"/>
      <c r="VIG106" s="36"/>
      <c r="VIH106" s="38"/>
      <c r="VII106" s="38"/>
      <c r="VIO106" s="36"/>
      <c r="VIP106" s="38"/>
      <c r="VIQ106" s="38"/>
      <c r="VIW106" s="36"/>
      <c r="VIX106" s="38"/>
      <c r="VIY106" s="38"/>
      <c r="VJE106" s="36"/>
      <c r="VJF106" s="38"/>
      <c r="VJG106" s="38"/>
      <c r="VJM106" s="36"/>
      <c r="VJN106" s="38"/>
      <c r="VJO106" s="38"/>
      <c r="VJU106" s="36"/>
      <c r="VJV106" s="38"/>
      <c r="VJW106" s="38"/>
      <c r="VKC106" s="36"/>
      <c r="VKD106" s="38"/>
      <c r="VKE106" s="38"/>
      <c r="VKK106" s="36"/>
      <c r="VKL106" s="38"/>
      <c r="VKM106" s="38"/>
      <c r="VKS106" s="36"/>
      <c r="VKT106" s="38"/>
      <c r="VKU106" s="38"/>
      <c r="VLA106" s="36"/>
      <c r="VLB106" s="38"/>
      <c r="VLC106" s="38"/>
      <c r="VLI106" s="36"/>
      <c r="VLJ106" s="38"/>
      <c r="VLK106" s="38"/>
      <c r="VLQ106" s="36"/>
      <c r="VLR106" s="38"/>
      <c r="VLS106" s="38"/>
      <c r="VLY106" s="36"/>
      <c r="VLZ106" s="38"/>
      <c r="VMA106" s="38"/>
      <c r="VMG106" s="36"/>
      <c r="VMH106" s="38"/>
      <c r="VMI106" s="38"/>
      <c r="VMO106" s="36"/>
      <c r="VMP106" s="38"/>
      <c r="VMQ106" s="38"/>
      <c r="VMW106" s="36"/>
      <c r="VMX106" s="38"/>
      <c r="VMY106" s="38"/>
      <c r="VNE106" s="36"/>
      <c r="VNF106" s="38"/>
      <c r="VNG106" s="38"/>
      <c r="VNM106" s="36"/>
      <c r="VNN106" s="38"/>
      <c r="VNO106" s="38"/>
      <c r="VNU106" s="36"/>
      <c r="VNV106" s="38"/>
      <c r="VNW106" s="38"/>
      <c r="VOC106" s="36"/>
      <c r="VOD106" s="38"/>
      <c r="VOE106" s="38"/>
      <c r="VOK106" s="36"/>
      <c r="VOL106" s="38"/>
      <c r="VOM106" s="38"/>
      <c r="VOS106" s="36"/>
      <c r="VOT106" s="38"/>
      <c r="VOU106" s="38"/>
      <c r="VPA106" s="36"/>
      <c r="VPB106" s="38"/>
      <c r="VPC106" s="38"/>
      <c r="VPI106" s="36"/>
      <c r="VPJ106" s="38"/>
      <c r="VPK106" s="38"/>
      <c r="VPQ106" s="36"/>
      <c r="VPR106" s="38"/>
      <c r="VPS106" s="38"/>
      <c r="VPY106" s="36"/>
      <c r="VPZ106" s="38"/>
      <c r="VQA106" s="38"/>
      <c r="VQG106" s="36"/>
      <c r="VQH106" s="38"/>
      <c r="VQI106" s="38"/>
      <c r="VQO106" s="36"/>
      <c r="VQP106" s="38"/>
      <c r="VQQ106" s="38"/>
      <c r="VQW106" s="36"/>
      <c r="VQX106" s="38"/>
      <c r="VQY106" s="38"/>
      <c r="VRE106" s="36"/>
      <c r="VRF106" s="38"/>
      <c r="VRG106" s="38"/>
      <c r="VRM106" s="36"/>
      <c r="VRN106" s="38"/>
      <c r="VRO106" s="38"/>
      <c r="VRU106" s="36"/>
      <c r="VRV106" s="38"/>
      <c r="VRW106" s="38"/>
      <c r="VSC106" s="36"/>
      <c r="VSD106" s="38"/>
      <c r="VSE106" s="38"/>
      <c r="VSK106" s="36"/>
      <c r="VSL106" s="38"/>
      <c r="VSM106" s="38"/>
      <c r="VSS106" s="36"/>
      <c r="VST106" s="38"/>
      <c r="VSU106" s="38"/>
      <c r="VTA106" s="36"/>
      <c r="VTB106" s="38"/>
      <c r="VTC106" s="38"/>
      <c r="VTI106" s="36"/>
      <c r="VTJ106" s="38"/>
      <c r="VTK106" s="38"/>
      <c r="VTQ106" s="36"/>
      <c r="VTR106" s="38"/>
      <c r="VTS106" s="38"/>
      <c r="VTY106" s="36"/>
      <c r="VTZ106" s="38"/>
      <c r="VUA106" s="38"/>
      <c r="VUG106" s="36"/>
      <c r="VUH106" s="38"/>
      <c r="VUI106" s="38"/>
      <c r="VUO106" s="36"/>
      <c r="VUP106" s="38"/>
      <c r="VUQ106" s="38"/>
      <c r="VUW106" s="36"/>
      <c r="VUX106" s="38"/>
      <c r="VUY106" s="38"/>
      <c r="VVE106" s="36"/>
      <c r="VVF106" s="38"/>
      <c r="VVG106" s="38"/>
      <c r="VVM106" s="36"/>
      <c r="VVN106" s="38"/>
      <c r="VVO106" s="38"/>
      <c r="VVU106" s="36"/>
      <c r="VVV106" s="38"/>
      <c r="VVW106" s="38"/>
      <c r="VWC106" s="36"/>
      <c r="VWD106" s="38"/>
      <c r="VWE106" s="38"/>
      <c r="VWK106" s="36"/>
      <c r="VWL106" s="38"/>
      <c r="VWM106" s="38"/>
      <c r="VWS106" s="36"/>
      <c r="VWT106" s="38"/>
      <c r="VWU106" s="38"/>
      <c r="VXA106" s="36"/>
      <c r="VXB106" s="38"/>
      <c r="VXC106" s="38"/>
      <c r="VXI106" s="36"/>
      <c r="VXJ106" s="38"/>
      <c r="VXK106" s="38"/>
      <c r="VXQ106" s="36"/>
      <c r="VXR106" s="38"/>
      <c r="VXS106" s="38"/>
      <c r="VXY106" s="36"/>
      <c r="VXZ106" s="38"/>
      <c r="VYA106" s="38"/>
      <c r="VYG106" s="36"/>
      <c r="VYH106" s="38"/>
      <c r="VYI106" s="38"/>
      <c r="VYO106" s="36"/>
      <c r="VYP106" s="38"/>
      <c r="VYQ106" s="38"/>
      <c r="VYW106" s="36"/>
      <c r="VYX106" s="38"/>
      <c r="VYY106" s="38"/>
      <c r="VZE106" s="36"/>
      <c r="VZF106" s="38"/>
      <c r="VZG106" s="38"/>
      <c r="VZM106" s="36"/>
      <c r="VZN106" s="38"/>
      <c r="VZO106" s="38"/>
      <c r="VZU106" s="36"/>
      <c r="VZV106" s="38"/>
      <c r="VZW106" s="38"/>
      <c r="WAC106" s="36"/>
      <c r="WAD106" s="38"/>
      <c r="WAE106" s="38"/>
      <c r="WAK106" s="36"/>
      <c r="WAL106" s="38"/>
      <c r="WAM106" s="38"/>
      <c r="WAS106" s="36"/>
      <c r="WAT106" s="38"/>
      <c r="WAU106" s="38"/>
      <c r="WBA106" s="36"/>
      <c r="WBB106" s="38"/>
      <c r="WBC106" s="38"/>
      <c r="WBI106" s="36"/>
      <c r="WBJ106" s="38"/>
      <c r="WBK106" s="38"/>
      <c r="WBQ106" s="36"/>
      <c r="WBR106" s="38"/>
      <c r="WBS106" s="38"/>
      <c r="WBY106" s="36"/>
      <c r="WBZ106" s="38"/>
      <c r="WCA106" s="38"/>
      <c r="WCG106" s="36"/>
      <c r="WCH106" s="38"/>
      <c r="WCI106" s="38"/>
      <c r="WCO106" s="36"/>
      <c r="WCP106" s="38"/>
      <c r="WCQ106" s="38"/>
      <c r="WCW106" s="36"/>
      <c r="WCX106" s="38"/>
      <c r="WCY106" s="38"/>
      <c r="WDE106" s="36"/>
      <c r="WDF106" s="38"/>
      <c r="WDG106" s="38"/>
      <c r="WDM106" s="36"/>
      <c r="WDN106" s="38"/>
      <c r="WDO106" s="38"/>
      <c r="WDU106" s="36"/>
      <c r="WDV106" s="38"/>
      <c r="WDW106" s="38"/>
      <c r="WEC106" s="36"/>
      <c r="WED106" s="38"/>
      <c r="WEE106" s="38"/>
      <c r="WEK106" s="36"/>
      <c r="WEL106" s="38"/>
      <c r="WEM106" s="38"/>
      <c r="WES106" s="36"/>
      <c r="WET106" s="38"/>
      <c r="WEU106" s="38"/>
      <c r="WFA106" s="36"/>
      <c r="WFB106" s="38"/>
      <c r="WFC106" s="38"/>
      <c r="WFI106" s="36"/>
      <c r="WFJ106" s="38"/>
      <c r="WFK106" s="38"/>
      <c r="WFQ106" s="36"/>
      <c r="WFR106" s="38"/>
      <c r="WFS106" s="38"/>
      <c r="WFY106" s="36"/>
      <c r="WFZ106" s="38"/>
      <c r="WGA106" s="38"/>
      <c r="WGG106" s="36"/>
      <c r="WGH106" s="38"/>
      <c r="WGI106" s="38"/>
      <c r="WGO106" s="36"/>
      <c r="WGP106" s="38"/>
      <c r="WGQ106" s="38"/>
      <c r="WGW106" s="36"/>
      <c r="WGX106" s="38"/>
      <c r="WGY106" s="38"/>
      <c r="WHE106" s="36"/>
      <c r="WHF106" s="38"/>
      <c r="WHG106" s="38"/>
      <c r="WHM106" s="36"/>
      <c r="WHN106" s="38"/>
      <c r="WHO106" s="38"/>
      <c r="WHU106" s="36"/>
      <c r="WHV106" s="38"/>
      <c r="WHW106" s="38"/>
      <c r="WIC106" s="36"/>
      <c r="WID106" s="38"/>
      <c r="WIE106" s="38"/>
      <c r="WIK106" s="36"/>
      <c r="WIL106" s="38"/>
      <c r="WIM106" s="38"/>
      <c r="WIS106" s="36"/>
      <c r="WIT106" s="38"/>
      <c r="WIU106" s="38"/>
      <c r="WJA106" s="36"/>
      <c r="WJB106" s="38"/>
      <c r="WJC106" s="38"/>
      <c r="WJI106" s="36"/>
      <c r="WJJ106" s="38"/>
      <c r="WJK106" s="38"/>
      <c r="WJQ106" s="36"/>
      <c r="WJR106" s="38"/>
      <c r="WJS106" s="38"/>
      <c r="WJY106" s="36"/>
      <c r="WJZ106" s="38"/>
      <c r="WKA106" s="38"/>
      <c r="WKG106" s="36"/>
      <c r="WKH106" s="38"/>
      <c r="WKI106" s="38"/>
      <c r="WKO106" s="36"/>
      <c r="WKP106" s="38"/>
      <c r="WKQ106" s="38"/>
      <c r="WKW106" s="36"/>
      <c r="WKX106" s="38"/>
      <c r="WKY106" s="38"/>
      <c r="WLE106" s="36"/>
      <c r="WLF106" s="38"/>
      <c r="WLG106" s="38"/>
      <c r="WLM106" s="36"/>
      <c r="WLN106" s="38"/>
      <c r="WLO106" s="38"/>
      <c r="WLU106" s="36"/>
      <c r="WLV106" s="38"/>
      <c r="WLW106" s="38"/>
      <c r="WMC106" s="36"/>
      <c r="WMD106" s="38"/>
      <c r="WME106" s="38"/>
      <c r="WMK106" s="36"/>
      <c r="WML106" s="38"/>
      <c r="WMM106" s="38"/>
      <c r="WMS106" s="36"/>
      <c r="WMT106" s="38"/>
      <c r="WMU106" s="38"/>
      <c r="WNA106" s="36"/>
      <c r="WNB106" s="38"/>
      <c r="WNC106" s="38"/>
      <c r="WNI106" s="36"/>
      <c r="WNJ106" s="38"/>
      <c r="WNK106" s="38"/>
      <c r="WNQ106" s="36"/>
      <c r="WNR106" s="38"/>
      <c r="WNS106" s="38"/>
      <c r="WNY106" s="36"/>
      <c r="WNZ106" s="38"/>
      <c r="WOA106" s="38"/>
      <c r="WOG106" s="36"/>
      <c r="WOH106" s="38"/>
      <c r="WOI106" s="38"/>
      <c r="WOO106" s="36"/>
      <c r="WOP106" s="38"/>
      <c r="WOQ106" s="38"/>
      <c r="WOW106" s="36"/>
      <c r="WOX106" s="38"/>
      <c r="WOY106" s="38"/>
      <c r="WPE106" s="36"/>
      <c r="WPF106" s="38"/>
      <c r="WPG106" s="38"/>
      <c r="WPM106" s="36"/>
      <c r="WPN106" s="38"/>
      <c r="WPO106" s="38"/>
      <c r="WPU106" s="36"/>
      <c r="WPV106" s="38"/>
      <c r="WPW106" s="38"/>
      <c r="WQC106" s="36"/>
      <c r="WQD106" s="38"/>
      <c r="WQE106" s="38"/>
      <c r="WQK106" s="36"/>
      <c r="WQL106" s="38"/>
      <c r="WQM106" s="38"/>
      <c r="WQS106" s="36"/>
      <c r="WQT106" s="38"/>
      <c r="WQU106" s="38"/>
      <c r="WRA106" s="36"/>
      <c r="WRB106" s="38"/>
      <c r="WRC106" s="38"/>
      <c r="WRI106" s="36"/>
      <c r="WRJ106" s="38"/>
      <c r="WRK106" s="38"/>
      <c r="WRQ106" s="36"/>
      <c r="WRR106" s="38"/>
      <c r="WRS106" s="38"/>
      <c r="WRY106" s="36"/>
      <c r="WRZ106" s="38"/>
      <c r="WSA106" s="38"/>
      <c r="WSG106" s="36"/>
      <c r="WSH106" s="38"/>
      <c r="WSI106" s="38"/>
      <c r="WSO106" s="36"/>
      <c r="WSP106" s="38"/>
      <c r="WSQ106" s="38"/>
      <c r="WSW106" s="36"/>
      <c r="WSX106" s="38"/>
      <c r="WSY106" s="38"/>
      <c r="WTE106" s="36"/>
      <c r="WTF106" s="38"/>
      <c r="WTG106" s="38"/>
      <c r="WTM106" s="36"/>
      <c r="WTN106" s="38"/>
      <c r="WTO106" s="38"/>
      <c r="WTU106" s="36"/>
      <c r="WTV106" s="38"/>
      <c r="WTW106" s="38"/>
      <c r="WUC106" s="36"/>
      <c r="WUD106" s="38"/>
      <c r="WUE106" s="38"/>
      <c r="WUK106" s="36"/>
      <c r="WUL106" s="38"/>
      <c r="WUM106" s="38"/>
      <c r="WUS106" s="36"/>
      <c r="WUT106" s="38"/>
      <c r="WUU106" s="38"/>
      <c r="WVA106" s="36"/>
      <c r="WVB106" s="38"/>
      <c r="WVC106" s="38"/>
      <c r="WVI106" s="36"/>
      <c r="WVJ106" s="38"/>
      <c r="WVK106" s="38"/>
      <c r="WVQ106" s="36"/>
      <c r="WVR106" s="38"/>
      <c r="WVS106" s="38"/>
      <c r="WVY106" s="36"/>
      <c r="WVZ106" s="38"/>
      <c r="WWA106" s="38"/>
      <c r="WWG106" s="36"/>
      <c r="WWH106" s="38"/>
      <c r="WWI106" s="38"/>
      <c r="WWO106" s="36"/>
      <c r="WWP106" s="38"/>
      <c r="WWQ106" s="38"/>
      <c r="WWW106" s="36"/>
      <c r="WWX106" s="38"/>
      <c r="WWY106" s="38"/>
      <c r="WXE106" s="36"/>
      <c r="WXF106" s="38"/>
      <c r="WXG106" s="38"/>
      <c r="WXM106" s="36"/>
      <c r="WXN106" s="38"/>
      <c r="WXO106" s="38"/>
      <c r="WXU106" s="36"/>
      <c r="WXV106" s="38"/>
      <c r="WXW106" s="38"/>
      <c r="WYC106" s="36"/>
      <c r="WYD106" s="38"/>
      <c r="WYE106" s="38"/>
      <c r="WYK106" s="36"/>
      <c r="WYL106" s="38"/>
      <c r="WYM106" s="38"/>
      <c r="WYS106" s="36"/>
      <c r="WYT106" s="38"/>
      <c r="WYU106" s="38"/>
      <c r="WZA106" s="36"/>
      <c r="WZB106" s="38"/>
      <c r="WZC106" s="38"/>
      <c r="WZI106" s="36"/>
      <c r="WZJ106" s="38"/>
      <c r="WZK106" s="38"/>
      <c r="WZQ106" s="36"/>
      <c r="WZR106" s="38"/>
      <c r="WZS106" s="38"/>
      <c r="WZY106" s="36"/>
      <c r="WZZ106" s="38"/>
      <c r="XAA106" s="38"/>
      <c r="XAG106" s="36"/>
      <c r="XAH106" s="38"/>
      <c r="XAI106" s="38"/>
      <c r="XAO106" s="36"/>
      <c r="XAP106" s="38"/>
      <c r="XAQ106" s="38"/>
      <c r="XAW106" s="36"/>
      <c r="XAX106" s="38"/>
      <c r="XAY106" s="38"/>
      <c r="XBE106" s="36"/>
      <c r="XBF106" s="38"/>
      <c r="XBG106" s="38"/>
      <c r="XBM106" s="36"/>
      <c r="XBN106" s="38"/>
      <c r="XBO106" s="38"/>
      <c r="XBU106" s="36"/>
      <c r="XBV106" s="38"/>
      <c r="XBW106" s="38"/>
      <c r="XCC106" s="36"/>
      <c r="XCD106" s="38"/>
      <c r="XCE106" s="38"/>
      <c r="XCK106" s="36"/>
      <c r="XCL106" s="38"/>
      <c r="XCM106" s="38"/>
      <c r="XCS106" s="36"/>
      <c r="XCT106" s="38"/>
      <c r="XCU106" s="38"/>
      <c r="XDA106" s="36"/>
      <c r="XDB106" s="38"/>
      <c r="XDC106" s="38"/>
      <c r="XDI106" s="36"/>
      <c r="XDJ106" s="38"/>
      <c r="XDK106" s="38"/>
      <c r="XDQ106" s="36"/>
      <c r="XDR106" s="38"/>
      <c r="XDS106" s="38"/>
      <c r="XDY106" s="36"/>
      <c r="XDZ106" s="38"/>
      <c r="XEA106" s="38"/>
      <c r="XEG106" s="36"/>
      <c r="XEH106" s="38"/>
      <c r="XEI106" s="38"/>
      <c r="XEO106" s="36"/>
      <c r="XEP106" s="38"/>
      <c r="XEQ106" s="38"/>
      <c r="XEW106" s="36"/>
      <c r="XEX106" s="38"/>
      <c r="XEY106" s="38"/>
    </row>
    <row r="107" spans="1:1019 1025:2043 2049:3067 3073:4091 4097:5115 5121:6139 6145:7163 7169:8187 8193:9211 9217:10235 10241:11259 11265:12283 12289:13307 13313:14331 14337:15355 15361:16379" s="24" customFormat="1" ht="15" customHeight="1">
      <c r="A107" s="36"/>
      <c r="B107" s="38" t="s">
        <v>27</v>
      </c>
      <c r="C107" s="38">
        <v>1056242</v>
      </c>
      <c r="D107" s="24">
        <v>273461</v>
      </c>
      <c r="E107" s="24">
        <v>78506</v>
      </c>
      <c r="F107" s="24">
        <v>522527</v>
      </c>
      <c r="G107" s="24">
        <v>179317</v>
      </c>
      <c r="H107" s="24">
        <v>2431</v>
      </c>
      <c r="J107" s="23"/>
      <c r="K107" s="38"/>
      <c r="Q107" s="36"/>
      <c r="R107" s="38"/>
      <c r="S107" s="38"/>
      <c r="Y107" s="36"/>
      <c r="Z107" s="38"/>
      <c r="AA107" s="38"/>
      <c r="AG107" s="36"/>
      <c r="AH107" s="38"/>
      <c r="AI107" s="38"/>
      <c r="AO107" s="36"/>
      <c r="AP107" s="38"/>
      <c r="AQ107" s="38"/>
      <c r="AW107" s="36"/>
      <c r="AX107" s="38"/>
      <c r="AY107" s="38"/>
      <c r="BE107" s="36"/>
      <c r="BF107" s="38"/>
      <c r="BG107" s="38"/>
      <c r="BM107" s="36"/>
      <c r="BN107" s="38"/>
      <c r="BO107" s="38"/>
      <c r="BU107" s="36"/>
      <c r="BV107" s="38"/>
      <c r="BW107" s="38"/>
      <c r="CC107" s="36"/>
      <c r="CD107" s="38"/>
      <c r="CE107" s="38"/>
      <c r="CK107" s="36"/>
      <c r="CL107" s="38"/>
      <c r="CM107" s="38"/>
      <c r="CS107" s="36"/>
      <c r="CT107" s="38"/>
      <c r="CU107" s="38"/>
      <c r="DA107" s="36"/>
      <c r="DB107" s="38"/>
      <c r="DC107" s="38"/>
      <c r="DI107" s="36"/>
      <c r="DJ107" s="38"/>
      <c r="DK107" s="38"/>
      <c r="DQ107" s="36"/>
      <c r="DR107" s="38"/>
      <c r="DS107" s="38"/>
      <c r="DY107" s="36"/>
      <c r="DZ107" s="38"/>
      <c r="EA107" s="38"/>
      <c r="EG107" s="36"/>
      <c r="EH107" s="38"/>
      <c r="EI107" s="38"/>
      <c r="EO107" s="36"/>
      <c r="EP107" s="38"/>
      <c r="EQ107" s="38"/>
      <c r="EW107" s="36"/>
      <c r="EX107" s="38"/>
      <c r="EY107" s="38"/>
      <c r="FE107" s="36"/>
      <c r="FF107" s="38"/>
      <c r="FG107" s="38"/>
      <c r="FM107" s="36"/>
      <c r="FN107" s="38"/>
      <c r="FO107" s="38"/>
      <c r="FU107" s="36"/>
      <c r="FV107" s="38"/>
      <c r="FW107" s="38"/>
      <c r="GC107" s="36"/>
      <c r="GD107" s="38"/>
      <c r="GE107" s="38"/>
      <c r="GK107" s="36"/>
      <c r="GL107" s="38"/>
      <c r="GM107" s="38"/>
      <c r="GS107" s="36"/>
      <c r="GT107" s="38"/>
      <c r="GU107" s="38"/>
      <c r="HA107" s="36"/>
      <c r="HB107" s="38"/>
      <c r="HC107" s="38"/>
      <c r="HI107" s="36"/>
      <c r="HJ107" s="38"/>
      <c r="HK107" s="38"/>
      <c r="HQ107" s="36"/>
      <c r="HR107" s="38"/>
      <c r="HS107" s="38"/>
      <c r="HY107" s="36"/>
      <c r="HZ107" s="38"/>
      <c r="IA107" s="38"/>
      <c r="IG107" s="36"/>
      <c r="IH107" s="38"/>
      <c r="II107" s="38"/>
      <c r="IO107" s="36"/>
      <c r="IP107" s="38"/>
      <c r="IQ107" s="38"/>
      <c r="IW107" s="36"/>
      <c r="IX107" s="38"/>
      <c r="IY107" s="38"/>
      <c r="JE107" s="36"/>
      <c r="JF107" s="38"/>
      <c r="JG107" s="38"/>
      <c r="JM107" s="36"/>
      <c r="JN107" s="38"/>
      <c r="JO107" s="38"/>
      <c r="JU107" s="36"/>
      <c r="JV107" s="38"/>
      <c r="JW107" s="38"/>
      <c r="KC107" s="36"/>
      <c r="KD107" s="38"/>
      <c r="KE107" s="38"/>
      <c r="KK107" s="36"/>
      <c r="KL107" s="38"/>
      <c r="KM107" s="38"/>
      <c r="KS107" s="36"/>
      <c r="KT107" s="38"/>
      <c r="KU107" s="38"/>
      <c r="LA107" s="36"/>
      <c r="LB107" s="38"/>
      <c r="LC107" s="38"/>
      <c r="LI107" s="36"/>
      <c r="LJ107" s="38"/>
      <c r="LK107" s="38"/>
      <c r="LQ107" s="36"/>
      <c r="LR107" s="38"/>
      <c r="LS107" s="38"/>
      <c r="LY107" s="36"/>
      <c r="LZ107" s="38"/>
      <c r="MA107" s="38"/>
      <c r="MG107" s="36"/>
      <c r="MH107" s="38"/>
      <c r="MI107" s="38"/>
      <c r="MO107" s="36"/>
      <c r="MP107" s="38"/>
      <c r="MQ107" s="38"/>
      <c r="MW107" s="36"/>
      <c r="MX107" s="38"/>
      <c r="MY107" s="38"/>
      <c r="NE107" s="36"/>
      <c r="NF107" s="38"/>
      <c r="NG107" s="38"/>
      <c r="NM107" s="36"/>
      <c r="NN107" s="38"/>
      <c r="NO107" s="38"/>
      <c r="NU107" s="36"/>
      <c r="NV107" s="38"/>
      <c r="NW107" s="38"/>
      <c r="OC107" s="36"/>
      <c r="OD107" s="38"/>
      <c r="OE107" s="38"/>
      <c r="OK107" s="36"/>
      <c r="OL107" s="38"/>
      <c r="OM107" s="38"/>
      <c r="OS107" s="36"/>
      <c r="OT107" s="38"/>
      <c r="OU107" s="38"/>
      <c r="PA107" s="36"/>
      <c r="PB107" s="38"/>
      <c r="PC107" s="38"/>
      <c r="PI107" s="36"/>
      <c r="PJ107" s="38"/>
      <c r="PK107" s="38"/>
      <c r="PQ107" s="36"/>
      <c r="PR107" s="38"/>
      <c r="PS107" s="38"/>
      <c r="PY107" s="36"/>
      <c r="PZ107" s="38"/>
      <c r="QA107" s="38"/>
      <c r="QG107" s="36"/>
      <c r="QH107" s="38"/>
      <c r="QI107" s="38"/>
      <c r="QO107" s="36"/>
      <c r="QP107" s="38"/>
      <c r="QQ107" s="38"/>
      <c r="QW107" s="36"/>
      <c r="QX107" s="38"/>
      <c r="QY107" s="38"/>
      <c r="RE107" s="36"/>
      <c r="RF107" s="38"/>
      <c r="RG107" s="38"/>
      <c r="RM107" s="36"/>
      <c r="RN107" s="38"/>
      <c r="RO107" s="38"/>
      <c r="RU107" s="36"/>
      <c r="RV107" s="38"/>
      <c r="RW107" s="38"/>
      <c r="SC107" s="36"/>
      <c r="SD107" s="38"/>
      <c r="SE107" s="38"/>
      <c r="SK107" s="36"/>
      <c r="SL107" s="38"/>
      <c r="SM107" s="38"/>
      <c r="SS107" s="36"/>
      <c r="ST107" s="38"/>
      <c r="SU107" s="38"/>
      <c r="TA107" s="36"/>
      <c r="TB107" s="38"/>
      <c r="TC107" s="38"/>
      <c r="TI107" s="36"/>
      <c r="TJ107" s="38"/>
      <c r="TK107" s="38"/>
      <c r="TQ107" s="36"/>
      <c r="TR107" s="38"/>
      <c r="TS107" s="38"/>
      <c r="TY107" s="36"/>
      <c r="TZ107" s="38"/>
      <c r="UA107" s="38"/>
      <c r="UG107" s="36"/>
      <c r="UH107" s="38"/>
      <c r="UI107" s="38"/>
      <c r="UO107" s="36"/>
      <c r="UP107" s="38"/>
      <c r="UQ107" s="38"/>
      <c r="UW107" s="36"/>
      <c r="UX107" s="38"/>
      <c r="UY107" s="38"/>
      <c r="VE107" s="36"/>
      <c r="VF107" s="38"/>
      <c r="VG107" s="38"/>
      <c r="VM107" s="36"/>
      <c r="VN107" s="38"/>
      <c r="VO107" s="38"/>
      <c r="VU107" s="36"/>
      <c r="VV107" s="38"/>
      <c r="VW107" s="38"/>
      <c r="WC107" s="36"/>
      <c r="WD107" s="38"/>
      <c r="WE107" s="38"/>
      <c r="WK107" s="36"/>
      <c r="WL107" s="38"/>
      <c r="WM107" s="38"/>
      <c r="WS107" s="36"/>
      <c r="WT107" s="38"/>
      <c r="WU107" s="38"/>
      <c r="XA107" s="36"/>
      <c r="XB107" s="38"/>
      <c r="XC107" s="38"/>
      <c r="XI107" s="36"/>
      <c r="XJ107" s="38"/>
      <c r="XK107" s="38"/>
      <c r="XQ107" s="36"/>
      <c r="XR107" s="38"/>
      <c r="XS107" s="38"/>
      <c r="XY107" s="36"/>
      <c r="XZ107" s="38"/>
      <c r="YA107" s="38"/>
      <c r="YG107" s="36"/>
      <c r="YH107" s="38"/>
      <c r="YI107" s="38"/>
      <c r="YO107" s="36"/>
      <c r="YP107" s="38"/>
      <c r="YQ107" s="38"/>
      <c r="YW107" s="36"/>
      <c r="YX107" s="38"/>
      <c r="YY107" s="38"/>
      <c r="ZE107" s="36"/>
      <c r="ZF107" s="38"/>
      <c r="ZG107" s="38"/>
      <c r="ZM107" s="36"/>
      <c r="ZN107" s="38"/>
      <c r="ZO107" s="38"/>
      <c r="ZU107" s="36"/>
      <c r="ZV107" s="38"/>
      <c r="ZW107" s="38"/>
      <c r="AAC107" s="36"/>
      <c r="AAD107" s="38"/>
      <c r="AAE107" s="38"/>
      <c r="AAK107" s="36"/>
      <c r="AAL107" s="38"/>
      <c r="AAM107" s="38"/>
      <c r="AAS107" s="36"/>
      <c r="AAT107" s="38"/>
      <c r="AAU107" s="38"/>
      <c r="ABA107" s="36"/>
      <c r="ABB107" s="38"/>
      <c r="ABC107" s="38"/>
      <c r="ABI107" s="36"/>
      <c r="ABJ107" s="38"/>
      <c r="ABK107" s="38"/>
      <c r="ABQ107" s="36"/>
      <c r="ABR107" s="38"/>
      <c r="ABS107" s="38"/>
      <c r="ABY107" s="36"/>
      <c r="ABZ107" s="38"/>
      <c r="ACA107" s="38"/>
      <c r="ACG107" s="36"/>
      <c r="ACH107" s="38"/>
      <c r="ACI107" s="38"/>
      <c r="ACO107" s="36"/>
      <c r="ACP107" s="38"/>
      <c r="ACQ107" s="38"/>
      <c r="ACW107" s="36"/>
      <c r="ACX107" s="38"/>
      <c r="ACY107" s="38"/>
      <c r="ADE107" s="36"/>
      <c r="ADF107" s="38"/>
      <c r="ADG107" s="38"/>
      <c r="ADM107" s="36"/>
      <c r="ADN107" s="38"/>
      <c r="ADO107" s="38"/>
      <c r="ADU107" s="36"/>
      <c r="ADV107" s="38"/>
      <c r="ADW107" s="38"/>
      <c r="AEC107" s="36"/>
      <c r="AED107" s="38"/>
      <c r="AEE107" s="38"/>
      <c r="AEK107" s="36"/>
      <c r="AEL107" s="38"/>
      <c r="AEM107" s="38"/>
      <c r="AES107" s="36"/>
      <c r="AET107" s="38"/>
      <c r="AEU107" s="38"/>
      <c r="AFA107" s="36"/>
      <c r="AFB107" s="38"/>
      <c r="AFC107" s="38"/>
      <c r="AFI107" s="36"/>
      <c r="AFJ107" s="38"/>
      <c r="AFK107" s="38"/>
      <c r="AFQ107" s="36"/>
      <c r="AFR107" s="38"/>
      <c r="AFS107" s="38"/>
      <c r="AFY107" s="36"/>
      <c r="AFZ107" s="38"/>
      <c r="AGA107" s="38"/>
      <c r="AGG107" s="36"/>
      <c r="AGH107" s="38"/>
      <c r="AGI107" s="38"/>
      <c r="AGO107" s="36"/>
      <c r="AGP107" s="38"/>
      <c r="AGQ107" s="38"/>
      <c r="AGW107" s="36"/>
      <c r="AGX107" s="38"/>
      <c r="AGY107" s="38"/>
      <c r="AHE107" s="36"/>
      <c r="AHF107" s="38"/>
      <c r="AHG107" s="38"/>
      <c r="AHM107" s="36"/>
      <c r="AHN107" s="38"/>
      <c r="AHO107" s="38"/>
      <c r="AHU107" s="36"/>
      <c r="AHV107" s="38"/>
      <c r="AHW107" s="38"/>
      <c r="AIC107" s="36"/>
      <c r="AID107" s="38"/>
      <c r="AIE107" s="38"/>
      <c r="AIK107" s="36"/>
      <c r="AIL107" s="38"/>
      <c r="AIM107" s="38"/>
      <c r="AIS107" s="36"/>
      <c r="AIT107" s="38"/>
      <c r="AIU107" s="38"/>
      <c r="AJA107" s="36"/>
      <c r="AJB107" s="38"/>
      <c r="AJC107" s="38"/>
      <c r="AJI107" s="36"/>
      <c r="AJJ107" s="38"/>
      <c r="AJK107" s="38"/>
      <c r="AJQ107" s="36"/>
      <c r="AJR107" s="38"/>
      <c r="AJS107" s="38"/>
      <c r="AJY107" s="36"/>
      <c r="AJZ107" s="38"/>
      <c r="AKA107" s="38"/>
      <c r="AKG107" s="36"/>
      <c r="AKH107" s="38"/>
      <c r="AKI107" s="38"/>
      <c r="AKO107" s="36"/>
      <c r="AKP107" s="38"/>
      <c r="AKQ107" s="38"/>
      <c r="AKW107" s="36"/>
      <c r="AKX107" s="38"/>
      <c r="AKY107" s="38"/>
      <c r="ALE107" s="36"/>
      <c r="ALF107" s="38"/>
      <c r="ALG107" s="38"/>
      <c r="ALM107" s="36"/>
      <c r="ALN107" s="38"/>
      <c r="ALO107" s="38"/>
      <c r="ALU107" s="36"/>
      <c r="ALV107" s="38"/>
      <c r="ALW107" s="38"/>
      <c r="AMC107" s="36"/>
      <c r="AMD107" s="38"/>
      <c r="AME107" s="38"/>
      <c r="AMK107" s="36"/>
      <c r="AML107" s="38"/>
      <c r="AMM107" s="38"/>
      <c r="AMS107" s="36"/>
      <c r="AMT107" s="38"/>
      <c r="AMU107" s="38"/>
      <c r="ANA107" s="36"/>
      <c r="ANB107" s="38"/>
      <c r="ANC107" s="38"/>
      <c r="ANI107" s="36"/>
      <c r="ANJ107" s="38"/>
      <c r="ANK107" s="38"/>
      <c r="ANQ107" s="36"/>
      <c r="ANR107" s="38"/>
      <c r="ANS107" s="38"/>
      <c r="ANY107" s="36"/>
      <c r="ANZ107" s="38"/>
      <c r="AOA107" s="38"/>
      <c r="AOG107" s="36"/>
      <c r="AOH107" s="38"/>
      <c r="AOI107" s="38"/>
      <c r="AOO107" s="36"/>
      <c r="AOP107" s="38"/>
      <c r="AOQ107" s="38"/>
      <c r="AOW107" s="36"/>
      <c r="AOX107" s="38"/>
      <c r="AOY107" s="38"/>
      <c r="APE107" s="36"/>
      <c r="APF107" s="38"/>
      <c r="APG107" s="38"/>
      <c r="APM107" s="36"/>
      <c r="APN107" s="38"/>
      <c r="APO107" s="38"/>
      <c r="APU107" s="36"/>
      <c r="APV107" s="38"/>
      <c r="APW107" s="38"/>
      <c r="AQC107" s="36"/>
      <c r="AQD107" s="38"/>
      <c r="AQE107" s="38"/>
      <c r="AQK107" s="36"/>
      <c r="AQL107" s="38"/>
      <c r="AQM107" s="38"/>
      <c r="AQS107" s="36"/>
      <c r="AQT107" s="38"/>
      <c r="AQU107" s="38"/>
      <c r="ARA107" s="36"/>
      <c r="ARB107" s="38"/>
      <c r="ARC107" s="38"/>
      <c r="ARI107" s="36"/>
      <c r="ARJ107" s="38"/>
      <c r="ARK107" s="38"/>
      <c r="ARQ107" s="36"/>
      <c r="ARR107" s="38"/>
      <c r="ARS107" s="38"/>
      <c r="ARY107" s="36"/>
      <c r="ARZ107" s="38"/>
      <c r="ASA107" s="38"/>
      <c r="ASG107" s="36"/>
      <c r="ASH107" s="38"/>
      <c r="ASI107" s="38"/>
      <c r="ASO107" s="36"/>
      <c r="ASP107" s="38"/>
      <c r="ASQ107" s="38"/>
      <c r="ASW107" s="36"/>
      <c r="ASX107" s="38"/>
      <c r="ASY107" s="38"/>
      <c r="ATE107" s="36"/>
      <c r="ATF107" s="38"/>
      <c r="ATG107" s="38"/>
      <c r="ATM107" s="36"/>
      <c r="ATN107" s="38"/>
      <c r="ATO107" s="38"/>
      <c r="ATU107" s="36"/>
      <c r="ATV107" s="38"/>
      <c r="ATW107" s="38"/>
      <c r="AUC107" s="36"/>
      <c r="AUD107" s="38"/>
      <c r="AUE107" s="38"/>
      <c r="AUK107" s="36"/>
      <c r="AUL107" s="38"/>
      <c r="AUM107" s="38"/>
      <c r="AUS107" s="36"/>
      <c r="AUT107" s="38"/>
      <c r="AUU107" s="38"/>
      <c r="AVA107" s="36"/>
      <c r="AVB107" s="38"/>
      <c r="AVC107" s="38"/>
      <c r="AVI107" s="36"/>
      <c r="AVJ107" s="38"/>
      <c r="AVK107" s="38"/>
      <c r="AVQ107" s="36"/>
      <c r="AVR107" s="38"/>
      <c r="AVS107" s="38"/>
      <c r="AVY107" s="36"/>
      <c r="AVZ107" s="38"/>
      <c r="AWA107" s="38"/>
      <c r="AWG107" s="36"/>
      <c r="AWH107" s="38"/>
      <c r="AWI107" s="38"/>
      <c r="AWO107" s="36"/>
      <c r="AWP107" s="38"/>
      <c r="AWQ107" s="38"/>
      <c r="AWW107" s="36"/>
      <c r="AWX107" s="38"/>
      <c r="AWY107" s="38"/>
      <c r="AXE107" s="36"/>
      <c r="AXF107" s="38"/>
      <c r="AXG107" s="38"/>
      <c r="AXM107" s="36"/>
      <c r="AXN107" s="38"/>
      <c r="AXO107" s="38"/>
      <c r="AXU107" s="36"/>
      <c r="AXV107" s="38"/>
      <c r="AXW107" s="38"/>
      <c r="AYC107" s="36"/>
      <c r="AYD107" s="38"/>
      <c r="AYE107" s="38"/>
      <c r="AYK107" s="36"/>
      <c r="AYL107" s="38"/>
      <c r="AYM107" s="38"/>
      <c r="AYS107" s="36"/>
      <c r="AYT107" s="38"/>
      <c r="AYU107" s="38"/>
      <c r="AZA107" s="36"/>
      <c r="AZB107" s="38"/>
      <c r="AZC107" s="38"/>
      <c r="AZI107" s="36"/>
      <c r="AZJ107" s="38"/>
      <c r="AZK107" s="38"/>
      <c r="AZQ107" s="36"/>
      <c r="AZR107" s="38"/>
      <c r="AZS107" s="38"/>
      <c r="AZY107" s="36"/>
      <c r="AZZ107" s="38"/>
      <c r="BAA107" s="38"/>
      <c r="BAG107" s="36"/>
      <c r="BAH107" s="38"/>
      <c r="BAI107" s="38"/>
      <c r="BAO107" s="36"/>
      <c r="BAP107" s="38"/>
      <c r="BAQ107" s="38"/>
      <c r="BAW107" s="36"/>
      <c r="BAX107" s="38"/>
      <c r="BAY107" s="38"/>
      <c r="BBE107" s="36"/>
      <c r="BBF107" s="38"/>
      <c r="BBG107" s="38"/>
      <c r="BBM107" s="36"/>
      <c r="BBN107" s="38"/>
      <c r="BBO107" s="38"/>
      <c r="BBU107" s="36"/>
      <c r="BBV107" s="38"/>
      <c r="BBW107" s="38"/>
      <c r="BCC107" s="36"/>
      <c r="BCD107" s="38"/>
      <c r="BCE107" s="38"/>
      <c r="BCK107" s="36"/>
      <c r="BCL107" s="38"/>
      <c r="BCM107" s="38"/>
      <c r="BCS107" s="36"/>
      <c r="BCT107" s="38"/>
      <c r="BCU107" s="38"/>
      <c r="BDA107" s="36"/>
      <c r="BDB107" s="38"/>
      <c r="BDC107" s="38"/>
      <c r="BDI107" s="36"/>
      <c r="BDJ107" s="38"/>
      <c r="BDK107" s="38"/>
      <c r="BDQ107" s="36"/>
      <c r="BDR107" s="38"/>
      <c r="BDS107" s="38"/>
      <c r="BDY107" s="36"/>
      <c r="BDZ107" s="38"/>
      <c r="BEA107" s="38"/>
      <c r="BEG107" s="36"/>
      <c r="BEH107" s="38"/>
      <c r="BEI107" s="38"/>
      <c r="BEO107" s="36"/>
      <c r="BEP107" s="38"/>
      <c r="BEQ107" s="38"/>
      <c r="BEW107" s="36"/>
      <c r="BEX107" s="38"/>
      <c r="BEY107" s="38"/>
      <c r="BFE107" s="36"/>
      <c r="BFF107" s="38"/>
      <c r="BFG107" s="38"/>
      <c r="BFM107" s="36"/>
      <c r="BFN107" s="38"/>
      <c r="BFO107" s="38"/>
      <c r="BFU107" s="36"/>
      <c r="BFV107" s="38"/>
      <c r="BFW107" s="38"/>
      <c r="BGC107" s="36"/>
      <c r="BGD107" s="38"/>
      <c r="BGE107" s="38"/>
      <c r="BGK107" s="36"/>
      <c r="BGL107" s="38"/>
      <c r="BGM107" s="38"/>
      <c r="BGS107" s="36"/>
      <c r="BGT107" s="38"/>
      <c r="BGU107" s="38"/>
      <c r="BHA107" s="36"/>
      <c r="BHB107" s="38"/>
      <c r="BHC107" s="38"/>
      <c r="BHI107" s="36"/>
      <c r="BHJ107" s="38"/>
      <c r="BHK107" s="38"/>
      <c r="BHQ107" s="36"/>
      <c r="BHR107" s="38"/>
      <c r="BHS107" s="38"/>
      <c r="BHY107" s="36"/>
      <c r="BHZ107" s="38"/>
      <c r="BIA107" s="38"/>
      <c r="BIG107" s="36"/>
      <c r="BIH107" s="38"/>
      <c r="BII107" s="38"/>
      <c r="BIO107" s="36"/>
      <c r="BIP107" s="38"/>
      <c r="BIQ107" s="38"/>
      <c r="BIW107" s="36"/>
      <c r="BIX107" s="38"/>
      <c r="BIY107" s="38"/>
      <c r="BJE107" s="36"/>
      <c r="BJF107" s="38"/>
      <c r="BJG107" s="38"/>
      <c r="BJM107" s="36"/>
      <c r="BJN107" s="38"/>
      <c r="BJO107" s="38"/>
      <c r="BJU107" s="36"/>
      <c r="BJV107" s="38"/>
      <c r="BJW107" s="38"/>
      <c r="BKC107" s="36"/>
      <c r="BKD107" s="38"/>
      <c r="BKE107" s="38"/>
      <c r="BKK107" s="36"/>
      <c r="BKL107" s="38"/>
      <c r="BKM107" s="38"/>
      <c r="BKS107" s="36"/>
      <c r="BKT107" s="38"/>
      <c r="BKU107" s="38"/>
      <c r="BLA107" s="36"/>
      <c r="BLB107" s="38"/>
      <c r="BLC107" s="38"/>
      <c r="BLI107" s="36"/>
      <c r="BLJ107" s="38"/>
      <c r="BLK107" s="38"/>
      <c r="BLQ107" s="36"/>
      <c r="BLR107" s="38"/>
      <c r="BLS107" s="38"/>
      <c r="BLY107" s="36"/>
      <c r="BLZ107" s="38"/>
      <c r="BMA107" s="38"/>
      <c r="BMG107" s="36"/>
      <c r="BMH107" s="38"/>
      <c r="BMI107" s="38"/>
      <c r="BMO107" s="36"/>
      <c r="BMP107" s="38"/>
      <c r="BMQ107" s="38"/>
      <c r="BMW107" s="36"/>
      <c r="BMX107" s="38"/>
      <c r="BMY107" s="38"/>
      <c r="BNE107" s="36"/>
      <c r="BNF107" s="38"/>
      <c r="BNG107" s="38"/>
      <c r="BNM107" s="36"/>
      <c r="BNN107" s="38"/>
      <c r="BNO107" s="38"/>
      <c r="BNU107" s="36"/>
      <c r="BNV107" s="38"/>
      <c r="BNW107" s="38"/>
      <c r="BOC107" s="36"/>
      <c r="BOD107" s="38"/>
      <c r="BOE107" s="38"/>
      <c r="BOK107" s="36"/>
      <c r="BOL107" s="38"/>
      <c r="BOM107" s="38"/>
      <c r="BOS107" s="36"/>
      <c r="BOT107" s="38"/>
      <c r="BOU107" s="38"/>
      <c r="BPA107" s="36"/>
      <c r="BPB107" s="38"/>
      <c r="BPC107" s="38"/>
      <c r="BPI107" s="36"/>
      <c r="BPJ107" s="38"/>
      <c r="BPK107" s="38"/>
      <c r="BPQ107" s="36"/>
      <c r="BPR107" s="38"/>
      <c r="BPS107" s="38"/>
      <c r="BPY107" s="36"/>
      <c r="BPZ107" s="38"/>
      <c r="BQA107" s="38"/>
      <c r="BQG107" s="36"/>
      <c r="BQH107" s="38"/>
      <c r="BQI107" s="38"/>
      <c r="BQO107" s="36"/>
      <c r="BQP107" s="38"/>
      <c r="BQQ107" s="38"/>
      <c r="BQW107" s="36"/>
      <c r="BQX107" s="38"/>
      <c r="BQY107" s="38"/>
      <c r="BRE107" s="36"/>
      <c r="BRF107" s="38"/>
      <c r="BRG107" s="38"/>
      <c r="BRM107" s="36"/>
      <c r="BRN107" s="38"/>
      <c r="BRO107" s="38"/>
      <c r="BRU107" s="36"/>
      <c r="BRV107" s="38"/>
      <c r="BRW107" s="38"/>
      <c r="BSC107" s="36"/>
      <c r="BSD107" s="38"/>
      <c r="BSE107" s="38"/>
      <c r="BSK107" s="36"/>
      <c r="BSL107" s="38"/>
      <c r="BSM107" s="38"/>
      <c r="BSS107" s="36"/>
      <c r="BST107" s="38"/>
      <c r="BSU107" s="38"/>
      <c r="BTA107" s="36"/>
      <c r="BTB107" s="38"/>
      <c r="BTC107" s="38"/>
      <c r="BTI107" s="36"/>
      <c r="BTJ107" s="38"/>
      <c r="BTK107" s="38"/>
      <c r="BTQ107" s="36"/>
      <c r="BTR107" s="38"/>
      <c r="BTS107" s="38"/>
      <c r="BTY107" s="36"/>
      <c r="BTZ107" s="38"/>
      <c r="BUA107" s="38"/>
      <c r="BUG107" s="36"/>
      <c r="BUH107" s="38"/>
      <c r="BUI107" s="38"/>
      <c r="BUO107" s="36"/>
      <c r="BUP107" s="38"/>
      <c r="BUQ107" s="38"/>
      <c r="BUW107" s="36"/>
      <c r="BUX107" s="38"/>
      <c r="BUY107" s="38"/>
      <c r="BVE107" s="36"/>
      <c r="BVF107" s="38"/>
      <c r="BVG107" s="38"/>
      <c r="BVM107" s="36"/>
      <c r="BVN107" s="38"/>
      <c r="BVO107" s="38"/>
      <c r="BVU107" s="36"/>
      <c r="BVV107" s="38"/>
      <c r="BVW107" s="38"/>
      <c r="BWC107" s="36"/>
      <c r="BWD107" s="38"/>
      <c r="BWE107" s="38"/>
      <c r="BWK107" s="36"/>
      <c r="BWL107" s="38"/>
      <c r="BWM107" s="38"/>
      <c r="BWS107" s="36"/>
      <c r="BWT107" s="38"/>
      <c r="BWU107" s="38"/>
      <c r="BXA107" s="36"/>
      <c r="BXB107" s="38"/>
      <c r="BXC107" s="38"/>
      <c r="BXI107" s="36"/>
      <c r="BXJ107" s="38"/>
      <c r="BXK107" s="38"/>
      <c r="BXQ107" s="36"/>
      <c r="BXR107" s="38"/>
      <c r="BXS107" s="38"/>
      <c r="BXY107" s="36"/>
      <c r="BXZ107" s="38"/>
      <c r="BYA107" s="38"/>
      <c r="BYG107" s="36"/>
      <c r="BYH107" s="38"/>
      <c r="BYI107" s="38"/>
      <c r="BYO107" s="36"/>
      <c r="BYP107" s="38"/>
      <c r="BYQ107" s="38"/>
      <c r="BYW107" s="36"/>
      <c r="BYX107" s="38"/>
      <c r="BYY107" s="38"/>
      <c r="BZE107" s="36"/>
      <c r="BZF107" s="38"/>
      <c r="BZG107" s="38"/>
      <c r="BZM107" s="36"/>
      <c r="BZN107" s="38"/>
      <c r="BZO107" s="38"/>
      <c r="BZU107" s="36"/>
      <c r="BZV107" s="38"/>
      <c r="BZW107" s="38"/>
      <c r="CAC107" s="36"/>
      <c r="CAD107" s="38"/>
      <c r="CAE107" s="38"/>
      <c r="CAK107" s="36"/>
      <c r="CAL107" s="38"/>
      <c r="CAM107" s="38"/>
      <c r="CAS107" s="36"/>
      <c r="CAT107" s="38"/>
      <c r="CAU107" s="38"/>
      <c r="CBA107" s="36"/>
      <c r="CBB107" s="38"/>
      <c r="CBC107" s="38"/>
      <c r="CBI107" s="36"/>
      <c r="CBJ107" s="38"/>
      <c r="CBK107" s="38"/>
      <c r="CBQ107" s="36"/>
      <c r="CBR107" s="38"/>
      <c r="CBS107" s="38"/>
      <c r="CBY107" s="36"/>
      <c r="CBZ107" s="38"/>
      <c r="CCA107" s="38"/>
      <c r="CCG107" s="36"/>
      <c r="CCH107" s="38"/>
      <c r="CCI107" s="38"/>
      <c r="CCO107" s="36"/>
      <c r="CCP107" s="38"/>
      <c r="CCQ107" s="38"/>
      <c r="CCW107" s="36"/>
      <c r="CCX107" s="38"/>
      <c r="CCY107" s="38"/>
      <c r="CDE107" s="36"/>
      <c r="CDF107" s="38"/>
      <c r="CDG107" s="38"/>
      <c r="CDM107" s="36"/>
      <c r="CDN107" s="38"/>
      <c r="CDO107" s="38"/>
      <c r="CDU107" s="36"/>
      <c r="CDV107" s="38"/>
      <c r="CDW107" s="38"/>
      <c r="CEC107" s="36"/>
      <c r="CED107" s="38"/>
      <c r="CEE107" s="38"/>
      <c r="CEK107" s="36"/>
      <c r="CEL107" s="38"/>
      <c r="CEM107" s="38"/>
      <c r="CES107" s="36"/>
      <c r="CET107" s="38"/>
      <c r="CEU107" s="38"/>
      <c r="CFA107" s="36"/>
      <c r="CFB107" s="38"/>
      <c r="CFC107" s="38"/>
      <c r="CFI107" s="36"/>
      <c r="CFJ107" s="38"/>
      <c r="CFK107" s="38"/>
      <c r="CFQ107" s="36"/>
      <c r="CFR107" s="38"/>
      <c r="CFS107" s="38"/>
      <c r="CFY107" s="36"/>
      <c r="CFZ107" s="38"/>
      <c r="CGA107" s="38"/>
      <c r="CGG107" s="36"/>
      <c r="CGH107" s="38"/>
      <c r="CGI107" s="38"/>
      <c r="CGO107" s="36"/>
      <c r="CGP107" s="38"/>
      <c r="CGQ107" s="38"/>
      <c r="CGW107" s="36"/>
      <c r="CGX107" s="38"/>
      <c r="CGY107" s="38"/>
      <c r="CHE107" s="36"/>
      <c r="CHF107" s="38"/>
      <c r="CHG107" s="38"/>
      <c r="CHM107" s="36"/>
      <c r="CHN107" s="38"/>
      <c r="CHO107" s="38"/>
      <c r="CHU107" s="36"/>
      <c r="CHV107" s="38"/>
      <c r="CHW107" s="38"/>
      <c r="CIC107" s="36"/>
      <c r="CID107" s="38"/>
      <c r="CIE107" s="38"/>
      <c r="CIK107" s="36"/>
      <c r="CIL107" s="38"/>
      <c r="CIM107" s="38"/>
      <c r="CIS107" s="36"/>
      <c r="CIT107" s="38"/>
      <c r="CIU107" s="38"/>
      <c r="CJA107" s="36"/>
      <c r="CJB107" s="38"/>
      <c r="CJC107" s="38"/>
      <c r="CJI107" s="36"/>
      <c r="CJJ107" s="38"/>
      <c r="CJK107" s="38"/>
      <c r="CJQ107" s="36"/>
      <c r="CJR107" s="38"/>
      <c r="CJS107" s="38"/>
      <c r="CJY107" s="36"/>
      <c r="CJZ107" s="38"/>
      <c r="CKA107" s="38"/>
      <c r="CKG107" s="36"/>
      <c r="CKH107" s="38"/>
      <c r="CKI107" s="38"/>
      <c r="CKO107" s="36"/>
      <c r="CKP107" s="38"/>
      <c r="CKQ107" s="38"/>
      <c r="CKW107" s="36"/>
      <c r="CKX107" s="38"/>
      <c r="CKY107" s="38"/>
      <c r="CLE107" s="36"/>
      <c r="CLF107" s="38"/>
      <c r="CLG107" s="38"/>
      <c r="CLM107" s="36"/>
      <c r="CLN107" s="38"/>
      <c r="CLO107" s="38"/>
      <c r="CLU107" s="36"/>
      <c r="CLV107" s="38"/>
      <c r="CLW107" s="38"/>
      <c r="CMC107" s="36"/>
      <c r="CMD107" s="38"/>
      <c r="CME107" s="38"/>
      <c r="CMK107" s="36"/>
      <c r="CML107" s="38"/>
      <c r="CMM107" s="38"/>
      <c r="CMS107" s="36"/>
      <c r="CMT107" s="38"/>
      <c r="CMU107" s="38"/>
      <c r="CNA107" s="36"/>
      <c r="CNB107" s="38"/>
      <c r="CNC107" s="38"/>
      <c r="CNI107" s="36"/>
      <c r="CNJ107" s="38"/>
      <c r="CNK107" s="38"/>
      <c r="CNQ107" s="36"/>
      <c r="CNR107" s="38"/>
      <c r="CNS107" s="38"/>
      <c r="CNY107" s="36"/>
      <c r="CNZ107" s="38"/>
      <c r="COA107" s="38"/>
      <c r="COG107" s="36"/>
      <c r="COH107" s="38"/>
      <c r="COI107" s="38"/>
      <c r="COO107" s="36"/>
      <c r="COP107" s="38"/>
      <c r="COQ107" s="38"/>
      <c r="COW107" s="36"/>
      <c r="COX107" s="38"/>
      <c r="COY107" s="38"/>
      <c r="CPE107" s="36"/>
      <c r="CPF107" s="38"/>
      <c r="CPG107" s="38"/>
      <c r="CPM107" s="36"/>
      <c r="CPN107" s="38"/>
      <c r="CPO107" s="38"/>
      <c r="CPU107" s="36"/>
      <c r="CPV107" s="38"/>
      <c r="CPW107" s="38"/>
      <c r="CQC107" s="36"/>
      <c r="CQD107" s="38"/>
      <c r="CQE107" s="38"/>
      <c r="CQK107" s="36"/>
      <c r="CQL107" s="38"/>
      <c r="CQM107" s="38"/>
      <c r="CQS107" s="36"/>
      <c r="CQT107" s="38"/>
      <c r="CQU107" s="38"/>
      <c r="CRA107" s="36"/>
      <c r="CRB107" s="38"/>
      <c r="CRC107" s="38"/>
      <c r="CRI107" s="36"/>
      <c r="CRJ107" s="38"/>
      <c r="CRK107" s="38"/>
      <c r="CRQ107" s="36"/>
      <c r="CRR107" s="38"/>
      <c r="CRS107" s="38"/>
      <c r="CRY107" s="36"/>
      <c r="CRZ107" s="38"/>
      <c r="CSA107" s="38"/>
      <c r="CSG107" s="36"/>
      <c r="CSH107" s="38"/>
      <c r="CSI107" s="38"/>
      <c r="CSO107" s="36"/>
      <c r="CSP107" s="38"/>
      <c r="CSQ107" s="38"/>
      <c r="CSW107" s="36"/>
      <c r="CSX107" s="38"/>
      <c r="CSY107" s="38"/>
      <c r="CTE107" s="36"/>
      <c r="CTF107" s="38"/>
      <c r="CTG107" s="38"/>
      <c r="CTM107" s="36"/>
      <c r="CTN107" s="38"/>
      <c r="CTO107" s="38"/>
      <c r="CTU107" s="36"/>
      <c r="CTV107" s="38"/>
      <c r="CTW107" s="38"/>
      <c r="CUC107" s="36"/>
      <c r="CUD107" s="38"/>
      <c r="CUE107" s="38"/>
      <c r="CUK107" s="36"/>
      <c r="CUL107" s="38"/>
      <c r="CUM107" s="38"/>
      <c r="CUS107" s="36"/>
      <c r="CUT107" s="38"/>
      <c r="CUU107" s="38"/>
      <c r="CVA107" s="36"/>
      <c r="CVB107" s="38"/>
      <c r="CVC107" s="38"/>
      <c r="CVI107" s="36"/>
      <c r="CVJ107" s="38"/>
      <c r="CVK107" s="38"/>
      <c r="CVQ107" s="36"/>
      <c r="CVR107" s="38"/>
      <c r="CVS107" s="38"/>
      <c r="CVY107" s="36"/>
      <c r="CVZ107" s="38"/>
      <c r="CWA107" s="38"/>
      <c r="CWG107" s="36"/>
      <c r="CWH107" s="38"/>
      <c r="CWI107" s="38"/>
      <c r="CWO107" s="36"/>
      <c r="CWP107" s="38"/>
      <c r="CWQ107" s="38"/>
      <c r="CWW107" s="36"/>
      <c r="CWX107" s="38"/>
      <c r="CWY107" s="38"/>
      <c r="CXE107" s="36"/>
      <c r="CXF107" s="38"/>
      <c r="CXG107" s="38"/>
      <c r="CXM107" s="36"/>
      <c r="CXN107" s="38"/>
      <c r="CXO107" s="38"/>
      <c r="CXU107" s="36"/>
      <c r="CXV107" s="38"/>
      <c r="CXW107" s="38"/>
      <c r="CYC107" s="36"/>
      <c r="CYD107" s="38"/>
      <c r="CYE107" s="38"/>
      <c r="CYK107" s="36"/>
      <c r="CYL107" s="38"/>
      <c r="CYM107" s="38"/>
      <c r="CYS107" s="36"/>
      <c r="CYT107" s="38"/>
      <c r="CYU107" s="38"/>
      <c r="CZA107" s="36"/>
      <c r="CZB107" s="38"/>
      <c r="CZC107" s="38"/>
      <c r="CZI107" s="36"/>
      <c r="CZJ107" s="38"/>
      <c r="CZK107" s="38"/>
      <c r="CZQ107" s="36"/>
      <c r="CZR107" s="38"/>
      <c r="CZS107" s="38"/>
      <c r="CZY107" s="36"/>
      <c r="CZZ107" s="38"/>
      <c r="DAA107" s="38"/>
      <c r="DAG107" s="36"/>
      <c r="DAH107" s="38"/>
      <c r="DAI107" s="38"/>
      <c r="DAO107" s="36"/>
      <c r="DAP107" s="38"/>
      <c r="DAQ107" s="38"/>
      <c r="DAW107" s="36"/>
      <c r="DAX107" s="38"/>
      <c r="DAY107" s="38"/>
      <c r="DBE107" s="36"/>
      <c r="DBF107" s="38"/>
      <c r="DBG107" s="38"/>
      <c r="DBM107" s="36"/>
      <c r="DBN107" s="38"/>
      <c r="DBO107" s="38"/>
      <c r="DBU107" s="36"/>
      <c r="DBV107" s="38"/>
      <c r="DBW107" s="38"/>
      <c r="DCC107" s="36"/>
      <c r="DCD107" s="38"/>
      <c r="DCE107" s="38"/>
      <c r="DCK107" s="36"/>
      <c r="DCL107" s="38"/>
      <c r="DCM107" s="38"/>
      <c r="DCS107" s="36"/>
      <c r="DCT107" s="38"/>
      <c r="DCU107" s="38"/>
      <c r="DDA107" s="36"/>
      <c r="DDB107" s="38"/>
      <c r="DDC107" s="38"/>
      <c r="DDI107" s="36"/>
      <c r="DDJ107" s="38"/>
      <c r="DDK107" s="38"/>
      <c r="DDQ107" s="36"/>
      <c r="DDR107" s="38"/>
      <c r="DDS107" s="38"/>
      <c r="DDY107" s="36"/>
      <c r="DDZ107" s="38"/>
      <c r="DEA107" s="38"/>
      <c r="DEG107" s="36"/>
      <c r="DEH107" s="38"/>
      <c r="DEI107" s="38"/>
      <c r="DEO107" s="36"/>
      <c r="DEP107" s="38"/>
      <c r="DEQ107" s="38"/>
      <c r="DEW107" s="36"/>
      <c r="DEX107" s="38"/>
      <c r="DEY107" s="38"/>
      <c r="DFE107" s="36"/>
      <c r="DFF107" s="38"/>
      <c r="DFG107" s="38"/>
      <c r="DFM107" s="36"/>
      <c r="DFN107" s="38"/>
      <c r="DFO107" s="38"/>
      <c r="DFU107" s="36"/>
      <c r="DFV107" s="38"/>
      <c r="DFW107" s="38"/>
      <c r="DGC107" s="36"/>
      <c r="DGD107" s="38"/>
      <c r="DGE107" s="38"/>
      <c r="DGK107" s="36"/>
      <c r="DGL107" s="38"/>
      <c r="DGM107" s="38"/>
      <c r="DGS107" s="36"/>
      <c r="DGT107" s="38"/>
      <c r="DGU107" s="38"/>
      <c r="DHA107" s="36"/>
      <c r="DHB107" s="38"/>
      <c r="DHC107" s="38"/>
      <c r="DHI107" s="36"/>
      <c r="DHJ107" s="38"/>
      <c r="DHK107" s="38"/>
      <c r="DHQ107" s="36"/>
      <c r="DHR107" s="38"/>
      <c r="DHS107" s="38"/>
      <c r="DHY107" s="36"/>
      <c r="DHZ107" s="38"/>
      <c r="DIA107" s="38"/>
      <c r="DIG107" s="36"/>
      <c r="DIH107" s="38"/>
      <c r="DII107" s="38"/>
      <c r="DIO107" s="36"/>
      <c r="DIP107" s="38"/>
      <c r="DIQ107" s="38"/>
      <c r="DIW107" s="36"/>
      <c r="DIX107" s="38"/>
      <c r="DIY107" s="38"/>
      <c r="DJE107" s="36"/>
      <c r="DJF107" s="38"/>
      <c r="DJG107" s="38"/>
      <c r="DJM107" s="36"/>
      <c r="DJN107" s="38"/>
      <c r="DJO107" s="38"/>
      <c r="DJU107" s="36"/>
      <c r="DJV107" s="38"/>
      <c r="DJW107" s="38"/>
      <c r="DKC107" s="36"/>
      <c r="DKD107" s="38"/>
      <c r="DKE107" s="38"/>
      <c r="DKK107" s="36"/>
      <c r="DKL107" s="38"/>
      <c r="DKM107" s="38"/>
      <c r="DKS107" s="36"/>
      <c r="DKT107" s="38"/>
      <c r="DKU107" s="38"/>
      <c r="DLA107" s="36"/>
      <c r="DLB107" s="38"/>
      <c r="DLC107" s="38"/>
      <c r="DLI107" s="36"/>
      <c r="DLJ107" s="38"/>
      <c r="DLK107" s="38"/>
      <c r="DLQ107" s="36"/>
      <c r="DLR107" s="38"/>
      <c r="DLS107" s="38"/>
      <c r="DLY107" s="36"/>
      <c r="DLZ107" s="38"/>
      <c r="DMA107" s="38"/>
      <c r="DMG107" s="36"/>
      <c r="DMH107" s="38"/>
      <c r="DMI107" s="38"/>
      <c r="DMO107" s="36"/>
      <c r="DMP107" s="38"/>
      <c r="DMQ107" s="38"/>
      <c r="DMW107" s="36"/>
      <c r="DMX107" s="38"/>
      <c r="DMY107" s="38"/>
      <c r="DNE107" s="36"/>
      <c r="DNF107" s="38"/>
      <c r="DNG107" s="38"/>
      <c r="DNM107" s="36"/>
      <c r="DNN107" s="38"/>
      <c r="DNO107" s="38"/>
      <c r="DNU107" s="36"/>
      <c r="DNV107" s="38"/>
      <c r="DNW107" s="38"/>
      <c r="DOC107" s="36"/>
      <c r="DOD107" s="38"/>
      <c r="DOE107" s="38"/>
      <c r="DOK107" s="36"/>
      <c r="DOL107" s="38"/>
      <c r="DOM107" s="38"/>
      <c r="DOS107" s="36"/>
      <c r="DOT107" s="38"/>
      <c r="DOU107" s="38"/>
      <c r="DPA107" s="36"/>
      <c r="DPB107" s="38"/>
      <c r="DPC107" s="38"/>
      <c r="DPI107" s="36"/>
      <c r="DPJ107" s="38"/>
      <c r="DPK107" s="38"/>
      <c r="DPQ107" s="36"/>
      <c r="DPR107" s="38"/>
      <c r="DPS107" s="38"/>
      <c r="DPY107" s="36"/>
      <c r="DPZ107" s="38"/>
      <c r="DQA107" s="38"/>
      <c r="DQG107" s="36"/>
      <c r="DQH107" s="38"/>
      <c r="DQI107" s="38"/>
      <c r="DQO107" s="36"/>
      <c r="DQP107" s="38"/>
      <c r="DQQ107" s="38"/>
      <c r="DQW107" s="36"/>
      <c r="DQX107" s="38"/>
      <c r="DQY107" s="38"/>
      <c r="DRE107" s="36"/>
      <c r="DRF107" s="38"/>
      <c r="DRG107" s="38"/>
      <c r="DRM107" s="36"/>
      <c r="DRN107" s="38"/>
      <c r="DRO107" s="38"/>
      <c r="DRU107" s="36"/>
      <c r="DRV107" s="38"/>
      <c r="DRW107" s="38"/>
      <c r="DSC107" s="36"/>
      <c r="DSD107" s="38"/>
      <c r="DSE107" s="38"/>
      <c r="DSK107" s="36"/>
      <c r="DSL107" s="38"/>
      <c r="DSM107" s="38"/>
      <c r="DSS107" s="36"/>
      <c r="DST107" s="38"/>
      <c r="DSU107" s="38"/>
      <c r="DTA107" s="36"/>
      <c r="DTB107" s="38"/>
      <c r="DTC107" s="38"/>
      <c r="DTI107" s="36"/>
      <c r="DTJ107" s="38"/>
      <c r="DTK107" s="38"/>
      <c r="DTQ107" s="36"/>
      <c r="DTR107" s="38"/>
      <c r="DTS107" s="38"/>
      <c r="DTY107" s="36"/>
      <c r="DTZ107" s="38"/>
      <c r="DUA107" s="38"/>
      <c r="DUG107" s="36"/>
      <c r="DUH107" s="38"/>
      <c r="DUI107" s="38"/>
      <c r="DUO107" s="36"/>
      <c r="DUP107" s="38"/>
      <c r="DUQ107" s="38"/>
      <c r="DUW107" s="36"/>
      <c r="DUX107" s="38"/>
      <c r="DUY107" s="38"/>
      <c r="DVE107" s="36"/>
      <c r="DVF107" s="38"/>
      <c r="DVG107" s="38"/>
      <c r="DVM107" s="36"/>
      <c r="DVN107" s="38"/>
      <c r="DVO107" s="38"/>
      <c r="DVU107" s="36"/>
      <c r="DVV107" s="38"/>
      <c r="DVW107" s="38"/>
      <c r="DWC107" s="36"/>
      <c r="DWD107" s="38"/>
      <c r="DWE107" s="38"/>
      <c r="DWK107" s="36"/>
      <c r="DWL107" s="38"/>
      <c r="DWM107" s="38"/>
      <c r="DWS107" s="36"/>
      <c r="DWT107" s="38"/>
      <c r="DWU107" s="38"/>
      <c r="DXA107" s="36"/>
      <c r="DXB107" s="38"/>
      <c r="DXC107" s="38"/>
      <c r="DXI107" s="36"/>
      <c r="DXJ107" s="38"/>
      <c r="DXK107" s="38"/>
      <c r="DXQ107" s="36"/>
      <c r="DXR107" s="38"/>
      <c r="DXS107" s="38"/>
      <c r="DXY107" s="36"/>
      <c r="DXZ107" s="38"/>
      <c r="DYA107" s="38"/>
      <c r="DYG107" s="36"/>
      <c r="DYH107" s="38"/>
      <c r="DYI107" s="38"/>
      <c r="DYO107" s="36"/>
      <c r="DYP107" s="38"/>
      <c r="DYQ107" s="38"/>
      <c r="DYW107" s="36"/>
      <c r="DYX107" s="38"/>
      <c r="DYY107" s="38"/>
      <c r="DZE107" s="36"/>
      <c r="DZF107" s="38"/>
      <c r="DZG107" s="38"/>
      <c r="DZM107" s="36"/>
      <c r="DZN107" s="38"/>
      <c r="DZO107" s="38"/>
      <c r="DZU107" s="36"/>
      <c r="DZV107" s="38"/>
      <c r="DZW107" s="38"/>
      <c r="EAC107" s="36"/>
      <c r="EAD107" s="38"/>
      <c r="EAE107" s="38"/>
      <c r="EAK107" s="36"/>
      <c r="EAL107" s="38"/>
      <c r="EAM107" s="38"/>
      <c r="EAS107" s="36"/>
      <c r="EAT107" s="38"/>
      <c r="EAU107" s="38"/>
      <c r="EBA107" s="36"/>
      <c r="EBB107" s="38"/>
      <c r="EBC107" s="38"/>
      <c r="EBI107" s="36"/>
      <c r="EBJ107" s="38"/>
      <c r="EBK107" s="38"/>
      <c r="EBQ107" s="36"/>
      <c r="EBR107" s="38"/>
      <c r="EBS107" s="38"/>
      <c r="EBY107" s="36"/>
      <c r="EBZ107" s="38"/>
      <c r="ECA107" s="38"/>
      <c r="ECG107" s="36"/>
      <c r="ECH107" s="38"/>
      <c r="ECI107" s="38"/>
      <c r="ECO107" s="36"/>
      <c r="ECP107" s="38"/>
      <c r="ECQ107" s="38"/>
      <c r="ECW107" s="36"/>
      <c r="ECX107" s="38"/>
      <c r="ECY107" s="38"/>
      <c r="EDE107" s="36"/>
      <c r="EDF107" s="38"/>
      <c r="EDG107" s="38"/>
      <c r="EDM107" s="36"/>
      <c r="EDN107" s="38"/>
      <c r="EDO107" s="38"/>
      <c r="EDU107" s="36"/>
      <c r="EDV107" s="38"/>
      <c r="EDW107" s="38"/>
      <c r="EEC107" s="36"/>
      <c r="EED107" s="38"/>
      <c r="EEE107" s="38"/>
      <c r="EEK107" s="36"/>
      <c r="EEL107" s="38"/>
      <c r="EEM107" s="38"/>
      <c r="EES107" s="36"/>
      <c r="EET107" s="38"/>
      <c r="EEU107" s="38"/>
      <c r="EFA107" s="36"/>
      <c r="EFB107" s="38"/>
      <c r="EFC107" s="38"/>
      <c r="EFI107" s="36"/>
      <c r="EFJ107" s="38"/>
      <c r="EFK107" s="38"/>
      <c r="EFQ107" s="36"/>
      <c r="EFR107" s="38"/>
      <c r="EFS107" s="38"/>
      <c r="EFY107" s="36"/>
      <c r="EFZ107" s="38"/>
      <c r="EGA107" s="38"/>
      <c r="EGG107" s="36"/>
      <c r="EGH107" s="38"/>
      <c r="EGI107" s="38"/>
      <c r="EGO107" s="36"/>
      <c r="EGP107" s="38"/>
      <c r="EGQ107" s="38"/>
      <c r="EGW107" s="36"/>
      <c r="EGX107" s="38"/>
      <c r="EGY107" s="38"/>
      <c r="EHE107" s="36"/>
      <c r="EHF107" s="38"/>
      <c r="EHG107" s="38"/>
      <c r="EHM107" s="36"/>
      <c r="EHN107" s="38"/>
      <c r="EHO107" s="38"/>
      <c r="EHU107" s="36"/>
      <c r="EHV107" s="38"/>
      <c r="EHW107" s="38"/>
      <c r="EIC107" s="36"/>
      <c r="EID107" s="38"/>
      <c r="EIE107" s="38"/>
      <c r="EIK107" s="36"/>
      <c r="EIL107" s="38"/>
      <c r="EIM107" s="38"/>
      <c r="EIS107" s="36"/>
      <c r="EIT107" s="38"/>
      <c r="EIU107" s="38"/>
      <c r="EJA107" s="36"/>
      <c r="EJB107" s="38"/>
      <c r="EJC107" s="38"/>
      <c r="EJI107" s="36"/>
      <c r="EJJ107" s="38"/>
      <c r="EJK107" s="38"/>
      <c r="EJQ107" s="36"/>
      <c r="EJR107" s="38"/>
      <c r="EJS107" s="38"/>
      <c r="EJY107" s="36"/>
      <c r="EJZ107" s="38"/>
      <c r="EKA107" s="38"/>
      <c r="EKG107" s="36"/>
      <c r="EKH107" s="38"/>
      <c r="EKI107" s="38"/>
      <c r="EKO107" s="36"/>
      <c r="EKP107" s="38"/>
      <c r="EKQ107" s="38"/>
      <c r="EKW107" s="36"/>
      <c r="EKX107" s="38"/>
      <c r="EKY107" s="38"/>
      <c r="ELE107" s="36"/>
      <c r="ELF107" s="38"/>
      <c r="ELG107" s="38"/>
      <c r="ELM107" s="36"/>
      <c r="ELN107" s="38"/>
      <c r="ELO107" s="38"/>
      <c r="ELU107" s="36"/>
      <c r="ELV107" s="38"/>
      <c r="ELW107" s="38"/>
      <c r="EMC107" s="36"/>
      <c r="EMD107" s="38"/>
      <c r="EME107" s="38"/>
      <c r="EMK107" s="36"/>
      <c r="EML107" s="38"/>
      <c r="EMM107" s="38"/>
      <c r="EMS107" s="36"/>
      <c r="EMT107" s="38"/>
      <c r="EMU107" s="38"/>
      <c r="ENA107" s="36"/>
      <c r="ENB107" s="38"/>
      <c r="ENC107" s="38"/>
      <c r="ENI107" s="36"/>
      <c r="ENJ107" s="38"/>
      <c r="ENK107" s="38"/>
      <c r="ENQ107" s="36"/>
      <c r="ENR107" s="38"/>
      <c r="ENS107" s="38"/>
      <c r="ENY107" s="36"/>
      <c r="ENZ107" s="38"/>
      <c r="EOA107" s="38"/>
      <c r="EOG107" s="36"/>
      <c r="EOH107" s="38"/>
      <c r="EOI107" s="38"/>
      <c r="EOO107" s="36"/>
      <c r="EOP107" s="38"/>
      <c r="EOQ107" s="38"/>
      <c r="EOW107" s="36"/>
      <c r="EOX107" s="38"/>
      <c r="EOY107" s="38"/>
      <c r="EPE107" s="36"/>
      <c r="EPF107" s="38"/>
      <c r="EPG107" s="38"/>
      <c r="EPM107" s="36"/>
      <c r="EPN107" s="38"/>
      <c r="EPO107" s="38"/>
      <c r="EPU107" s="36"/>
      <c r="EPV107" s="38"/>
      <c r="EPW107" s="38"/>
      <c r="EQC107" s="36"/>
      <c r="EQD107" s="38"/>
      <c r="EQE107" s="38"/>
      <c r="EQK107" s="36"/>
      <c r="EQL107" s="38"/>
      <c r="EQM107" s="38"/>
      <c r="EQS107" s="36"/>
      <c r="EQT107" s="38"/>
      <c r="EQU107" s="38"/>
      <c r="ERA107" s="36"/>
      <c r="ERB107" s="38"/>
      <c r="ERC107" s="38"/>
      <c r="ERI107" s="36"/>
      <c r="ERJ107" s="38"/>
      <c r="ERK107" s="38"/>
      <c r="ERQ107" s="36"/>
      <c r="ERR107" s="38"/>
      <c r="ERS107" s="38"/>
      <c r="ERY107" s="36"/>
      <c r="ERZ107" s="38"/>
      <c r="ESA107" s="38"/>
      <c r="ESG107" s="36"/>
      <c r="ESH107" s="38"/>
      <c r="ESI107" s="38"/>
      <c r="ESO107" s="36"/>
      <c r="ESP107" s="38"/>
      <c r="ESQ107" s="38"/>
      <c r="ESW107" s="36"/>
      <c r="ESX107" s="38"/>
      <c r="ESY107" s="38"/>
      <c r="ETE107" s="36"/>
      <c r="ETF107" s="38"/>
      <c r="ETG107" s="38"/>
      <c r="ETM107" s="36"/>
      <c r="ETN107" s="38"/>
      <c r="ETO107" s="38"/>
      <c r="ETU107" s="36"/>
      <c r="ETV107" s="38"/>
      <c r="ETW107" s="38"/>
      <c r="EUC107" s="36"/>
      <c r="EUD107" s="38"/>
      <c r="EUE107" s="38"/>
      <c r="EUK107" s="36"/>
      <c r="EUL107" s="38"/>
      <c r="EUM107" s="38"/>
      <c r="EUS107" s="36"/>
      <c r="EUT107" s="38"/>
      <c r="EUU107" s="38"/>
      <c r="EVA107" s="36"/>
      <c r="EVB107" s="38"/>
      <c r="EVC107" s="38"/>
      <c r="EVI107" s="36"/>
      <c r="EVJ107" s="38"/>
      <c r="EVK107" s="38"/>
      <c r="EVQ107" s="36"/>
      <c r="EVR107" s="38"/>
      <c r="EVS107" s="38"/>
      <c r="EVY107" s="36"/>
      <c r="EVZ107" s="38"/>
      <c r="EWA107" s="38"/>
      <c r="EWG107" s="36"/>
      <c r="EWH107" s="38"/>
      <c r="EWI107" s="38"/>
      <c r="EWO107" s="36"/>
      <c r="EWP107" s="38"/>
      <c r="EWQ107" s="38"/>
      <c r="EWW107" s="36"/>
      <c r="EWX107" s="38"/>
      <c r="EWY107" s="38"/>
      <c r="EXE107" s="36"/>
      <c r="EXF107" s="38"/>
      <c r="EXG107" s="38"/>
      <c r="EXM107" s="36"/>
      <c r="EXN107" s="38"/>
      <c r="EXO107" s="38"/>
      <c r="EXU107" s="36"/>
      <c r="EXV107" s="38"/>
      <c r="EXW107" s="38"/>
      <c r="EYC107" s="36"/>
      <c r="EYD107" s="38"/>
      <c r="EYE107" s="38"/>
      <c r="EYK107" s="36"/>
      <c r="EYL107" s="38"/>
      <c r="EYM107" s="38"/>
      <c r="EYS107" s="36"/>
      <c r="EYT107" s="38"/>
      <c r="EYU107" s="38"/>
      <c r="EZA107" s="36"/>
      <c r="EZB107" s="38"/>
      <c r="EZC107" s="38"/>
      <c r="EZI107" s="36"/>
      <c r="EZJ107" s="38"/>
      <c r="EZK107" s="38"/>
      <c r="EZQ107" s="36"/>
      <c r="EZR107" s="38"/>
      <c r="EZS107" s="38"/>
      <c r="EZY107" s="36"/>
      <c r="EZZ107" s="38"/>
      <c r="FAA107" s="38"/>
      <c r="FAG107" s="36"/>
      <c r="FAH107" s="38"/>
      <c r="FAI107" s="38"/>
      <c r="FAO107" s="36"/>
      <c r="FAP107" s="38"/>
      <c r="FAQ107" s="38"/>
      <c r="FAW107" s="36"/>
      <c r="FAX107" s="38"/>
      <c r="FAY107" s="38"/>
      <c r="FBE107" s="36"/>
      <c r="FBF107" s="38"/>
      <c r="FBG107" s="38"/>
      <c r="FBM107" s="36"/>
      <c r="FBN107" s="38"/>
      <c r="FBO107" s="38"/>
      <c r="FBU107" s="36"/>
      <c r="FBV107" s="38"/>
      <c r="FBW107" s="38"/>
      <c r="FCC107" s="36"/>
      <c r="FCD107" s="38"/>
      <c r="FCE107" s="38"/>
      <c r="FCK107" s="36"/>
      <c r="FCL107" s="38"/>
      <c r="FCM107" s="38"/>
      <c r="FCS107" s="36"/>
      <c r="FCT107" s="38"/>
      <c r="FCU107" s="38"/>
      <c r="FDA107" s="36"/>
      <c r="FDB107" s="38"/>
      <c r="FDC107" s="38"/>
      <c r="FDI107" s="36"/>
      <c r="FDJ107" s="38"/>
      <c r="FDK107" s="38"/>
      <c r="FDQ107" s="36"/>
      <c r="FDR107" s="38"/>
      <c r="FDS107" s="38"/>
      <c r="FDY107" s="36"/>
      <c r="FDZ107" s="38"/>
      <c r="FEA107" s="38"/>
      <c r="FEG107" s="36"/>
      <c r="FEH107" s="38"/>
      <c r="FEI107" s="38"/>
      <c r="FEO107" s="36"/>
      <c r="FEP107" s="38"/>
      <c r="FEQ107" s="38"/>
      <c r="FEW107" s="36"/>
      <c r="FEX107" s="38"/>
      <c r="FEY107" s="38"/>
      <c r="FFE107" s="36"/>
      <c r="FFF107" s="38"/>
      <c r="FFG107" s="38"/>
      <c r="FFM107" s="36"/>
      <c r="FFN107" s="38"/>
      <c r="FFO107" s="38"/>
      <c r="FFU107" s="36"/>
      <c r="FFV107" s="38"/>
      <c r="FFW107" s="38"/>
      <c r="FGC107" s="36"/>
      <c r="FGD107" s="38"/>
      <c r="FGE107" s="38"/>
      <c r="FGK107" s="36"/>
      <c r="FGL107" s="38"/>
      <c r="FGM107" s="38"/>
      <c r="FGS107" s="36"/>
      <c r="FGT107" s="38"/>
      <c r="FGU107" s="38"/>
      <c r="FHA107" s="36"/>
      <c r="FHB107" s="38"/>
      <c r="FHC107" s="38"/>
      <c r="FHI107" s="36"/>
      <c r="FHJ107" s="38"/>
      <c r="FHK107" s="38"/>
      <c r="FHQ107" s="36"/>
      <c r="FHR107" s="38"/>
      <c r="FHS107" s="38"/>
      <c r="FHY107" s="36"/>
      <c r="FHZ107" s="38"/>
      <c r="FIA107" s="38"/>
      <c r="FIG107" s="36"/>
      <c r="FIH107" s="38"/>
      <c r="FII107" s="38"/>
      <c r="FIO107" s="36"/>
      <c r="FIP107" s="38"/>
      <c r="FIQ107" s="38"/>
      <c r="FIW107" s="36"/>
      <c r="FIX107" s="38"/>
      <c r="FIY107" s="38"/>
      <c r="FJE107" s="36"/>
      <c r="FJF107" s="38"/>
      <c r="FJG107" s="38"/>
      <c r="FJM107" s="36"/>
      <c r="FJN107" s="38"/>
      <c r="FJO107" s="38"/>
      <c r="FJU107" s="36"/>
      <c r="FJV107" s="38"/>
      <c r="FJW107" s="38"/>
      <c r="FKC107" s="36"/>
      <c r="FKD107" s="38"/>
      <c r="FKE107" s="38"/>
      <c r="FKK107" s="36"/>
      <c r="FKL107" s="38"/>
      <c r="FKM107" s="38"/>
      <c r="FKS107" s="36"/>
      <c r="FKT107" s="38"/>
      <c r="FKU107" s="38"/>
      <c r="FLA107" s="36"/>
      <c r="FLB107" s="38"/>
      <c r="FLC107" s="38"/>
      <c r="FLI107" s="36"/>
      <c r="FLJ107" s="38"/>
      <c r="FLK107" s="38"/>
      <c r="FLQ107" s="36"/>
      <c r="FLR107" s="38"/>
      <c r="FLS107" s="38"/>
      <c r="FLY107" s="36"/>
      <c r="FLZ107" s="38"/>
      <c r="FMA107" s="38"/>
      <c r="FMG107" s="36"/>
      <c r="FMH107" s="38"/>
      <c r="FMI107" s="38"/>
      <c r="FMO107" s="36"/>
      <c r="FMP107" s="38"/>
      <c r="FMQ107" s="38"/>
      <c r="FMW107" s="36"/>
      <c r="FMX107" s="38"/>
      <c r="FMY107" s="38"/>
      <c r="FNE107" s="36"/>
      <c r="FNF107" s="38"/>
      <c r="FNG107" s="38"/>
      <c r="FNM107" s="36"/>
      <c r="FNN107" s="38"/>
      <c r="FNO107" s="38"/>
      <c r="FNU107" s="36"/>
      <c r="FNV107" s="38"/>
      <c r="FNW107" s="38"/>
      <c r="FOC107" s="36"/>
      <c r="FOD107" s="38"/>
      <c r="FOE107" s="38"/>
      <c r="FOK107" s="36"/>
      <c r="FOL107" s="38"/>
      <c r="FOM107" s="38"/>
      <c r="FOS107" s="36"/>
      <c r="FOT107" s="38"/>
      <c r="FOU107" s="38"/>
      <c r="FPA107" s="36"/>
      <c r="FPB107" s="38"/>
      <c r="FPC107" s="38"/>
      <c r="FPI107" s="36"/>
      <c r="FPJ107" s="38"/>
      <c r="FPK107" s="38"/>
      <c r="FPQ107" s="36"/>
      <c r="FPR107" s="38"/>
      <c r="FPS107" s="38"/>
      <c r="FPY107" s="36"/>
      <c r="FPZ107" s="38"/>
      <c r="FQA107" s="38"/>
      <c r="FQG107" s="36"/>
      <c r="FQH107" s="38"/>
      <c r="FQI107" s="38"/>
      <c r="FQO107" s="36"/>
      <c r="FQP107" s="38"/>
      <c r="FQQ107" s="38"/>
      <c r="FQW107" s="36"/>
      <c r="FQX107" s="38"/>
      <c r="FQY107" s="38"/>
      <c r="FRE107" s="36"/>
      <c r="FRF107" s="38"/>
      <c r="FRG107" s="38"/>
      <c r="FRM107" s="36"/>
      <c r="FRN107" s="38"/>
      <c r="FRO107" s="38"/>
      <c r="FRU107" s="36"/>
      <c r="FRV107" s="38"/>
      <c r="FRW107" s="38"/>
      <c r="FSC107" s="36"/>
      <c r="FSD107" s="38"/>
      <c r="FSE107" s="38"/>
      <c r="FSK107" s="36"/>
      <c r="FSL107" s="38"/>
      <c r="FSM107" s="38"/>
      <c r="FSS107" s="36"/>
      <c r="FST107" s="38"/>
      <c r="FSU107" s="38"/>
      <c r="FTA107" s="36"/>
      <c r="FTB107" s="38"/>
      <c r="FTC107" s="38"/>
      <c r="FTI107" s="36"/>
      <c r="FTJ107" s="38"/>
      <c r="FTK107" s="38"/>
      <c r="FTQ107" s="36"/>
      <c r="FTR107" s="38"/>
      <c r="FTS107" s="38"/>
      <c r="FTY107" s="36"/>
      <c r="FTZ107" s="38"/>
      <c r="FUA107" s="38"/>
      <c r="FUG107" s="36"/>
      <c r="FUH107" s="38"/>
      <c r="FUI107" s="38"/>
      <c r="FUO107" s="36"/>
      <c r="FUP107" s="38"/>
      <c r="FUQ107" s="38"/>
      <c r="FUW107" s="36"/>
      <c r="FUX107" s="38"/>
      <c r="FUY107" s="38"/>
      <c r="FVE107" s="36"/>
      <c r="FVF107" s="38"/>
      <c r="FVG107" s="38"/>
      <c r="FVM107" s="36"/>
      <c r="FVN107" s="38"/>
      <c r="FVO107" s="38"/>
      <c r="FVU107" s="36"/>
      <c r="FVV107" s="38"/>
      <c r="FVW107" s="38"/>
      <c r="FWC107" s="36"/>
      <c r="FWD107" s="38"/>
      <c r="FWE107" s="38"/>
      <c r="FWK107" s="36"/>
      <c r="FWL107" s="38"/>
      <c r="FWM107" s="38"/>
      <c r="FWS107" s="36"/>
      <c r="FWT107" s="38"/>
      <c r="FWU107" s="38"/>
      <c r="FXA107" s="36"/>
      <c r="FXB107" s="38"/>
      <c r="FXC107" s="38"/>
      <c r="FXI107" s="36"/>
      <c r="FXJ107" s="38"/>
      <c r="FXK107" s="38"/>
      <c r="FXQ107" s="36"/>
      <c r="FXR107" s="38"/>
      <c r="FXS107" s="38"/>
      <c r="FXY107" s="36"/>
      <c r="FXZ107" s="38"/>
      <c r="FYA107" s="38"/>
      <c r="FYG107" s="36"/>
      <c r="FYH107" s="38"/>
      <c r="FYI107" s="38"/>
      <c r="FYO107" s="36"/>
      <c r="FYP107" s="38"/>
      <c r="FYQ107" s="38"/>
      <c r="FYW107" s="36"/>
      <c r="FYX107" s="38"/>
      <c r="FYY107" s="38"/>
      <c r="FZE107" s="36"/>
      <c r="FZF107" s="38"/>
      <c r="FZG107" s="38"/>
      <c r="FZM107" s="36"/>
      <c r="FZN107" s="38"/>
      <c r="FZO107" s="38"/>
      <c r="FZU107" s="36"/>
      <c r="FZV107" s="38"/>
      <c r="FZW107" s="38"/>
      <c r="GAC107" s="36"/>
      <c r="GAD107" s="38"/>
      <c r="GAE107" s="38"/>
      <c r="GAK107" s="36"/>
      <c r="GAL107" s="38"/>
      <c r="GAM107" s="38"/>
      <c r="GAS107" s="36"/>
      <c r="GAT107" s="38"/>
      <c r="GAU107" s="38"/>
      <c r="GBA107" s="36"/>
      <c r="GBB107" s="38"/>
      <c r="GBC107" s="38"/>
      <c r="GBI107" s="36"/>
      <c r="GBJ107" s="38"/>
      <c r="GBK107" s="38"/>
      <c r="GBQ107" s="36"/>
      <c r="GBR107" s="38"/>
      <c r="GBS107" s="38"/>
      <c r="GBY107" s="36"/>
      <c r="GBZ107" s="38"/>
      <c r="GCA107" s="38"/>
      <c r="GCG107" s="36"/>
      <c r="GCH107" s="38"/>
      <c r="GCI107" s="38"/>
      <c r="GCO107" s="36"/>
      <c r="GCP107" s="38"/>
      <c r="GCQ107" s="38"/>
      <c r="GCW107" s="36"/>
      <c r="GCX107" s="38"/>
      <c r="GCY107" s="38"/>
      <c r="GDE107" s="36"/>
      <c r="GDF107" s="38"/>
      <c r="GDG107" s="38"/>
      <c r="GDM107" s="36"/>
      <c r="GDN107" s="38"/>
      <c r="GDO107" s="38"/>
      <c r="GDU107" s="36"/>
      <c r="GDV107" s="38"/>
      <c r="GDW107" s="38"/>
      <c r="GEC107" s="36"/>
      <c r="GED107" s="38"/>
      <c r="GEE107" s="38"/>
      <c r="GEK107" s="36"/>
      <c r="GEL107" s="38"/>
      <c r="GEM107" s="38"/>
      <c r="GES107" s="36"/>
      <c r="GET107" s="38"/>
      <c r="GEU107" s="38"/>
      <c r="GFA107" s="36"/>
      <c r="GFB107" s="38"/>
      <c r="GFC107" s="38"/>
      <c r="GFI107" s="36"/>
      <c r="GFJ107" s="38"/>
      <c r="GFK107" s="38"/>
      <c r="GFQ107" s="36"/>
      <c r="GFR107" s="38"/>
      <c r="GFS107" s="38"/>
      <c r="GFY107" s="36"/>
      <c r="GFZ107" s="38"/>
      <c r="GGA107" s="38"/>
      <c r="GGG107" s="36"/>
      <c r="GGH107" s="38"/>
      <c r="GGI107" s="38"/>
      <c r="GGO107" s="36"/>
      <c r="GGP107" s="38"/>
      <c r="GGQ107" s="38"/>
      <c r="GGW107" s="36"/>
      <c r="GGX107" s="38"/>
      <c r="GGY107" s="38"/>
      <c r="GHE107" s="36"/>
      <c r="GHF107" s="38"/>
      <c r="GHG107" s="38"/>
      <c r="GHM107" s="36"/>
      <c r="GHN107" s="38"/>
      <c r="GHO107" s="38"/>
      <c r="GHU107" s="36"/>
      <c r="GHV107" s="38"/>
      <c r="GHW107" s="38"/>
      <c r="GIC107" s="36"/>
      <c r="GID107" s="38"/>
      <c r="GIE107" s="38"/>
      <c r="GIK107" s="36"/>
      <c r="GIL107" s="38"/>
      <c r="GIM107" s="38"/>
      <c r="GIS107" s="36"/>
      <c r="GIT107" s="38"/>
      <c r="GIU107" s="38"/>
      <c r="GJA107" s="36"/>
      <c r="GJB107" s="38"/>
      <c r="GJC107" s="38"/>
      <c r="GJI107" s="36"/>
      <c r="GJJ107" s="38"/>
      <c r="GJK107" s="38"/>
      <c r="GJQ107" s="36"/>
      <c r="GJR107" s="38"/>
      <c r="GJS107" s="38"/>
      <c r="GJY107" s="36"/>
      <c r="GJZ107" s="38"/>
      <c r="GKA107" s="38"/>
      <c r="GKG107" s="36"/>
      <c r="GKH107" s="38"/>
      <c r="GKI107" s="38"/>
      <c r="GKO107" s="36"/>
      <c r="GKP107" s="38"/>
      <c r="GKQ107" s="38"/>
      <c r="GKW107" s="36"/>
      <c r="GKX107" s="38"/>
      <c r="GKY107" s="38"/>
      <c r="GLE107" s="36"/>
      <c r="GLF107" s="38"/>
      <c r="GLG107" s="38"/>
      <c r="GLM107" s="36"/>
      <c r="GLN107" s="38"/>
      <c r="GLO107" s="38"/>
      <c r="GLU107" s="36"/>
      <c r="GLV107" s="38"/>
      <c r="GLW107" s="38"/>
      <c r="GMC107" s="36"/>
      <c r="GMD107" s="38"/>
      <c r="GME107" s="38"/>
      <c r="GMK107" s="36"/>
      <c r="GML107" s="38"/>
      <c r="GMM107" s="38"/>
      <c r="GMS107" s="36"/>
      <c r="GMT107" s="38"/>
      <c r="GMU107" s="38"/>
      <c r="GNA107" s="36"/>
      <c r="GNB107" s="38"/>
      <c r="GNC107" s="38"/>
      <c r="GNI107" s="36"/>
      <c r="GNJ107" s="38"/>
      <c r="GNK107" s="38"/>
      <c r="GNQ107" s="36"/>
      <c r="GNR107" s="38"/>
      <c r="GNS107" s="38"/>
      <c r="GNY107" s="36"/>
      <c r="GNZ107" s="38"/>
      <c r="GOA107" s="38"/>
      <c r="GOG107" s="36"/>
      <c r="GOH107" s="38"/>
      <c r="GOI107" s="38"/>
      <c r="GOO107" s="36"/>
      <c r="GOP107" s="38"/>
      <c r="GOQ107" s="38"/>
      <c r="GOW107" s="36"/>
      <c r="GOX107" s="38"/>
      <c r="GOY107" s="38"/>
      <c r="GPE107" s="36"/>
      <c r="GPF107" s="38"/>
      <c r="GPG107" s="38"/>
      <c r="GPM107" s="36"/>
      <c r="GPN107" s="38"/>
      <c r="GPO107" s="38"/>
      <c r="GPU107" s="36"/>
      <c r="GPV107" s="38"/>
      <c r="GPW107" s="38"/>
      <c r="GQC107" s="36"/>
      <c r="GQD107" s="38"/>
      <c r="GQE107" s="38"/>
      <c r="GQK107" s="36"/>
      <c r="GQL107" s="38"/>
      <c r="GQM107" s="38"/>
      <c r="GQS107" s="36"/>
      <c r="GQT107" s="38"/>
      <c r="GQU107" s="38"/>
      <c r="GRA107" s="36"/>
      <c r="GRB107" s="38"/>
      <c r="GRC107" s="38"/>
      <c r="GRI107" s="36"/>
      <c r="GRJ107" s="38"/>
      <c r="GRK107" s="38"/>
      <c r="GRQ107" s="36"/>
      <c r="GRR107" s="38"/>
      <c r="GRS107" s="38"/>
      <c r="GRY107" s="36"/>
      <c r="GRZ107" s="38"/>
      <c r="GSA107" s="38"/>
      <c r="GSG107" s="36"/>
      <c r="GSH107" s="38"/>
      <c r="GSI107" s="38"/>
      <c r="GSO107" s="36"/>
      <c r="GSP107" s="38"/>
      <c r="GSQ107" s="38"/>
      <c r="GSW107" s="36"/>
      <c r="GSX107" s="38"/>
      <c r="GSY107" s="38"/>
      <c r="GTE107" s="36"/>
      <c r="GTF107" s="38"/>
      <c r="GTG107" s="38"/>
      <c r="GTM107" s="36"/>
      <c r="GTN107" s="38"/>
      <c r="GTO107" s="38"/>
      <c r="GTU107" s="36"/>
      <c r="GTV107" s="38"/>
      <c r="GTW107" s="38"/>
      <c r="GUC107" s="36"/>
      <c r="GUD107" s="38"/>
      <c r="GUE107" s="38"/>
      <c r="GUK107" s="36"/>
      <c r="GUL107" s="38"/>
      <c r="GUM107" s="38"/>
      <c r="GUS107" s="36"/>
      <c r="GUT107" s="38"/>
      <c r="GUU107" s="38"/>
      <c r="GVA107" s="36"/>
      <c r="GVB107" s="38"/>
      <c r="GVC107" s="38"/>
      <c r="GVI107" s="36"/>
      <c r="GVJ107" s="38"/>
      <c r="GVK107" s="38"/>
      <c r="GVQ107" s="36"/>
      <c r="GVR107" s="38"/>
      <c r="GVS107" s="38"/>
      <c r="GVY107" s="36"/>
      <c r="GVZ107" s="38"/>
      <c r="GWA107" s="38"/>
      <c r="GWG107" s="36"/>
      <c r="GWH107" s="38"/>
      <c r="GWI107" s="38"/>
      <c r="GWO107" s="36"/>
      <c r="GWP107" s="38"/>
      <c r="GWQ107" s="38"/>
      <c r="GWW107" s="36"/>
      <c r="GWX107" s="38"/>
      <c r="GWY107" s="38"/>
      <c r="GXE107" s="36"/>
      <c r="GXF107" s="38"/>
      <c r="GXG107" s="38"/>
      <c r="GXM107" s="36"/>
      <c r="GXN107" s="38"/>
      <c r="GXO107" s="38"/>
      <c r="GXU107" s="36"/>
      <c r="GXV107" s="38"/>
      <c r="GXW107" s="38"/>
      <c r="GYC107" s="36"/>
      <c r="GYD107" s="38"/>
      <c r="GYE107" s="38"/>
      <c r="GYK107" s="36"/>
      <c r="GYL107" s="38"/>
      <c r="GYM107" s="38"/>
      <c r="GYS107" s="36"/>
      <c r="GYT107" s="38"/>
      <c r="GYU107" s="38"/>
      <c r="GZA107" s="36"/>
      <c r="GZB107" s="38"/>
      <c r="GZC107" s="38"/>
      <c r="GZI107" s="36"/>
      <c r="GZJ107" s="38"/>
      <c r="GZK107" s="38"/>
      <c r="GZQ107" s="36"/>
      <c r="GZR107" s="38"/>
      <c r="GZS107" s="38"/>
      <c r="GZY107" s="36"/>
      <c r="GZZ107" s="38"/>
      <c r="HAA107" s="38"/>
      <c r="HAG107" s="36"/>
      <c r="HAH107" s="38"/>
      <c r="HAI107" s="38"/>
      <c r="HAO107" s="36"/>
      <c r="HAP107" s="38"/>
      <c r="HAQ107" s="38"/>
      <c r="HAW107" s="36"/>
      <c r="HAX107" s="38"/>
      <c r="HAY107" s="38"/>
      <c r="HBE107" s="36"/>
      <c r="HBF107" s="38"/>
      <c r="HBG107" s="38"/>
      <c r="HBM107" s="36"/>
      <c r="HBN107" s="38"/>
      <c r="HBO107" s="38"/>
      <c r="HBU107" s="36"/>
      <c r="HBV107" s="38"/>
      <c r="HBW107" s="38"/>
      <c r="HCC107" s="36"/>
      <c r="HCD107" s="38"/>
      <c r="HCE107" s="38"/>
      <c r="HCK107" s="36"/>
      <c r="HCL107" s="38"/>
      <c r="HCM107" s="38"/>
      <c r="HCS107" s="36"/>
      <c r="HCT107" s="38"/>
      <c r="HCU107" s="38"/>
      <c r="HDA107" s="36"/>
      <c r="HDB107" s="38"/>
      <c r="HDC107" s="38"/>
      <c r="HDI107" s="36"/>
      <c r="HDJ107" s="38"/>
      <c r="HDK107" s="38"/>
      <c r="HDQ107" s="36"/>
      <c r="HDR107" s="38"/>
      <c r="HDS107" s="38"/>
      <c r="HDY107" s="36"/>
      <c r="HDZ107" s="38"/>
      <c r="HEA107" s="38"/>
      <c r="HEG107" s="36"/>
      <c r="HEH107" s="38"/>
      <c r="HEI107" s="38"/>
      <c r="HEO107" s="36"/>
      <c r="HEP107" s="38"/>
      <c r="HEQ107" s="38"/>
      <c r="HEW107" s="36"/>
      <c r="HEX107" s="38"/>
      <c r="HEY107" s="38"/>
      <c r="HFE107" s="36"/>
      <c r="HFF107" s="38"/>
      <c r="HFG107" s="38"/>
      <c r="HFM107" s="36"/>
      <c r="HFN107" s="38"/>
      <c r="HFO107" s="38"/>
      <c r="HFU107" s="36"/>
      <c r="HFV107" s="38"/>
      <c r="HFW107" s="38"/>
      <c r="HGC107" s="36"/>
      <c r="HGD107" s="38"/>
      <c r="HGE107" s="38"/>
      <c r="HGK107" s="36"/>
      <c r="HGL107" s="38"/>
      <c r="HGM107" s="38"/>
      <c r="HGS107" s="36"/>
      <c r="HGT107" s="38"/>
      <c r="HGU107" s="38"/>
      <c r="HHA107" s="36"/>
      <c r="HHB107" s="38"/>
      <c r="HHC107" s="38"/>
      <c r="HHI107" s="36"/>
      <c r="HHJ107" s="38"/>
      <c r="HHK107" s="38"/>
      <c r="HHQ107" s="36"/>
      <c r="HHR107" s="38"/>
      <c r="HHS107" s="38"/>
      <c r="HHY107" s="36"/>
      <c r="HHZ107" s="38"/>
      <c r="HIA107" s="38"/>
      <c r="HIG107" s="36"/>
      <c r="HIH107" s="38"/>
      <c r="HII107" s="38"/>
      <c r="HIO107" s="36"/>
      <c r="HIP107" s="38"/>
      <c r="HIQ107" s="38"/>
      <c r="HIW107" s="36"/>
      <c r="HIX107" s="38"/>
      <c r="HIY107" s="38"/>
      <c r="HJE107" s="36"/>
      <c r="HJF107" s="38"/>
      <c r="HJG107" s="38"/>
      <c r="HJM107" s="36"/>
      <c r="HJN107" s="38"/>
      <c r="HJO107" s="38"/>
      <c r="HJU107" s="36"/>
      <c r="HJV107" s="38"/>
      <c r="HJW107" s="38"/>
      <c r="HKC107" s="36"/>
      <c r="HKD107" s="38"/>
      <c r="HKE107" s="38"/>
      <c r="HKK107" s="36"/>
      <c r="HKL107" s="38"/>
      <c r="HKM107" s="38"/>
      <c r="HKS107" s="36"/>
      <c r="HKT107" s="38"/>
      <c r="HKU107" s="38"/>
      <c r="HLA107" s="36"/>
      <c r="HLB107" s="38"/>
      <c r="HLC107" s="38"/>
      <c r="HLI107" s="36"/>
      <c r="HLJ107" s="38"/>
      <c r="HLK107" s="38"/>
      <c r="HLQ107" s="36"/>
      <c r="HLR107" s="38"/>
      <c r="HLS107" s="38"/>
      <c r="HLY107" s="36"/>
      <c r="HLZ107" s="38"/>
      <c r="HMA107" s="38"/>
      <c r="HMG107" s="36"/>
      <c r="HMH107" s="38"/>
      <c r="HMI107" s="38"/>
      <c r="HMO107" s="36"/>
      <c r="HMP107" s="38"/>
      <c r="HMQ107" s="38"/>
      <c r="HMW107" s="36"/>
      <c r="HMX107" s="38"/>
      <c r="HMY107" s="38"/>
      <c r="HNE107" s="36"/>
      <c r="HNF107" s="38"/>
      <c r="HNG107" s="38"/>
      <c r="HNM107" s="36"/>
      <c r="HNN107" s="38"/>
      <c r="HNO107" s="38"/>
      <c r="HNU107" s="36"/>
      <c r="HNV107" s="38"/>
      <c r="HNW107" s="38"/>
      <c r="HOC107" s="36"/>
      <c r="HOD107" s="38"/>
      <c r="HOE107" s="38"/>
      <c r="HOK107" s="36"/>
      <c r="HOL107" s="38"/>
      <c r="HOM107" s="38"/>
      <c r="HOS107" s="36"/>
      <c r="HOT107" s="38"/>
      <c r="HOU107" s="38"/>
      <c r="HPA107" s="36"/>
      <c r="HPB107" s="38"/>
      <c r="HPC107" s="38"/>
      <c r="HPI107" s="36"/>
      <c r="HPJ107" s="38"/>
      <c r="HPK107" s="38"/>
      <c r="HPQ107" s="36"/>
      <c r="HPR107" s="38"/>
      <c r="HPS107" s="38"/>
      <c r="HPY107" s="36"/>
      <c r="HPZ107" s="38"/>
      <c r="HQA107" s="38"/>
      <c r="HQG107" s="36"/>
      <c r="HQH107" s="38"/>
      <c r="HQI107" s="38"/>
      <c r="HQO107" s="36"/>
      <c r="HQP107" s="38"/>
      <c r="HQQ107" s="38"/>
      <c r="HQW107" s="36"/>
      <c r="HQX107" s="38"/>
      <c r="HQY107" s="38"/>
      <c r="HRE107" s="36"/>
      <c r="HRF107" s="38"/>
      <c r="HRG107" s="38"/>
      <c r="HRM107" s="36"/>
      <c r="HRN107" s="38"/>
      <c r="HRO107" s="38"/>
      <c r="HRU107" s="36"/>
      <c r="HRV107" s="38"/>
      <c r="HRW107" s="38"/>
      <c r="HSC107" s="36"/>
      <c r="HSD107" s="38"/>
      <c r="HSE107" s="38"/>
      <c r="HSK107" s="36"/>
      <c r="HSL107" s="38"/>
      <c r="HSM107" s="38"/>
      <c r="HSS107" s="36"/>
      <c r="HST107" s="38"/>
      <c r="HSU107" s="38"/>
      <c r="HTA107" s="36"/>
      <c r="HTB107" s="38"/>
      <c r="HTC107" s="38"/>
      <c r="HTI107" s="36"/>
      <c r="HTJ107" s="38"/>
      <c r="HTK107" s="38"/>
      <c r="HTQ107" s="36"/>
      <c r="HTR107" s="38"/>
      <c r="HTS107" s="38"/>
      <c r="HTY107" s="36"/>
      <c r="HTZ107" s="38"/>
      <c r="HUA107" s="38"/>
      <c r="HUG107" s="36"/>
      <c r="HUH107" s="38"/>
      <c r="HUI107" s="38"/>
      <c r="HUO107" s="36"/>
      <c r="HUP107" s="38"/>
      <c r="HUQ107" s="38"/>
      <c r="HUW107" s="36"/>
      <c r="HUX107" s="38"/>
      <c r="HUY107" s="38"/>
      <c r="HVE107" s="36"/>
      <c r="HVF107" s="38"/>
      <c r="HVG107" s="38"/>
      <c r="HVM107" s="36"/>
      <c r="HVN107" s="38"/>
      <c r="HVO107" s="38"/>
      <c r="HVU107" s="36"/>
      <c r="HVV107" s="38"/>
      <c r="HVW107" s="38"/>
      <c r="HWC107" s="36"/>
      <c r="HWD107" s="38"/>
      <c r="HWE107" s="38"/>
      <c r="HWK107" s="36"/>
      <c r="HWL107" s="38"/>
      <c r="HWM107" s="38"/>
      <c r="HWS107" s="36"/>
      <c r="HWT107" s="38"/>
      <c r="HWU107" s="38"/>
      <c r="HXA107" s="36"/>
      <c r="HXB107" s="38"/>
      <c r="HXC107" s="38"/>
      <c r="HXI107" s="36"/>
      <c r="HXJ107" s="38"/>
      <c r="HXK107" s="38"/>
      <c r="HXQ107" s="36"/>
      <c r="HXR107" s="38"/>
      <c r="HXS107" s="38"/>
      <c r="HXY107" s="36"/>
      <c r="HXZ107" s="38"/>
      <c r="HYA107" s="38"/>
      <c r="HYG107" s="36"/>
      <c r="HYH107" s="38"/>
      <c r="HYI107" s="38"/>
      <c r="HYO107" s="36"/>
      <c r="HYP107" s="38"/>
      <c r="HYQ107" s="38"/>
      <c r="HYW107" s="36"/>
      <c r="HYX107" s="38"/>
      <c r="HYY107" s="38"/>
      <c r="HZE107" s="36"/>
      <c r="HZF107" s="38"/>
      <c r="HZG107" s="38"/>
      <c r="HZM107" s="36"/>
      <c r="HZN107" s="38"/>
      <c r="HZO107" s="38"/>
      <c r="HZU107" s="36"/>
      <c r="HZV107" s="38"/>
      <c r="HZW107" s="38"/>
      <c r="IAC107" s="36"/>
      <c r="IAD107" s="38"/>
      <c r="IAE107" s="38"/>
      <c r="IAK107" s="36"/>
      <c r="IAL107" s="38"/>
      <c r="IAM107" s="38"/>
      <c r="IAS107" s="36"/>
      <c r="IAT107" s="38"/>
      <c r="IAU107" s="38"/>
      <c r="IBA107" s="36"/>
      <c r="IBB107" s="38"/>
      <c r="IBC107" s="38"/>
      <c r="IBI107" s="36"/>
      <c r="IBJ107" s="38"/>
      <c r="IBK107" s="38"/>
      <c r="IBQ107" s="36"/>
      <c r="IBR107" s="38"/>
      <c r="IBS107" s="38"/>
      <c r="IBY107" s="36"/>
      <c r="IBZ107" s="38"/>
      <c r="ICA107" s="38"/>
      <c r="ICG107" s="36"/>
      <c r="ICH107" s="38"/>
      <c r="ICI107" s="38"/>
      <c r="ICO107" s="36"/>
      <c r="ICP107" s="38"/>
      <c r="ICQ107" s="38"/>
      <c r="ICW107" s="36"/>
      <c r="ICX107" s="38"/>
      <c r="ICY107" s="38"/>
      <c r="IDE107" s="36"/>
      <c r="IDF107" s="38"/>
      <c r="IDG107" s="38"/>
      <c r="IDM107" s="36"/>
      <c r="IDN107" s="38"/>
      <c r="IDO107" s="38"/>
      <c r="IDU107" s="36"/>
      <c r="IDV107" s="38"/>
      <c r="IDW107" s="38"/>
      <c r="IEC107" s="36"/>
      <c r="IED107" s="38"/>
      <c r="IEE107" s="38"/>
      <c r="IEK107" s="36"/>
      <c r="IEL107" s="38"/>
      <c r="IEM107" s="38"/>
      <c r="IES107" s="36"/>
      <c r="IET107" s="38"/>
      <c r="IEU107" s="38"/>
      <c r="IFA107" s="36"/>
      <c r="IFB107" s="38"/>
      <c r="IFC107" s="38"/>
      <c r="IFI107" s="36"/>
      <c r="IFJ107" s="38"/>
      <c r="IFK107" s="38"/>
      <c r="IFQ107" s="36"/>
      <c r="IFR107" s="38"/>
      <c r="IFS107" s="38"/>
      <c r="IFY107" s="36"/>
      <c r="IFZ107" s="38"/>
      <c r="IGA107" s="38"/>
      <c r="IGG107" s="36"/>
      <c r="IGH107" s="38"/>
      <c r="IGI107" s="38"/>
      <c r="IGO107" s="36"/>
      <c r="IGP107" s="38"/>
      <c r="IGQ107" s="38"/>
      <c r="IGW107" s="36"/>
      <c r="IGX107" s="38"/>
      <c r="IGY107" s="38"/>
      <c r="IHE107" s="36"/>
      <c r="IHF107" s="38"/>
      <c r="IHG107" s="38"/>
      <c r="IHM107" s="36"/>
      <c r="IHN107" s="38"/>
      <c r="IHO107" s="38"/>
      <c r="IHU107" s="36"/>
      <c r="IHV107" s="38"/>
      <c r="IHW107" s="38"/>
      <c r="IIC107" s="36"/>
      <c r="IID107" s="38"/>
      <c r="IIE107" s="38"/>
      <c r="IIK107" s="36"/>
      <c r="IIL107" s="38"/>
      <c r="IIM107" s="38"/>
      <c r="IIS107" s="36"/>
      <c r="IIT107" s="38"/>
      <c r="IIU107" s="38"/>
      <c r="IJA107" s="36"/>
      <c r="IJB107" s="38"/>
      <c r="IJC107" s="38"/>
      <c r="IJI107" s="36"/>
      <c r="IJJ107" s="38"/>
      <c r="IJK107" s="38"/>
      <c r="IJQ107" s="36"/>
      <c r="IJR107" s="38"/>
      <c r="IJS107" s="38"/>
      <c r="IJY107" s="36"/>
      <c r="IJZ107" s="38"/>
      <c r="IKA107" s="38"/>
      <c r="IKG107" s="36"/>
      <c r="IKH107" s="38"/>
      <c r="IKI107" s="38"/>
      <c r="IKO107" s="36"/>
      <c r="IKP107" s="38"/>
      <c r="IKQ107" s="38"/>
      <c r="IKW107" s="36"/>
      <c r="IKX107" s="38"/>
      <c r="IKY107" s="38"/>
      <c r="ILE107" s="36"/>
      <c r="ILF107" s="38"/>
      <c r="ILG107" s="38"/>
      <c r="ILM107" s="36"/>
      <c r="ILN107" s="38"/>
      <c r="ILO107" s="38"/>
      <c r="ILU107" s="36"/>
      <c r="ILV107" s="38"/>
      <c r="ILW107" s="38"/>
      <c r="IMC107" s="36"/>
      <c r="IMD107" s="38"/>
      <c r="IME107" s="38"/>
      <c r="IMK107" s="36"/>
      <c r="IML107" s="38"/>
      <c r="IMM107" s="38"/>
      <c r="IMS107" s="36"/>
      <c r="IMT107" s="38"/>
      <c r="IMU107" s="38"/>
      <c r="INA107" s="36"/>
      <c r="INB107" s="38"/>
      <c r="INC107" s="38"/>
      <c r="INI107" s="36"/>
      <c r="INJ107" s="38"/>
      <c r="INK107" s="38"/>
      <c r="INQ107" s="36"/>
      <c r="INR107" s="38"/>
      <c r="INS107" s="38"/>
      <c r="INY107" s="36"/>
      <c r="INZ107" s="38"/>
      <c r="IOA107" s="38"/>
      <c r="IOG107" s="36"/>
      <c r="IOH107" s="38"/>
      <c r="IOI107" s="38"/>
      <c r="IOO107" s="36"/>
      <c r="IOP107" s="38"/>
      <c r="IOQ107" s="38"/>
      <c r="IOW107" s="36"/>
      <c r="IOX107" s="38"/>
      <c r="IOY107" s="38"/>
      <c r="IPE107" s="36"/>
      <c r="IPF107" s="38"/>
      <c r="IPG107" s="38"/>
      <c r="IPM107" s="36"/>
      <c r="IPN107" s="38"/>
      <c r="IPO107" s="38"/>
      <c r="IPU107" s="36"/>
      <c r="IPV107" s="38"/>
      <c r="IPW107" s="38"/>
      <c r="IQC107" s="36"/>
      <c r="IQD107" s="38"/>
      <c r="IQE107" s="38"/>
      <c r="IQK107" s="36"/>
      <c r="IQL107" s="38"/>
      <c r="IQM107" s="38"/>
      <c r="IQS107" s="36"/>
      <c r="IQT107" s="38"/>
      <c r="IQU107" s="38"/>
      <c r="IRA107" s="36"/>
      <c r="IRB107" s="38"/>
      <c r="IRC107" s="38"/>
      <c r="IRI107" s="36"/>
      <c r="IRJ107" s="38"/>
      <c r="IRK107" s="38"/>
      <c r="IRQ107" s="36"/>
      <c r="IRR107" s="38"/>
      <c r="IRS107" s="38"/>
      <c r="IRY107" s="36"/>
      <c r="IRZ107" s="38"/>
      <c r="ISA107" s="38"/>
      <c r="ISG107" s="36"/>
      <c r="ISH107" s="38"/>
      <c r="ISI107" s="38"/>
      <c r="ISO107" s="36"/>
      <c r="ISP107" s="38"/>
      <c r="ISQ107" s="38"/>
      <c r="ISW107" s="36"/>
      <c r="ISX107" s="38"/>
      <c r="ISY107" s="38"/>
      <c r="ITE107" s="36"/>
      <c r="ITF107" s="38"/>
      <c r="ITG107" s="38"/>
      <c r="ITM107" s="36"/>
      <c r="ITN107" s="38"/>
      <c r="ITO107" s="38"/>
      <c r="ITU107" s="36"/>
      <c r="ITV107" s="38"/>
      <c r="ITW107" s="38"/>
      <c r="IUC107" s="36"/>
      <c r="IUD107" s="38"/>
      <c r="IUE107" s="38"/>
      <c r="IUK107" s="36"/>
      <c r="IUL107" s="38"/>
      <c r="IUM107" s="38"/>
      <c r="IUS107" s="36"/>
      <c r="IUT107" s="38"/>
      <c r="IUU107" s="38"/>
      <c r="IVA107" s="36"/>
      <c r="IVB107" s="38"/>
      <c r="IVC107" s="38"/>
      <c r="IVI107" s="36"/>
      <c r="IVJ107" s="38"/>
      <c r="IVK107" s="38"/>
      <c r="IVQ107" s="36"/>
      <c r="IVR107" s="38"/>
      <c r="IVS107" s="38"/>
      <c r="IVY107" s="36"/>
      <c r="IVZ107" s="38"/>
      <c r="IWA107" s="38"/>
      <c r="IWG107" s="36"/>
      <c r="IWH107" s="38"/>
      <c r="IWI107" s="38"/>
      <c r="IWO107" s="36"/>
      <c r="IWP107" s="38"/>
      <c r="IWQ107" s="38"/>
      <c r="IWW107" s="36"/>
      <c r="IWX107" s="38"/>
      <c r="IWY107" s="38"/>
      <c r="IXE107" s="36"/>
      <c r="IXF107" s="38"/>
      <c r="IXG107" s="38"/>
      <c r="IXM107" s="36"/>
      <c r="IXN107" s="38"/>
      <c r="IXO107" s="38"/>
      <c r="IXU107" s="36"/>
      <c r="IXV107" s="38"/>
      <c r="IXW107" s="38"/>
      <c r="IYC107" s="36"/>
      <c r="IYD107" s="38"/>
      <c r="IYE107" s="38"/>
      <c r="IYK107" s="36"/>
      <c r="IYL107" s="38"/>
      <c r="IYM107" s="38"/>
      <c r="IYS107" s="36"/>
      <c r="IYT107" s="38"/>
      <c r="IYU107" s="38"/>
      <c r="IZA107" s="36"/>
      <c r="IZB107" s="38"/>
      <c r="IZC107" s="38"/>
      <c r="IZI107" s="36"/>
      <c r="IZJ107" s="38"/>
      <c r="IZK107" s="38"/>
      <c r="IZQ107" s="36"/>
      <c r="IZR107" s="38"/>
      <c r="IZS107" s="38"/>
      <c r="IZY107" s="36"/>
      <c r="IZZ107" s="38"/>
      <c r="JAA107" s="38"/>
      <c r="JAG107" s="36"/>
      <c r="JAH107" s="38"/>
      <c r="JAI107" s="38"/>
      <c r="JAO107" s="36"/>
      <c r="JAP107" s="38"/>
      <c r="JAQ107" s="38"/>
      <c r="JAW107" s="36"/>
      <c r="JAX107" s="38"/>
      <c r="JAY107" s="38"/>
      <c r="JBE107" s="36"/>
      <c r="JBF107" s="38"/>
      <c r="JBG107" s="38"/>
      <c r="JBM107" s="36"/>
      <c r="JBN107" s="38"/>
      <c r="JBO107" s="38"/>
      <c r="JBU107" s="36"/>
      <c r="JBV107" s="38"/>
      <c r="JBW107" s="38"/>
      <c r="JCC107" s="36"/>
      <c r="JCD107" s="38"/>
      <c r="JCE107" s="38"/>
      <c r="JCK107" s="36"/>
      <c r="JCL107" s="38"/>
      <c r="JCM107" s="38"/>
      <c r="JCS107" s="36"/>
      <c r="JCT107" s="38"/>
      <c r="JCU107" s="38"/>
      <c r="JDA107" s="36"/>
      <c r="JDB107" s="38"/>
      <c r="JDC107" s="38"/>
      <c r="JDI107" s="36"/>
      <c r="JDJ107" s="38"/>
      <c r="JDK107" s="38"/>
      <c r="JDQ107" s="36"/>
      <c r="JDR107" s="38"/>
      <c r="JDS107" s="38"/>
      <c r="JDY107" s="36"/>
      <c r="JDZ107" s="38"/>
      <c r="JEA107" s="38"/>
      <c r="JEG107" s="36"/>
      <c r="JEH107" s="38"/>
      <c r="JEI107" s="38"/>
      <c r="JEO107" s="36"/>
      <c r="JEP107" s="38"/>
      <c r="JEQ107" s="38"/>
      <c r="JEW107" s="36"/>
      <c r="JEX107" s="38"/>
      <c r="JEY107" s="38"/>
      <c r="JFE107" s="36"/>
      <c r="JFF107" s="38"/>
      <c r="JFG107" s="38"/>
      <c r="JFM107" s="36"/>
      <c r="JFN107" s="38"/>
      <c r="JFO107" s="38"/>
      <c r="JFU107" s="36"/>
      <c r="JFV107" s="38"/>
      <c r="JFW107" s="38"/>
      <c r="JGC107" s="36"/>
      <c r="JGD107" s="38"/>
      <c r="JGE107" s="38"/>
      <c r="JGK107" s="36"/>
      <c r="JGL107" s="38"/>
      <c r="JGM107" s="38"/>
      <c r="JGS107" s="36"/>
      <c r="JGT107" s="38"/>
      <c r="JGU107" s="38"/>
      <c r="JHA107" s="36"/>
      <c r="JHB107" s="38"/>
      <c r="JHC107" s="38"/>
      <c r="JHI107" s="36"/>
      <c r="JHJ107" s="38"/>
      <c r="JHK107" s="38"/>
      <c r="JHQ107" s="36"/>
      <c r="JHR107" s="38"/>
      <c r="JHS107" s="38"/>
      <c r="JHY107" s="36"/>
      <c r="JHZ107" s="38"/>
      <c r="JIA107" s="38"/>
      <c r="JIG107" s="36"/>
      <c r="JIH107" s="38"/>
      <c r="JII107" s="38"/>
      <c r="JIO107" s="36"/>
      <c r="JIP107" s="38"/>
      <c r="JIQ107" s="38"/>
      <c r="JIW107" s="36"/>
      <c r="JIX107" s="38"/>
      <c r="JIY107" s="38"/>
      <c r="JJE107" s="36"/>
      <c r="JJF107" s="38"/>
      <c r="JJG107" s="38"/>
      <c r="JJM107" s="36"/>
      <c r="JJN107" s="38"/>
      <c r="JJO107" s="38"/>
      <c r="JJU107" s="36"/>
      <c r="JJV107" s="38"/>
      <c r="JJW107" s="38"/>
      <c r="JKC107" s="36"/>
      <c r="JKD107" s="38"/>
      <c r="JKE107" s="38"/>
      <c r="JKK107" s="36"/>
      <c r="JKL107" s="38"/>
      <c r="JKM107" s="38"/>
      <c r="JKS107" s="36"/>
      <c r="JKT107" s="38"/>
      <c r="JKU107" s="38"/>
      <c r="JLA107" s="36"/>
      <c r="JLB107" s="38"/>
      <c r="JLC107" s="38"/>
      <c r="JLI107" s="36"/>
      <c r="JLJ107" s="38"/>
      <c r="JLK107" s="38"/>
      <c r="JLQ107" s="36"/>
      <c r="JLR107" s="38"/>
      <c r="JLS107" s="38"/>
      <c r="JLY107" s="36"/>
      <c r="JLZ107" s="38"/>
      <c r="JMA107" s="38"/>
      <c r="JMG107" s="36"/>
      <c r="JMH107" s="38"/>
      <c r="JMI107" s="38"/>
      <c r="JMO107" s="36"/>
      <c r="JMP107" s="38"/>
      <c r="JMQ107" s="38"/>
      <c r="JMW107" s="36"/>
      <c r="JMX107" s="38"/>
      <c r="JMY107" s="38"/>
      <c r="JNE107" s="36"/>
      <c r="JNF107" s="38"/>
      <c r="JNG107" s="38"/>
      <c r="JNM107" s="36"/>
      <c r="JNN107" s="38"/>
      <c r="JNO107" s="38"/>
      <c r="JNU107" s="36"/>
      <c r="JNV107" s="38"/>
      <c r="JNW107" s="38"/>
      <c r="JOC107" s="36"/>
      <c r="JOD107" s="38"/>
      <c r="JOE107" s="38"/>
      <c r="JOK107" s="36"/>
      <c r="JOL107" s="38"/>
      <c r="JOM107" s="38"/>
      <c r="JOS107" s="36"/>
      <c r="JOT107" s="38"/>
      <c r="JOU107" s="38"/>
      <c r="JPA107" s="36"/>
      <c r="JPB107" s="38"/>
      <c r="JPC107" s="38"/>
      <c r="JPI107" s="36"/>
      <c r="JPJ107" s="38"/>
      <c r="JPK107" s="38"/>
      <c r="JPQ107" s="36"/>
      <c r="JPR107" s="38"/>
      <c r="JPS107" s="38"/>
      <c r="JPY107" s="36"/>
      <c r="JPZ107" s="38"/>
      <c r="JQA107" s="38"/>
      <c r="JQG107" s="36"/>
      <c r="JQH107" s="38"/>
      <c r="JQI107" s="38"/>
      <c r="JQO107" s="36"/>
      <c r="JQP107" s="38"/>
      <c r="JQQ107" s="38"/>
      <c r="JQW107" s="36"/>
      <c r="JQX107" s="38"/>
      <c r="JQY107" s="38"/>
      <c r="JRE107" s="36"/>
      <c r="JRF107" s="38"/>
      <c r="JRG107" s="38"/>
      <c r="JRM107" s="36"/>
      <c r="JRN107" s="38"/>
      <c r="JRO107" s="38"/>
      <c r="JRU107" s="36"/>
      <c r="JRV107" s="38"/>
      <c r="JRW107" s="38"/>
      <c r="JSC107" s="36"/>
      <c r="JSD107" s="38"/>
      <c r="JSE107" s="38"/>
      <c r="JSK107" s="36"/>
      <c r="JSL107" s="38"/>
      <c r="JSM107" s="38"/>
      <c r="JSS107" s="36"/>
      <c r="JST107" s="38"/>
      <c r="JSU107" s="38"/>
      <c r="JTA107" s="36"/>
      <c r="JTB107" s="38"/>
      <c r="JTC107" s="38"/>
      <c r="JTI107" s="36"/>
      <c r="JTJ107" s="38"/>
      <c r="JTK107" s="38"/>
      <c r="JTQ107" s="36"/>
      <c r="JTR107" s="38"/>
      <c r="JTS107" s="38"/>
      <c r="JTY107" s="36"/>
      <c r="JTZ107" s="38"/>
      <c r="JUA107" s="38"/>
      <c r="JUG107" s="36"/>
      <c r="JUH107" s="38"/>
      <c r="JUI107" s="38"/>
      <c r="JUO107" s="36"/>
      <c r="JUP107" s="38"/>
      <c r="JUQ107" s="38"/>
      <c r="JUW107" s="36"/>
      <c r="JUX107" s="38"/>
      <c r="JUY107" s="38"/>
      <c r="JVE107" s="36"/>
      <c r="JVF107" s="38"/>
      <c r="JVG107" s="38"/>
      <c r="JVM107" s="36"/>
      <c r="JVN107" s="38"/>
      <c r="JVO107" s="38"/>
      <c r="JVU107" s="36"/>
      <c r="JVV107" s="38"/>
      <c r="JVW107" s="38"/>
      <c r="JWC107" s="36"/>
      <c r="JWD107" s="38"/>
      <c r="JWE107" s="38"/>
      <c r="JWK107" s="36"/>
      <c r="JWL107" s="38"/>
      <c r="JWM107" s="38"/>
      <c r="JWS107" s="36"/>
      <c r="JWT107" s="38"/>
      <c r="JWU107" s="38"/>
      <c r="JXA107" s="36"/>
      <c r="JXB107" s="38"/>
      <c r="JXC107" s="38"/>
      <c r="JXI107" s="36"/>
      <c r="JXJ107" s="38"/>
      <c r="JXK107" s="38"/>
      <c r="JXQ107" s="36"/>
      <c r="JXR107" s="38"/>
      <c r="JXS107" s="38"/>
      <c r="JXY107" s="36"/>
      <c r="JXZ107" s="38"/>
      <c r="JYA107" s="38"/>
      <c r="JYG107" s="36"/>
      <c r="JYH107" s="38"/>
      <c r="JYI107" s="38"/>
      <c r="JYO107" s="36"/>
      <c r="JYP107" s="38"/>
      <c r="JYQ107" s="38"/>
      <c r="JYW107" s="36"/>
      <c r="JYX107" s="38"/>
      <c r="JYY107" s="38"/>
      <c r="JZE107" s="36"/>
      <c r="JZF107" s="38"/>
      <c r="JZG107" s="38"/>
      <c r="JZM107" s="36"/>
      <c r="JZN107" s="38"/>
      <c r="JZO107" s="38"/>
      <c r="JZU107" s="36"/>
      <c r="JZV107" s="38"/>
      <c r="JZW107" s="38"/>
      <c r="KAC107" s="36"/>
      <c r="KAD107" s="38"/>
      <c r="KAE107" s="38"/>
      <c r="KAK107" s="36"/>
      <c r="KAL107" s="38"/>
      <c r="KAM107" s="38"/>
      <c r="KAS107" s="36"/>
      <c r="KAT107" s="38"/>
      <c r="KAU107" s="38"/>
      <c r="KBA107" s="36"/>
      <c r="KBB107" s="38"/>
      <c r="KBC107" s="38"/>
      <c r="KBI107" s="36"/>
      <c r="KBJ107" s="38"/>
      <c r="KBK107" s="38"/>
      <c r="KBQ107" s="36"/>
      <c r="KBR107" s="38"/>
      <c r="KBS107" s="38"/>
      <c r="KBY107" s="36"/>
      <c r="KBZ107" s="38"/>
      <c r="KCA107" s="38"/>
      <c r="KCG107" s="36"/>
      <c r="KCH107" s="38"/>
      <c r="KCI107" s="38"/>
      <c r="KCO107" s="36"/>
      <c r="KCP107" s="38"/>
      <c r="KCQ107" s="38"/>
      <c r="KCW107" s="36"/>
      <c r="KCX107" s="38"/>
      <c r="KCY107" s="38"/>
      <c r="KDE107" s="36"/>
      <c r="KDF107" s="38"/>
      <c r="KDG107" s="38"/>
      <c r="KDM107" s="36"/>
      <c r="KDN107" s="38"/>
      <c r="KDO107" s="38"/>
      <c r="KDU107" s="36"/>
      <c r="KDV107" s="38"/>
      <c r="KDW107" s="38"/>
      <c r="KEC107" s="36"/>
      <c r="KED107" s="38"/>
      <c r="KEE107" s="38"/>
      <c r="KEK107" s="36"/>
      <c r="KEL107" s="38"/>
      <c r="KEM107" s="38"/>
      <c r="KES107" s="36"/>
      <c r="KET107" s="38"/>
      <c r="KEU107" s="38"/>
      <c r="KFA107" s="36"/>
      <c r="KFB107" s="38"/>
      <c r="KFC107" s="38"/>
      <c r="KFI107" s="36"/>
      <c r="KFJ107" s="38"/>
      <c r="KFK107" s="38"/>
      <c r="KFQ107" s="36"/>
      <c r="KFR107" s="38"/>
      <c r="KFS107" s="38"/>
      <c r="KFY107" s="36"/>
      <c r="KFZ107" s="38"/>
      <c r="KGA107" s="38"/>
      <c r="KGG107" s="36"/>
      <c r="KGH107" s="38"/>
      <c r="KGI107" s="38"/>
      <c r="KGO107" s="36"/>
      <c r="KGP107" s="38"/>
      <c r="KGQ107" s="38"/>
      <c r="KGW107" s="36"/>
      <c r="KGX107" s="38"/>
      <c r="KGY107" s="38"/>
      <c r="KHE107" s="36"/>
      <c r="KHF107" s="38"/>
      <c r="KHG107" s="38"/>
      <c r="KHM107" s="36"/>
      <c r="KHN107" s="38"/>
      <c r="KHO107" s="38"/>
      <c r="KHU107" s="36"/>
      <c r="KHV107" s="38"/>
      <c r="KHW107" s="38"/>
      <c r="KIC107" s="36"/>
      <c r="KID107" s="38"/>
      <c r="KIE107" s="38"/>
      <c r="KIK107" s="36"/>
      <c r="KIL107" s="38"/>
      <c r="KIM107" s="38"/>
      <c r="KIS107" s="36"/>
      <c r="KIT107" s="38"/>
      <c r="KIU107" s="38"/>
      <c r="KJA107" s="36"/>
      <c r="KJB107" s="38"/>
      <c r="KJC107" s="38"/>
      <c r="KJI107" s="36"/>
      <c r="KJJ107" s="38"/>
      <c r="KJK107" s="38"/>
      <c r="KJQ107" s="36"/>
      <c r="KJR107" s="38"/>
      <c r="KJS107" s="38"/>
      <c r="KJY107" s="36"/>
      <c r="KJZ107" s="38"/>
      <c r="KKA107" s="38"/>
      <c r="KKG107" s="36"/>
      <c r="KKH107" s="38"/>
      <c r="KKI107" s="38"/>
      <c r="KKO107" s="36"/>
      <c r="KKP107" s="38"/>
      <c r="KKQ107" s="38"/>
      <c r="KKW107" s="36"/>
      <c r="KKX107" s="38"/>
      <c r="KKY107" s="38"/>
      <c r="KLE107" s="36"/>
      <c r="KLF107" s="38"/>
      <c r="KLG107" s="38"/>
      <c r="KLM107" s="36"/>
      <c r="KLN107" s="38"/>
      <c r="KLO107" s="38"/>
      <c r="KLU107" s="36"/>
      <c r="KLV107" s="38"/>
      <c r="KLW107" s="38"/>
      <c r="KMC107" s="36"/>
      <c r="KMD107" s="38"/>
      <c r="KME107" s="38"/>
      <c r="KMK107" s="36"/>
      <c r="KML107" s="38"/>
      <c r="KMM107" s="38"/>
      <c r="KMS107" s="36"/>
      <c r="KMT107" s="38"/>
      <c r="KMU107" s="38"/>
      <c r="KNA107" s="36"/>
      <c r="KNB107" s="38"/>
      <c r="KNC107" s="38"/>
      <c r="KNI107" s="36"/>
      <c r="KNJ107" s="38"/>
      <c r="KNK107" s="38"/>
      <c r="KNQ107" s="36"/>
      <c r="KNR107" s="38"/>
      <c r="KNS107" s="38"/>
      <c r="KNY107" s="36"/>
      <c r="KNZ107" s="38"/>
      <c r="KOA107" s="38"/>
      <c r="KOG107" s="36"/>
      <c r="KOH107" s="38"/>
      <c r="KOI107" s="38"/>
      <c r="KOO107" s="36"/>
      <c r="KOP107" s="38"/>
      <c r="KOQ107" s="38"/>
      <c r="KOW107" s="36"/>
      <c r="KOX107" s="38"/>
      <c r="KOY107" s="38"/>
      <c r="KPE107" s="36"/>
      <c r="KPF107" s="38"/>
      <c r="KPG107" s="38"/>
      <c r="KPM107" s="36"/>
      <c r="KPN107" s="38"/>
      <c r="KPO107" s="38"/>
      <c r="KPU107" s="36"/>
      <c r="KPV107" s="38"/>
      <c r="KPW107" s="38"/>
      <c r="KQC107" s="36"/>
      <c r="KQD107" s="38"/>
      <c r="KQE107" s="38"/>
      <c r="KQK107" s="36"/>
      <c r="KQL107" s="38"/>
      <c r="KQM107" s="38"/>
      <c r="KQS107" s="36"/>
      <c r="KQT107" s="38"/>
      <c r="KQU107" s="38"/>
      <c r="KRA107" s="36"/>
      <c r="KRB107" s="38"/>
      <c r="KRC107" s="38"/>
      <c r="KRI107" s="36"/>
      <c r="KRJ107" s="38"/>
      <c r="KRK107" s="38"/>
      <c r="KRQ107" s="36"/>
      <c r="KRR107" s="38"/>
      <c r="KRS107" s="38"/>
      <c r="KRY107" s="36"/>
      <c r="KRZ107" s="38"/>
      <c r="KSA107" s="38"/>
      <c r="KSG107" s="36"/>
      <c r="KSH107" s="38"/>
      <c r="KSI107" s="38"/>
      <c r="KSO107" s="36"/>
      <c r="KSP107" s="38"/>
      <c r="KSQ107" s="38"/>
      <c r="KSW107" s="36"/>
      <c r="KSX107" s="38"/>
      <c r="KSY107" s="38"/>
      <c r="KTE107" s="36"/>
      <c r="KTF107" s="38"/>
      <c r="KTG107" s="38"/>
      <c r="KTM107" s="36"/>
      <c r="KTN107" s="38"/>
      <c r="KTO107" s="38"/>
      <c r="KTU107" s="36"/>
      <c r="KTV107" s="38"/>
      <c r="KTW107" s="38"/>
      <c r="KUC107" s="36"/>
      <c r="KUD107" s="38"/>
      <c r="KUE107" s="38"/>
      <c r="KUK107" s="36"/>
      <c r="KUL107" s="38"/>
      <c r="KUM107" s="38"/>
      <c r="KUS107" s="36"/>
      <c r="KUT107" s="38"/>
      <c r="KUU107" s="38"/>
      <c r="KVA107" s="36"/>
      <c r="KVB107" s="38"/>
      <c r="KVC107" s="38"/>
      <c r="KVI107" s="36"/>
      <c r="KVJ107" s="38"/>
      <c r="KVK107" s="38"/>
      <c r="KVQ107" s="36"/>
      <c r="KVR107" s="38"/>
      <c r="KVS107" s="38"/>
      <c r="KVY107" s="36"/>
      <c r="KVZ107" s="38"/>
      <c r="KWA107" s="38"/>
      <c r="KWG107" s="36"/>
      <c r="KWH107" s="38"/>
      <c r="KWI107" s="38"/>
      <c r="KWO107" s="36"/>
      <c r="KWP107" s="38"/>
      <c r="KWQ107" s="38"/>
      <c r="KWW107" s="36"/>
      <c r="KWX107" s="38"/>
      <c r="KWY107" s="38"/>
      <c r="KXE107" s="36"/>
      <c r="KXF107" s="38"/>
      <c r="KXG107" s="38"/>
      <c r="KXM107" s="36"/>
      <c r="KXN107" s="38"/>
      <c r="KXO107" s="38"/>
      <c r="KXU107" s="36"/>
      <c r="KXV107" s="38"/>
      <c r="KXW107" s="38"/>
      <c r="KYC107" s="36"/>
      <c r="KYD107" s="38"/>
      <c r="KYE107" s="38"/>
      <c r="KYK107" s="36"/>
      <c r="KYL107" s="38"/>
      <c r="KYM107" s="38"/>
      <c r="KYS107" s="36"/>
      <c r="KYT107" s="38"/>
      <c r="KYU107" s="38"/>
      <c r="KZA107" s="36"/>
      <c r="KZB107" s="38"/>
      <c r="KZC107" s="38"/>
      <c r="KZI107" s="36"/>
      <c r="KZJ107" s="38"/>
      <c r="KZK107" s="38"/>
      <c r="KZQ107" s="36"/>
      <c r="KZR107" s="38"/>
      <c r="KZS107" s="38"/>
      <c r="KZY107" s="36"/>
      <c r="KZZ107" s="38"/>
      <c r="LAA107" s="38"/>
      <c r="LAG107" s="36"/>
      <c r="LAH107" s="38"/>
      <c r="LAI107" s="38"/>
      <c r="LAO107" s="36"/>
      <c r="LAP107" s="38"/>
      <c r="LAQ107" s="38"/>
      <c r="LAW107" s="36"/>
      <c r="LAX107" s="38"/>
      <c r="LAY107" s="38"/>
      <c r="LBE107" s="36"/>
      <c r="LBF107" s="38"/>
      <c r="LBG107" s="38"/>
      <c r="LBM107" s="36"/>
      <c r="LBN107" s="38"/>
      <c r="LBO107" s="38"/>
      <c r="LBU107" s="36"/>
      <c r="LBV107" s="38"/>
      <c r="LBW107" s="38"/>
      <c r="LCC107" s="36"/>
      <c r="LCD107" s="38"/>
      <c r="LCE107" s="38"/>
      <c r="LCK107" s="36"/>
      <c r="LCL107" s="38"/>
      <c r="LCM107" s="38"/>
      <c r="LCS107" s="36"/>
      <c r="LCT107" s="38"/>
      <c r="LCU107" s="38"/>
      <c r="LDA107" s="36"/>
      <c r="LDB107" s="38"/>
      <c r="LDC107" s="38"/>
      <c r="LDI107" s="36"/>
      <c r="LDJ107" s="38"/>
      <c r="LDK107" s="38"/>
      <c r="LDQ107" s="36"/>
      <c r="LDR107" s="38"/>
      <c r="LDS107" s="38"/>
      <c r="LDY107" s="36"/>
      <c r="LDZ107" s="38"/>
      <c r="LEA107" s="38"/>
      <c r="LEG107" s="36"/>
      <c r="LEH107" s="38"/>
      <c r="LEI107" s="38"/>
      <c r="LEO107" s="36"/>
      <c r="LEP107" s="38"/>
      <c r="LEQ107" s="38"/>
      <c r="LEW107" s="36"/>
      <c r="LEX107" s="38"/>
      <c r="LEY107" s="38"/>
      <c r="LFE107" s="36"/>
      <c r="LFF107" s="38"/>
      <c r="LFG107" s="38"/>
      <c r="LFM107" s="36"/>
      <c r="LFN107" s="38"/>
      <c r="LFO107" s="38"/>
      <c r="LFU107" s="36"/>
      <c r="LFV107" s="38"/>
      <c r="LFW107" s="38"/>
      <c r="LGC107" s="36"/>
      <c r="LGD107" s="38"/>
      <c r="LGE107" s="38"/>
      <c r="LGK107" s="36"/>
      <c r="LGL107" s="38"/>
      <c r="LGM107" s="38"/>
      <c r="LGS107" s="36"/>
      <c r="LGT107" s="38"/>
      <c r="LGU107" s="38"/>
      <c r="LHA107" s="36"/>
      <c r="LHB107" s="38"/>
      <c r="LHC107" s="38"/>
      <c r="LHI107" s="36"/>
      <c r="LHJ107" s="38"/>
      <c r="LHK107" s="38"/>
      <c r="LHQ107" s="36"/>
      <c r="LHR107" s="38"/>
      <c r="LHS107" s="38"/>
      <c r="LHY107" s="36"/>
      <c r="LHZ107" s="38"/>
      <c r="LIA107" s="38"/>
      <c r="LIG107" s="36"/>
      <c r="LIH107" s="38"/>
      <c r="LII107" s="38"/>
      <c r="LIO107" s="36"/>
      <c r="LIP107" s="38"/>
      <c r="LIQ107" s="38"/>
      <c r="LIW107" s="36"/>
      <c r="LIX107" s="38"/>
      <c r="LIY107" s="38"/>
      <c r="LJE107" s="36"/>
      <c r="LJF107" s="38"/>
      <c r="LJG107" s="38"/>
      <c r="LJM107" s="36"/>
      <c r="LJN107" s="38"/>
      <c r="LJO107" s="38"/>
      <c r="LJU107" s="36"/>
      <c r="LJV107" s="38"/>
      <c r="LJW107" s="38"/>
      <c r="LKC107" s="36"/>
      <c r="LKD107" s="38"/>
      <c r="LKE107" s="38"/>
      <c r="LKK107" s="36"/>
      <c r="LKL107" s="38"/>
      <c r="LKM107" s="38"/>
      <c r="LKS107" s="36"/>
      <c r="LKT107" s="38"/>
      <c r="LKU107" s="38"/>
      <c r="LLA107" s="36"/>
      <c r="LLB107" s="38"/>
      <c r="LLC107" s="38"/>
      <c r="LLI107" s="36"/>
      <c r="LLJ107" s="38"/>
      <c r="LLK107" s="38"/>
      <c r="LLQ107" s="36"/>
      <c r="LLR107" s="38"/>
      <c r="LLS107" s="38"/>
      <c r="LLY107" s="36"/>
      <c r="LLZ107" s="38"/>
      <c r="LMA107" s="38"/>
      <c r="LMG107" s="36"/>
      <c r="LMH107" s="38"/>
      <c r="LMI107" s="38"/>
      <c r="LMO107" s="36"/>
      <c r="LMP107" s="38"/>
      <c r="LMQ107" s="38"/>
      <c r="LMW107" s="36"/>
      <c r="LMX107" s="38"/>
      <c r="LMY107" s="38"/>
      <c r="LNE107" s="36"/>
      <c r="LNF107" s="38"/>
      <c r="LNG107" s="38"/>
      <c r="LNM107" s="36"/>
      <c r="LNN107" s="38"/>
      <c r="LNO107" s="38"/>
      <c r="LNU107" s="36"/>
      <c r="LNV107" s="38"/>
      <c r="LNW107" s="38"/>
      <c r="LOC107" s="36"/>
      <c r="LOD107" s="38"/>
      <c r="LOE107" s="38"/>
      <c r="LOK107" s="36"/>
      <c r="LOL107" s="38"/>
      <c r="LOM107" s="38"/>
      <c r="LOS107" s="36"/>
      <c r="LOT107" s="38"/>
      <c r="LOU107" s="38"/>
      <c r="LPA107" s="36"/>
      <c r="LPB107" s="38"/>
      <c r="LPC107" s="38"/>
      <c r="LPI107" s="36"/>
      <c r="LPJ107" s="38"/>
      <c r="LPK107" s="38"/>
      <c r="LPQ107" s="36"/>
      <c r="LPR107" s="38"/>
      <c r="LPS107" s="38"/>
      <c r="LPY107" s="36"/>
      <c r="LPZ107" s="38"/>
      <c r="LQA107" s="38"/>
      <c r="LQG107" s="36"/>
      <c r="LQH107" s="38"/>
      <c r="LQI107" s="38"/>
      <c r="LQO107" s="36"/>
      <c r="LQP107" s="38"/>
      <c r="LQQ107" s="38"/>
      <c r="LQW107" s="36"/>
      <c r="LQX107" s="38"/>
      <c r="LQY107" s="38"/>
      <c r="LRE107" s="36"/>
      <c r="LRF107" s="38"/>
      <c r="LRG107" s="38"/>
      <c r="LRM107" s="36"/>
      <c r="LRN107" s="38"/>
      <c r="LRO107" s="38"/>
      <c r="LRU107" s="36"/>
      <c r="LRV107" s="38"/>
      <c r="LRW107" s="38"/>
      <c r="LSC107" s="36"/>
      <c r="LSD107" s="38"/>
      <c r="LSE107" s="38"/>
      <c r="LSK107" s="36"/>
      <c r="LSL107" s="38"/>
      <c r="LSM107" s="38"/>
      <c r="LSS107" s="36"/>
      <c r="LST107" s="38"/>
      <c r="LSU107" s="38"/>
      <c r="LTA107" s="36"/>
      <c r="LTB107" s="38"/>
      <c r="LTC107" s="38"/>
      <c r="LTI107" s="36"/>
      <c r="LTJ107" s="38"/>
      <c r="LTK107" s="38"/>
      <c r="LTQ107" s="36"/>
      <c r="LTR107" s="38"/>
      <c r="LTS107" s="38"/>
      <c r="LTY107" s="36"/>
      <c r="LTZ107" s="38"/>
      <c r="LUA107" s="38"/>
      <c r="LUG107" s="36"/>
      <c r="LUH107" s="38"/>
      <c r="LUI107" s="38"/>
      <c r="LUO107" s="36"/>
      <c r="LUP107" s="38"/>
      <c r="LUQ107" s="38"/>
      <c r="LUW107" s="36"/>
      <c r="LUX107" s="38"/>
      <c r="LUY107" s="38"/>
      <c r="LVE107" s="36"/>
      <c r="LVF107" s="38"/>
      <c r="LVG107" s="38"/>
      <c r="LVM107" s="36"/>
      <c r="LVN107" s="38"/>
      <c r="LVO107" s="38"/>
      <c r="LVU107" s="36"/>
      <c r="LVV107" s="38"/>
      <c r="LVW107" s="38"/>
      <c r="LWC107" s="36"/>
      <c r="LWD107" s="38"/>
      <c r="LWE107" s="38"/>
      <c r="LWK107" s="36"/>
      <c r="LWL107" s="38"/>
      <c r="LWM107" s="38"/>
      <c r="LWS107" s="36"/>
      <c r="LWT107" s="38"/>
      <c r="LWU107" s="38"/>
      <c r="LXA107" s="36"/>
      <c r="LXB107" s="38"/>
      <c r="LXC107" s="38"/>
      <c r="LXI107" s="36"/>
      <c r="LXJ107" s="38"/>
      <c r="LXK107" s="38"/>
      <c r="LXQ107" s="36"/>
      <c r="LXR107" s="38"/>
      <c r="LXS107" s="38"/>
      <c r="LXY107" s="36"/>
      <c r="LXZ107" s="38"/>
      <c r="LYA107" s="38"/>
      <c r="LYG107" s="36"/>
      <c r="LYH107" s="38"/>
      <c r="LYI107" s="38"/>
      <c r="LYO107" s="36"/>
      <c r="LYP107" s="38"/>
      <c r="LYQ107" s="38"/>
      <c r="LYW107" s="36"/>
      <c r="LYX107" s="38"/>
      <c r="LYY107" s="38"/>
      <c r="LZE107" s="36"/>
      <c r="LZF107" s="38"/>
      <c r="LZG107" s="38"/>
      <c r="LZM107" s="36"/>
      <c r="LZN107" s="38"/>
      <c r="LZO107" s="38"/>
      <c r="LZU107" s="36"/>
      <c r="LZV107" s="38"/>
      <c r="LZW107" s="38"/>
      <c r="MAC107" s="36"/>
      <c r="MAD107" s="38"/>
      <c r="MAE107" s="38"/>
      <c r="MAK107" s="36"/>
      <c r="MAL107" s="38"/>
      <c r="MAM107" s="38"/>
      <c r="MAS107" s="36"/>
      <c r="MAT107" s="38"/>
      <c r="MAU107" s="38"/>
      <c r="MBA107" s="36"/>
      <c r="MBB107" s="38"/>
      <c r="MBC107" s="38"/>
      <c r="MBI107" s="36"/>
      <c r="MBJ107" s="38"/>
      <c r="MBK107" s="38"/>
      <c r="MBQ107" s="36"/>
      <c r="MBR107" s="38"/>
      <c r="MBS107" s="38"/>
      <c r="MBY107" s="36"/>
      <c r="MBZ107" s="38"/>
      <c r="MCA107" s="38"/>
      <c r="MCG107" s="36"/>
      <c r="MCH107" s="38"/>
      <c r="MCI107" s="38"/>
      <c r="MCO107" s="36"/>
      <c r="MCP107" s="38"/>
      <c r="MCQ107" s="38"/>
      <c r="MCW107" s="36"/>
      <c r="MCX107" s="38"/>
      <c r="MCY107" s="38"/>
      <c r="MDE107" s="36"/>
      <c r="MDF107" s="38"/>
      <c r="MDG107" s="38"/>
      <c r="MDM107" s="36"/>
      <c r="MDN107" s="38"/>
      <c r="MDO107" s="38"/>
      <c r="MDU107" s="36"/>
      <c r="MDV107" s="38"/>
      <c r="MDW107" s="38"/>
      <c r="MEC107" s="36"/>
      <c r="MED107" s="38"/>
      <c r="MEE107" s="38"/>
      <c r="MEK107" s="36"/>
      <c r="MEL107" s="38"/>
      <c r="MEM107" s="38"/>
      <c r="MES107" s="36"/>
      <c r="MET107" s="38"/>
      <c r="MEU107" s="38"/>
      <c r="MFA107" s="36"/>
      <c r="MFB107" s="38"/>
      <c r="MFC107" s="38"/>
      <c r="MFI107" s="36"/>
      <c r="MFJ107" s="38"/>
      <c r="MFK107" s="38"/>
      <c r="MFQ107" s="36"/>
      <c r="MFR107" s="38"/>
      <c r="MFS107" s="38"/>
      <c r="MFY107" s="36"/>
      <c r="MFZ107" s="38"/>
      <c r="MGA107" s="38"/>
      <c r="MGG107" s="36"/>
      <c r="MGH107" s="38"/>
      <c r="MGI107" s="38"/>
      <c r="MGO107" s="36"/>
      <c r="MGP107" s="38"/>
      <c r="MGQ107" s="38"/>
      <c r="MGW107" s="36"/>
      <c r="MGX107" s="38"/>
      <c r="MGY107" s="38"/>
      <c r="MHE107" s="36"/>
      <c r="MHF107" s="38"/>
      <c r="MHG107" s="38"/>
      <c r="MHM107" s="36"/>
      <c r="MHN107" s="38"/>
      <c r="MHO107" s="38"/>
      <c r="MHU107" s="36"/>
      <c r="MHV107" s="38"/>
      <c r="MHW107" s="38"/>
      <c r="MIC107" s="36"/>
      <c r="MID107" s="38"/>
      <c r="MIE107" s="38"/>
      <c r="MIK107" s="36"/>
      <c r="MIL107" s="38"/>
      <c r="MIM107" s="38"/>
      <c r="MIS107" s="36"/>
      <c r="MIT107" s="38"/>
      <c r="MIU107" s="38"/>
      <c r="MJA107" s="36"/>
      <c r="MJB107" s="38"/>
      <c r="MJC107" s="38"/>
      <c r="MJI107" s="36"/>
      <c r="MJJ107" s="38"/>
      <c r="MJK107" s="38"/>
      <c r="MJQ107" s="36"/>
      <c r="MJR107" s="38"/>
      <c r="MJS107" s="38"/>
      <c r="MJY107" s="36"/>
      <c r="MJZ107" s="38"/>
      <c r="MKA107" s="38"/>
      <c r="MKG107" s="36"/>
      <c r="MKH107" s="38"/>
      <c r="MKI107" s="38"/>
      <c r="MKO107" s="36"/>
      <c r="MKP107" s="38"/>
      <c r="MKQ107" s="38"/>
      <c r="MKW107" s="36"/>
      <c r="MKX107" s="38"/>
      <c r="MKY107" s="38"/>
      <c r="MLE107" s="36"/>
      <c r="MLF107" s="38"/>
      <c r="MLG107" s="38"/>
      <c r="MLM107" s="36"/>
      <c r="MLN107" s="38"/>
      <c r="MLO107" s="38"/>
      <c r="MLU107" s="36"/>
      <c r="MLV107" s="38"/>
      <c r="MLW107" s="38"/>
      <c r="MMC107" s="36"/>
      <c r="MMD107" s="38"/>
      <c r="MME107" s="38"/>
      <c r="MMK107" s="36"/>
      <c r="MML107" s="38"/>
      <c r="MMM107" s="38"/>
      <c r="MMS107" s="36"/>
      <c r="MMT107" s="38"/>
      <c r="MMU107" s="38"/>
      <c r="MNA107" s="36"/>
      <c r="MNB107" s="38"/>
      <c r="MNC107" s="38"/>
      <c r="MNI107" s="36"/>
      <c r="MNJ107" s="38"/>
      <c r="MNK107" s="38"/>
      <c r="MNQ107" s="36"/>
      <c r="MNR107" s="38"/>
      <c r="MNS107" s="38"/>
      <c r="MNY107" s="36"/>
      <c r="MNZ107" s="38"/>
      <c r="MOA107" s="38"/>
      <c r="MOG107" s="36"/>
      <c r="MOH107" s="38"/>
      <c r="MOI107" s="38"/>
      <c r="MOO107" s="36"/>
      <c r="MOP107" s="38"/>
      <c r="MOQ107" s="38"/>
      <c r="MOW107" s="36"/>
      <c r="MOX107" s="38"/>
      <c r="MOY107" s="38"/>
      <c r="MPE107" s="36"/>
      <c r="MPF107" s="38"/>
      <c r="MPG107" s="38"/>
      <c r="MPM107" s="36"/>
      <c r="MPN107" s="38"/>
      <c r="MPO107" s="38"/>
      <c r="MPU107" s="36"/>
      <c r="MPV107" s="38"/>
      <c r="MPW107" s="38"/>
      <c r="MQC107" s="36"/>
      <c r="MQD107" s="38"/>
      <c r="MQE107" s="38"/>
      <c r="MQK107" s="36"/>
      <c r="MQL107" s="38"/>
      <c r="MQM107" s="38"/>
      <c r="MQS107" s="36"/>
      <c r="MQT107" s="38"/>
      <c r="MQU107" s="38"/>
      <c r="MRA107" s="36"/>
      <c r="MRB107" s="38"/>
      <c r="MRC107" s="38"/>
      <c r="MRI107" s="36"/>
      <c r="MRJ107" s="38"/>
      <c r="MRK107" s="38"/>
      <c r="MRQ107" s="36"/>
      <c r="MRR107" s="38"/>
      <c r="MRS107" s="38"/>
      <c r="MRY107" s="36"/>
      <c r="MRZ107" s="38"/>
      <c r="MSA107" s="38"/>
      <c r="MSG107" s="36"/>
      <c r="MSH107" s="38"/>
      <c r="MSI107" s="38"/>
      <c r="MSO107" s="36"/>
      <c r="MSP107" s="38"/>
      <c r="MSQ107" s="38"/>
      <c r="MSW107" s="36"/>
      <c r="MSX107" s="38"/>
      <c r="MSY107" s="38"/>
      <c r="MTE107" s="36"/>
      <c r="MTF107" s="38"/>
      <c r="MTG107" s="38"/>
      <c r="MTM107" s="36"/>
      <c r="MTN107" s="38"/>
      <c r="MTO107" s="38"/>
      <c r="MTU107" s="36"/>
      <c r="MTV107" s="38"/>
      <c r="MTW107" s="38"/>
      <c r="MUC107" s="36"/>
      <c r="MUD107" s="38"/>
      <c r="MUE107" s="38"/>
      <c r="MUK107" s="36"/>
      <c r="MUL107" s="38"/>
      <c r="MUM107" s="38"/>
      <c r="MUS107" s="36"/>
      <c r="MUT107" s="38"/>
      <c r="MUU107" s="38"/>
      <c r="MVA107" s="36"/>
      <c r="MVB107" s="38"/>
      <c r="MVC107" s="38"/>
      <c r="MVI107" s="36"/>
      <c r="MVJ107" s="38"/>
      <c r="MVK107" s="38"/>
      <c r="MVQ107" s="36"/>
      <c r="MVR107" s="38"/>
      <c r="MVS107" s="38"/>
      <c r="MVY107" s="36"/>
      <c r="MVZ107" s="38"/>
      <c r="MWA107" s="38"/>
      <c r="MWG107" s="36"/>
      <c r="MWH107" s="38"/>
      <c r="MWI107" s="38"/>
      <c r="MWO107" s="36"/>
      <c r="MWP107" s="38"/>
      <c r="MWQ107" s="38"/>
      <c r="MWW107" s="36"/>
      <c r="MWX107" s="38"/>
      <c r="MWY107" s="38"/>
      <c r="MXE107" s="36"/>
      <c r="MXF107" s="38"/>
      <c r="MXG107" s="38"/>
      <c r="MXM107" s="36"/>
      <c r="MXN107" s="38"/>
      <c r="MXO107" s="38"/>
      <c r="MXU107" s="36"/>
      <c r="MXV107" s="38"/>
      <c r="MXW107" s="38"/>
      <c r="MYC107" s="36"/>
      <c r="MYD107" s="38"/>
      <c r="MYE107" s="38"/>
      <c r="MYK107" s="36"/>
      <c r="MYL107" s="38"/>
      <c r="MYM107" s="38"/>
      <c r="MYS107" s="36"/>
      <c r="MYT107" s="38"/>
      <c r="MYU107" s="38"/>
      <c r="MZA107" s="36"/>
      <c r="MZB107" s="38"/>
      <c r="MZC107" s="38"/>
      <c r="MZI107" s="36"/>
      <c r="MZJ107" s="38"/>
      <c r="MZK107" s="38"/>
      <c r="MZQ107" s="36"/>
      <c r="MZR107" s="38"/>
      <c r="MZS107" s="38"/>
      <c r="MZY107" s="36"/>
      <c r="MZZ107" s="38"/>
      <c r="NAA107" s="38"/>
      <c r="NAG107" s="36"/>
      <c r="NAH107" s="38"/>
      <c r="NAI107" s="38"/>
      <c r="NAO107" s="36"/>
      <c r="NAP107" s="38"/>
      <c r="NAQ107" s="38"/>
      <c r="NAW107" s="36"/>
      <c r="NAX107" s="38"/>
      <c r="NAY107" s="38"/>
      <c r="NBE107" s="36"/>
      <c r="NBF107" s="38"/>
      <c r="NBG107" s="38"/>
      <c r="NBM107" s="36"/>
      <c r="NBN107" s="38"/>
      <c r="NBO107" s="38"/>
      <c r="NBU107" s="36"/>
      <c r="NBV107" s="38"/>
      <c r="NBW107" s="38"/>
      <c r="NCC107" s="36"/>
      <c r="NCD107" s="38"/>
      <c r="NCE107" s="38"/>
      <c r="NCK107" s="36"/>
      <c r="NCL107" s="38"/>
      <c r="NCM107" s="38"/>
      <c r="NCS107" s="36"/>
      <c r="NCT107" s="38"/>
      <c r="NCU107" s="38"/>
      <c r="NDA107" s="36"/>
      <c r="NDB107" s="38"/>
      <c r="NDC107" s="38"/>
      <c r="NDI107" s="36"/>
      <c r="NDJ107" s="38"/>
      <c r="NDK107" s="38"/>
      <c r="NDQ107" s="36"/>
      <c r="NDR107" s="38"/>
      <c r="NDS107" s="38"/>
      <c r="NDY107" s="36"/>
      <c r="NDZ107" s="38"/>
      <c r="NEA107" s="38"/>
      <c r="NEG107" s="36"/>
      <c r="NEH107" s="38"/>
      <c r="NEI107" s="38"/>
      <c r="NEO107" s="36"/>
      <c r="NEP107" s="38"/>
      <c r="NEQ107" s="38"/>
      <c r="NEW107" s="36"/>
      <c r="NEX107" s="38"/>
      <c r="NEY107" s="38"/>
      <c r="NFE107" s="36"/>
      <c r="NFF107" s="38"/>
      <c r="NFG107" s="38"/>
      <c r="NFM107" s="36"/>
      <c r="NFN107" s="38"/>
      <c r="NFO107" s="38"/>
      <c r="NFU107" s="36"/>
      <c r="NFV107" s="38"/>
      <c r="NFW107" s="38"/>
      <c r="NGC107" s="36"/>
      <c r="NGD107" s="38"/>
      <c r="NGE107" s="38"/>
      <c r="NGK107" s="36"/>
      <c r="NGL107" s="38"/>
      <c r="NGM107" s="38"/>
      <c r="NGS107" s="36"/>
      <c r="NGT107" s="38"/>
      <c r="NGU107" s="38"/>
      <c r="NHA107" s="36"/>
      <c r="NHB107" s="38"/>
      <c r="NHC107" s="38"/>
      <c r="NHI107" s="36"/>
      <c r="NHJ107" s="38"/>
      <c r="NHK107" s="38"/>
      <c r="NHQ107" s="36"/>
      <c r="NHR107" s="38"/>
      <c r="NHS107" s="38"/>
      <c r="NHY107" s="36"/>
      <c r="NHZ107" s="38"/>
      <c r="NIA107" s="38"/>
      <c r="NIG107" s="36"/>
      <c r="NIH107" s="38"/>
      <c r="NII107" s="38"/>
      <c r="NIO107" s="36"/>
      <c r="NIP107" s="38"/>
      <c r="NIQ107" s="38"/>
      <c r="NIW107" s="36"/>
      <c r="NIX107" s="38"/>
      <c r="NIY107" s="38"/>
      <c r="NJE107" s="36"/>
      <c r="NJF107" s="38"/>
      <c r="NJG107" s="38"/>
      <c r="NJM107" s="36"/>
      <c r="NJN107" s="38"/>
      <c r="NJO107" s="38"/>
      <c r="NJU107" s="36"/>
      <c r="NJV107" s="38"/>
      <c r="NJW107" s="38"/>
      <c r="NKC107" s="36"/>
      <c r="NKD107" s="38"/>
      <c r="NKE107" s="38"/>
      <c r="NKK107" s="36"/>
      <c r="NKL107" s="38"/>
      <c r="NKM107" s="38"/>
      <c r="NKS107" s="36"/>
      <c r="NKT107" s="38"/>
      <c r="NKU107" s="38"/>
      <c r="NLA107" s="36"/>
      <c r="NLB107" s="38"/>
      <c r="NLC107" s="38"/>
      <c r="NLI107" s="36"/>
      <c r="NLJ107" s="38"/>
      <c r="NLK107" s="38"/>
      <c r="NLQ107" s="36"/>
      <c r="NLR107" s="38"/>
      <c r="NLS107" s="38"/>
      <c r="NLY107" s="36"/>
      <c r="NLZ107" s="38"/>
      <c r="NMA107" s="38"/>
      <c r="NMG107" s="36"/>
      <c r="NMH107" s="38"/>
      <c r="NMI107" s="38"/>
      <c r="NMO107" s="36"/>
      <c r="NMP107" s="38"/>
      <c r="NMQ107" s="38"/>
      <c r="NMW107" s="36"/>
      <c r="NMX107" s="38"/>
      <c r="NMY107" s="38"/>
      <c r="NNE107" s="36"/>
      <c r="NNF107" s="38"/>
      <c r="NNG107" s="38"/>
      <c r="NNM107" s="36"/>
      <c r="NNN107" s="38"/>
      <c r="NNO107" s="38"/>
      <c r="NNU107" s="36"/>
      <c r="NNV107" s="38"/>
      <c r="NNW107" s="38"/>
      <c r="NOC107" s="36"/>
      <c r="NOD107" s="38"/>
      <c r="NOE107" s="38"/>
      <c r="NOK107" s="36"/>
      <c r="NOL107" s="38"/>
      <c r="NOM107" s="38"/>
      <c r="NOS107" s="36"/>
      <c r="NOT107" s="38"/>
      <c r="NOU107" s="38"/>
      <c r="NPA107" s="36"/>
      <c r="NPB107" s="38"/>
      <c r="NPC107" s="38"/>
      <c r="NPI107" s="36"/>
      <c r="NPJ107" s="38"/>
      <c r="NPK107" s="38"/>
      <c r="NPQ107" s="36"/>
      <c r="NPR107" s="38"/>
      <c r="NPS107" s="38"/>
      <c r="NPY107" s="36"/>
      <c r="NPZ107" s="38"/>
      <c r="NQA107" s="38"/>
      <c r="NQG107" s="36"/>
      <c r="NQH107" s="38"/>
      <c r="NQI107" s="38"/>
      <c r="NQO107" s="36"/>
      <c r="NQP107" s="38"/>
      <c r="NQQ107" s="38"/>
      <c r="NQW107" s="36"/>
      <c r="NQX107" s="38"/>
      <c r="NQY107" s="38"/>
      <c r="NRE107" s="36"/>
      <c r="NRF107" s="38"/>
      <c r="NRG107" s="38"/>
      <c r="NRM107" s="36"/>
      <c r="NRN107" s="38"/>
      <c r="NRO107" s="38"/>
      <c r="NRU107" s="36"/>
      <c r="NRV107" s="38"/>
      <c r="NRW107" s="38"/>
      <c r="NSC107" s="36"/>
      <c r="NSD107" s="38"/>
      <c r="NSE107" s="38"/>
      <c r="NSK107" s="36"/>
      <c r="NSL107" s="38"/>
      <c r="NSM107" s="38"/>
      <c r="NSS107" s="36"/>
      <c r="NST107" s="38"/>
      <c r="NSU107" s="38"/>
      <c r="NTA107" s="36"/>
      <c r="NTB107" s="38"/>
      <c r="NTC107" s="38"/>
      <c r="NTI107" s="36"/>
      <c r="NTJ107" s="38"/>
      <c r="NTK107" s="38"/>
      <c r="NTQ107" s="36"/>
      <c r="NTR107" s="38"/>
      <c r="NTS107" s="38"/>
      <c r="NTY107" s="36"/>
      <c r="NTZ107" s="38"/>
      <c r="NUA107" s="38"/>
      <c r="NUG107" s="36"/>
      <c r="NUH107" s="38"/>
      <c r="NUI107" s="38"/>
      <c r="NUO107" s="36"/>
      <c r="NUP107" s="38"/>
      <c r="NUQ107" s="38"/>
      <c r="NUW107" s="36"/>
      <c r="NUX107" s="38"/>
      <c r="NUY107" s="38"/>
      <c r="NVE107" s="36"/>
      <c r="NVF107" s="38"/>
      <c r="NVG107" s="38"/>
      <c r="NVM107" s="36"/>
      <c r="NVN107" s="38"/>
      <c r="NVO107" s="38"/>
      <c r="NVU107" s="36"/>
      <c r="NVV107" s="38"/>
      <c r="NVW107" s="38"/>
      <c r="NWC107" s="36"/>
      <c r="NWD107" s="38"/>
      <c r="NWE107" s="38"/>
      <c r="NWK107" s="36"/>
      <c r="NWL107" s="38"/>
      <c r="NWM107" s="38"/>
      <c r="NWS107" s="36"/>
      <c r="NWT107" s="38"/>
      <c r="NWU107" s="38"/>
      <c r="NXA107" s="36"/>
      <c r="NXB107" s="38"/>
      <c r="NXC107" s="38"/>
      <c r="NXI107" s="36"/>
      <c r="NXJ107" s="38"/>
      <c r="NXK107" s="38"/>
      <c r="NXQ107" s="36"/>
      <c r="NXR107" s="38"/>
      <c r="NXS107" s="38"/>
      <c r="NXY107" s="36"/>
      <c r="NXZ107" s="38"/>
      <c r="NYA107" s="38"/>
      <c r="NYG107" s="36"/>
      <c r="NYH107" s="38"/>
      <c r="NYI107" s="38"/>
      <c r="NYO107" s="36"/>
      <c r="NYP107" s="38"/>
      <c r="NYQ107" s="38"/>
      <c r="NYW107" s="36"/>
      <c r="NYX107" s="38"/>
      <c r="NYY107" s="38"/>
      <c r="NZE107" s="36"/>
      <c r="NZF107" s="38"/>
      <c r="NZG107" s="38"/>
      <c r="NZM107" s="36"/>
      <c r="NZN107" s="38"/>
      <c r="NZO107" s="38"/>
      <c r="NZU107" s="36"/>
      <c r="NZV107" s="38"/>
      <c r="NZW107" s="38"/>
      <c r="OAC107" s="36"/>
      <c r="OAD107" s="38"/>
      <c r="OAE107" s="38"/>
      <c r="OAK107" s="36"/>
      <c r="OAL107" s="38"/>
      <c r="OAM107" s="38"/>
      <c r="OAS107" s="36"/>
      <c r="OAT107" s="38"/>
      <c r="OAU107" s="38"/>
      <c r="OBA107" s="36"/>
      <c r="OBB107" s="38"/>
      <c r="OBC107" s="38"/>
      <c r="OBI107" s="36"/>
      <c r="OBJ107" s="38"/>
      <c r="OBK107" s="38"/>
      <c r="OBQ107" s="36"/>
      <c r="OBR107" s="38"/>
      <c r="OBS107" s="38"/>
      <c r="OBY107" s="36"/>
      <c r="OBZ107" s="38"/>
      <c r="OCA107" s="38"/>
      <c r="OCG107" s="36"/>
      <c r="OCH107" s="38"/>
      <c r="OCI107" s="38"/>
      <c r="OCO107" s="36"/>
      <c r="OCP107" s="38"/>
      <c r="OCQ107" s="38"/>
      <c r="OCW107" s="36"/>
      <c r="OCX107" s="38"/>
      <c r="OCY107" s="38"/>
      <c r="ODE107" s="36"/>
      <c r="ODF107" s="38"/>
      <c r="ODG107" s="38"/>
      <c r="ODM107" s="36"/>
      <c r="ODN107" s="38"/>
      <c r="ODO107" s="38"/>
      <c r="ODU107" s="36"/>
      <c r="ODV107" s="38"/>
      <c r="ODW107" s="38"/>
      <c r="OEC107" s="36"/>
      <c r="OED107" s="38"/>
      <c r="OEE107" s="38"/>
      <c r="OEK107" s="36"/>
      <c r="OEL107" s="38"/>
      <c r="OEM107" s="38"/>
      <c r="OES107" s="36"/>
      <c r="OET107" s="38"/>
      <c r="OEU107" s="38"/>
      <c r="OFA107" s="36"/>
      <c r="OFB107" s="38"/>
      <c r="OFC107" s="38"/>
      <c r="OFI107" s="36"/>
      <c r="OFJ107" s="38"/>
      <c r="OFK107" s="38"/>
      <c r="OFQ107" s="36"/>
      <c r="OFR107" s="38"/>
      <c r="OFS107" s="38"/>
      <c r="OFY107" s="36"/>
      <c r="OFZ107" s="38"/>
      <c r="OGA107" s="38"/>
      <c r="OGG107" s="36"/>
      <c r="OGH107" s="38"/>
      <c r="OGI107" s="38"/>
      <c r="OGO107" s="36"/>
      <c r="OGP107" s="38"/>
      <c r="OGQ107" s="38"/>
      <c r="OGW107" s="36"/>
      <c r="OGX107" s="38"/>
      <c r="OGY107" s="38"/>
      <c r="OHE107" s="36"/>
      <c r="OHF107" s="38"/>
      <c r="OHG107" s="38"/>
      <c r="OHM107" s="36"/>
      <c r="OHN107" s="38"/>
      <c r="OHO107" s="38"/>
      <c r="OHU107" s="36"/>
      <c r="OHV107" s="38"/>
      <c r="OHW107" s="38"/>
      <c r="OIC107" s="36"/>
      <c r="OID107" s="38"/>
      <c r="OIE107" s="38"/>
      <c r="OIK107" s="36"/>
      <c r="OIL107" s="38"/>
      <c r="OIM107" s="38"/>
      <c r="OIS107" s="36"/>
      <c r="OIT107" s="38"/>
      <c r="OIU107" s="38"/>
      <c r="OJA107" s="36"/>
      <c r="OJB107" s="38"/>
      <c r="OJC107" s="38"/>
      <c r="OJI107" s="36"/>
      <c r="OJJ107" s="38"/>
      <c r="OJK107" s="38"/>
      <c r="OJQ107" s="36"/>
      <c r="OJR107" s="38"/>
      <c r="OJS107" s="38"/>
      <c r="OJY107" s="36"/>
      <c r="OJZ107" s="38"/>
      <c r="OKA107" s="38"/>
      <c r="OKG107" s="36"/>
      <c r="OKH107" s="38"/>
      <c r="OKI107" s="38"/>
      <c r="OKO107" s="36"/>
      <c r="OKP107" s="38"/>
      <c r="OKQ107" s="38"/>
      <c r="OKW107" s="36"/>
      <c r="OKX107" s="38"/>
      <c r="OKY107" s="38"/>
      <c r="OLE107" s="36"/>
      <c r="OLF107" s="38"/>
      <c r="OLG107" s="38"/>
      <c r="OLM107" s="36"/>
      <c r="OLN107" s="38"/>
      <c r="OLO107" s="38"/>
      <c r="OLU107" s="36"/>
      <c r="OLV107" s="38"/>
      <c r="OLW107" s="38"/>
      <c r="OMC107" s="36"/>
      <c r="OMD107" s="38"/>
      <c r="OME107" s="38"/>
      <c r="OMK107" s="36"/>
      <c r="OML107" s="38"/>
      <c r="OMM107" s="38"/>
      <c r="OMS107" s="36"/>
      <c r="OMT107" s="38"/>
      <c r="OMU107" s="38"/>
      <c r="ONA107" s="36"/>
      <c r="ONB107" s="38"/>
      <c r="ONC107" s="38"/>
      <c r="ONI107" s="36"/>
      <c r="ONJ107" s="38"/>
      <c r="ONK107" s="38"/>
      <c r="ONQ107" s="36"/>
      <c r="ONR107" s="38"/>
      <c r="ONS107" s="38"/>
      <c r="ONY107" s="36"/>
      <c r="ONZ107" s="38"/>
      <c r="OOA107" s="38"/>
      <c r="OOG107" s="36"/>
      <c r="OOH107" s="38"/>
      <c r="OOI107" s="38"/>
      <c r="OOO107" s="36"/>
      <c r="OOP107" s="38"/>
      <c r="OOQ107" s="38"/>
      <c r="OOW107" s="36"/>
      <c r="OOX107" s="38"/>
      <c r="OOY107" s="38"/>
      <c r="OPE107" s="36"/>
      <c r="OPF107" s="38"/>
      <c r="OPG107" s="38"/>
      <c r="OPM107" s="36"/>
      <c r="OPN107" s="38"/>
      <c r="OPO107" s="38"/>
      <c r="OPU107" s="36"/>
      <c r="OPV107" s="38"/>
      <c r="OPW107" s="38"/>
      <c r="OQC107" s="36"/>
      <c r="OQD107" s="38"/>
      <c r="OQE107" s="38"/>
      <c r="OQK107" s="36"/>
      <c r="OQL107" s="38"/>
      <c r="OQM107" s="38"/>
      <c r="OQS107" s="36"/>
      <c r="OQT107" s="38"/>
      <c r="OQU107" s="38"/>
      <c r="ORA107" s="36"/>
      <c r="ORB107" s="38"/>
      <c r="ORC107" s="38"/>
      <c r="ORI107" s="36"/>
      <c r="ORJ107" s="38"/>
      <c r="ORK107" s="38"/>
      <c r="ORQ107" s="36"/>
      <c r="ORR107" s="38"/>
      <c r="ORS107" s="38"/>
      <c r="ORY107" s="36"/>
      <c r="ORZ107" s="38"/>
      <c r="OSA107" s="38"/>
      <c r="OSG107" s="36"/>
      <c r="OSH107" s="38"/>
      <c r="OSI107" s="38"/>
      <c r="OSO107" s="36"/>
      <c r="OSP107" s="38"/>
      <c r="OSQ107" s="38"/>
      <c r="OSW107" s="36"/>
      <c r="OSX107" s="38"/>
      <c r="OSY107" s="38"/>
      <c r="OTE107" s="36"/>
      <c r="OTF107" s="38"/>
      <c r="OTG107" s="38"/>
      <c r="OTM107" s="36"/>
      <c r="OTN107" s="38"/>
      <c r="OTO107" s="38"/>
      <c r="OTU107" s="36"/>
      <c r="OTV107" s="38"/>
      <c r="OTW107" s="38"/>
      <c r="OUC107" s="36"/>
      <c r="OUD107" s="38"/>
      <c r="OUE107" s="38"/>
      <c r="OUK107" s="36"/>
      <c r="OUL107" s="38"/>
      <c r="OUM107" s="38"/>
      <c r="OUS107" s="36"/>
      <c r="OUT107" s="38"/>
      <c r="OUU107" s="38"/>
      <c r="OVA107" s="36"/>
      <c r="OVB107" s="38"/>
      <c r="OVC107" s="38"/>
      <c r="OVI107" s="36"/>
      <c r="OVJ107" s="38"/>
      <c r="OVK107" s="38"/>
      <c r="OVQ107" s="36"/>
      <c r="OVR107" s="38"/>
      <c r="OVS107" s="38"/>
      <c r="OVY107" s="36"/>
      <c r="OVZ107" s="38"/>
      <c r="OWA107" s="38"/>
      <c r="OWG107" s="36"/>
      <c r="OWH107" s="38"/>
      <c r="OWI107" s="38"/>
      <c r="OWO107" s="36"/>
      <c r="OWP107" s="38"/>
      <c r="OWQ107" s="38"/>
      <c r="OWW107" s="36"/>
      <c r="OWX107" s="38"/>
      <c r="OWY107" s="38"/>
      <c r="OXE107" s="36"/>
      <c r="OXF107" s="38"/>
      <c r="OXG107" s="38"/>
      <c r="OXM107" s="36"/>
      <c r="OXN107" s="38"/>
      <c r="OXO107" s="38"/>
      <c r="OXU107" s="36"/>
      <c r="OXV107" s="38"/>
      <c r="OXW107" s="38"/>
      <c r="OYC107" s="36"/>
      <c r="OYD107" s="38"/>
      <c r="OYE107" s="38"/>
      <c r="OYK107" s="36"/>
      <c r="OYL107" s="38"/>
      <c r="OYM107" s="38"/>
      <c r="OYS107" s="36"/>
      <c r="OYT107" s="38"/>
      <c r="OYU107" s="38"/>
      <c r="OZA107" s="36"/>
      <c r="OZB107" s="38"/>
      <c r="OZC107" s="38"/>
      <c r="OZI107" s="36"/>
      <c r="OZJ107" s="38"/>
      <c r="OZK107" s="38"/>
      <c r="OZQ107" s="36"/>
      <c r="OZR107" s="38"/>
      <c r="OZS107" s="38"/>
      <c r="OZY107" s="36"/>
      <c r="OZZ107" s="38"/>
      <c r="PAA107" s="38"/>
      <c r="PAG107" s="36"/>
      <c r="PAH107" s="38"/>
      <c r="PAI107" s="38"/>
      <c r="PAO107" s="36"/>
      <c r="PAP107" s="38"/>
      <c r="PAQ107" s="38"/>
      <c r="PAW107" s="36"/>
      <c r="PAX107" s="38"/>
      <c r="PAY107" s="38"/>
      <c r="PBE107" s="36"/>
      <c r="PBF107" s="38"/>
      <c r="PBG107" s="38"/>
      <c r="PBM107" s="36"/>
      <c r="PBN107" s="38"/>
      <c r="PBO107" s="38"/>
      <c r="PBU107" s="36"/>
      <c r="PBV107" s="38"/>
      <c r="PBW107" s="38"/>
      <c r="PCC107" s="36"/>
      <c r="PCD107" s="38"/>
      <c r="PCE107" s="38"/>
      <c r="PCK107" s="36"/>
      <c r="PCL107" s="38"/>
      <c r="PCM107" s="38"/>
      <c r="PCS107" s="36"/>
      <c r="PCT107" s="38"/>
      <c r="PCU107" s="38"/>
      <c r="PDA107" s="36"/>
      <c r="PDB107" s="38"/>
      <c r="PDC107" s="38"/>
      <c r="PDI107" s="36"/>
      <c r="PDJ107" s="38"/>
      <c r="PDK107" s="38"/>
      <c r="PDQ107" s="36"/>
      <c r="PDR107" s="38"/>
      <c r="PDS107" s="38"/>
      <c r="PDY107" s="36"/>
      <c r="PDZ107" s="38"/>
      <c r="PEA107" s="38"/>
      <c r="PEG107" s="36"/>
      <c r="PEH107" s="38"/>
      <c r="PEI107" s="38"/>
      <c r="PEO107" s="36"/>
      <c r="PEP107" s="38"/>
      <c r="PEQ107" s="38"/>
      <c r="PEW107" s="36"/>
      <c r="PEX107" s="38"/>
      <c r="PEY107" s="38"/>
      <c r="PFE107" s="36"/>
      <c r="PFF107" s="38"/>
      <c r="PFG107" s="38"/>
      <c r="PFM107" s="36"/>
      <c r="PFN107" s="38"/>
      <c r="PFO107" s="38"/>
      <c r="PFU107" s="36"/>
      <c r="PFV107" s="38"/>
      <c r="PFW107" s="38"/>
      <c r="PGC107" s="36"/>
      <c r="PGD107" s="38"/>
      <c r="PGE107" s="38"/>
      <c r="PGK107" s="36"/>
      <c r="PGL107" s="38"/>
      <c r="PGM107" s="38"/>
      <c r="PGS107" s="36"/>
      <c r="PGT107" s="38"/>
      <c r="PGU107" s="38"/>
      <c r="PHA107" s="36"/>
      <c r="PHB107" s="38"/>
      <c r="PHC107" s="38"/>
      <c r="PHI107" s="36"/>
      <c r="PHJ107" s="38"/>
      <c r="PHK107" s="38"/>
      <c r="PHQ107" s="36"/>
      <c r="PHR107" s="38"/>
      <c r="PHS107" s="38"/>
      <c r="PHY107" s="36"/>
      <c r="PHZ107" s="38"/>
      <c r="PIA107" s="38"/>
      <c r="PIG107" s="36"/>
      <c r="PIH107" s="38"/>
      <c r="PII107" s="38"/>
      <c r="PIO107" s="36"/>
      <c r="PIP107" s="38"/>
      <c r="PIQ107" s="38"/>
      <c r="PIW107" s="36"/>
      <c r="PIX107" s="38"/>
      <c r="PIY107" s="38"/>
      <c r="PJE107" s="36"/>
      <c r="PJF107" s="38"/>
      <c r="PJG107" s="38"/>
      <c r="PJM107" s="36"/>
      <c r="PJN107" s="38"/>
      <c r="PJO107" s="38"/>
      <c r="PJU107" s="36"/>
      <c r="PJV107" s="38"/>
      <c r="PJW107" s="38"/>
      <c r="PKC107" s="36"/>
      <c r="PKD107" s="38"/>
      <c r="PKE107" s="38"/>
      <c r="PKK107" s="36"/>
      <c r="PKL107" s="38"/>
      <c r="PKM107" s="38"/>
      <c r="PKS107" s="36"/>
      <c r="PKT107" s="38"/>
      <c r="PKU107" s="38"/>
      <c r="PLA107" s="36"/>
      <c r="PLB107" s="38"/>
      <c r="PLC107" s="38"/>
      <c r="PLI107" s="36"/>
      <c r="PLJ107" s="38"/>
      <c r="PLK107" s="38"/>
      <c r="PLQ107" s="36"/>
      <c r="PLR107" s="38"/>
      <c r="PLS107" s="38"/>
      <c r="PLY107" s="36"/>
      <c r="PLZ107" s="38"/>
      <c r="PMA107" s="38"/>
      <c r="PMG107" s="36"/>
      <c r="PMH107" s="38"/>
      <c r="PMI107" s="38"/>
      <c r="PMO107" s="36"/>
      <c r="PMP107" s="38"/>
      <c r="PMQ107" s="38"/>
      <c r="PMW107" s="36"/>
      <c r="PMX107" s="38"/>
      <c r="PMY107" s="38"/>
      <c r="PNE107" s="36"/>
      <c r="PNF107" s="38"/>
      <c r="PNG107" s="38"/>
      <c r="PNM107" s="36"/>
      <c r="PNN107" s="38"/>
      <c r="PNO107" s="38"/>
      <c r="PNU107" s="36"/>
      <c r="PNV107" s="38"/>
      <c r="PNW107" s="38"/>
      <c r="POC107" s="36"/>
      <c r="POD107" s="38"/>
      <c r="POE107" s="38"/>
      <c r="POK107" s="36"/>
      <c r="POL107" s="38"/>
      <c r="POM107" s="38"/>
      <c r="POS107" s="36"/>
      <c r="POT107" s="38"/>
      <c r="POU107" s="38"/>
      <c r="PPA107" s="36"/>
      <c r="PPB107" s="38"/>
      <c r="PPC107" s="38"/>
      <c r="PPI107" s="36"/>
      <c r="PPJ107" s="38"/>
      <c r="PPK107" s="38"/>
      <c r="PPQ107" s="36"/>
      <c r="PPR107" s="38"/>
      <c r="PPS107" s="38"/>
      <c r="PPY107" s="36"/>
      <c r="PPZ107" s="38"/>
      <c r="PQA107" s="38"/>
      <c r="PQG107" s="36"/>
      <c r="PQH107" s="38"/>
      <c r="PQI107" s="38"/>
      <c r="PQO107" s="36"/>
      <c r="PQP107" s="38"/>
      <c r="PQQ107" s="38"/>
      <c r="PQW107" s="36"/>
      <c r="PQX107" s="38"/>
      <c r="PQY107" s="38"/>
      <c r="PRE107" s="36"/>
      <c r="PRF107" s="38"/>
      <c r="PRG107" s="38"/>
      <c r="PRM107" s="36"/>
      <c r="PRN107" s="38"/>
      <c r="PRO107" s="38"/>
      <c r="PRU107" s="36"/>
      <c r="PRV107" s="38"/>
      <c r="PRW107" s="38"/>
      <c r="PSC107" s="36"/>
      <c r="PSD107" s="38"/>
      <c r="PSE107" s="38"/>
      <c r="PSK107" s="36"/>
      <c r="PSL107" s="38"/>
      <c r="PSM107" s="38"/>
      <c r="PSS107" s="36"/>
      <c r="PST107" s="38"/>
      <c r="PSU107" s="38"/>
      <c r="PTA107" s="36"/>
      <c r="PTB107" s="38"/>
      <c r="PTC107" s="38"/>
      <c r="PTI107" s="36"/>
      <c r="PTJ107" s="38"/>
      <c r="PTK107" s="38"/>
      <c r="PTQ107" s="36"/>
      <c r="PTR107" s="38"/>
      <c r="PTS107" s="38"/>
      <c r="PTY107" s="36"/>
      <c r="PTZ107" s="38"/>
      <c r="PUA107" s="38"/>
      <c r="PUG107" s="36"/>
      <c r="PUH107" s="38"/>
      <c r="PUI107" s="38"/>
      <c r="PUO107" s="36"/>
      <c r="PUP107" s="38"/>
      <c r="PUQ107" s="38"/>
      <c r="PUW107" s="36"/>
      <c r="PUX107" s="38"/>
      <c r="PUY107" s="38"/>
      <c r="PVE107" s="36"/>
      <c r="PVF107" s="38"/>
      <c r="PVG107" s="38"/>
      <c r="PVM107" s="36"/>
      <c r="PVN107" s="38"/>
      <c r="PVO107" s="38"/>
      <c r="PVU107" s="36"/>
      <c r="PVV107" s="38"/>
      <c r="PVW107" s="38"/>
      <c r="PWC107" s="36"/>
      <c r="PWD107" s="38"/>
      <c r="PWE107" s="38"/>
      <c r="PWK107" s="36"/>
      <c r="PWL107" s="38"/>
      <c r="PWM107" s="38"/>
      <c r="PWS107" s="36"/>
      <c r="PWT107" s="38"/>
      <c r="PWU107" s="38"/>
      <c r="PXA107" s="36"/>
      <c r="PXB107" s="38"/>
      <c r="PXC107" s="38"/>
      <c r="PXI107" s="36"/>
      <c r="PXJ107" s="38"/>
      <c r="PXK107" s="38"/>
      <c r="PXQ107" s="36"/>
      <c r="PXR107" s="38"/>
      <c r="PXS107" s="38"/>
      <c r="PXY107" s="36"/>
      <c r="PXZ107" s="38"/>
      <c r="PYA107" s="38"/>
      <c r="PYG107" s="36"/>
      <c r="PYH107" s="38"/>
      <c r="PYI107" s="38"/>
      <c r="PYO107" s="36"/>
      <c r="PYP107" s="38"/>
      <c r="PYQ107" s="38"/>
      <c r="PYW107" s="36"/>
      <c r="PYX107" s="38"/>
      <c r="PYY107" s="38"/>
      <c r="PZE107" s="36"/>
      <c r="PZF107" s="38"/>
      <c r="PZG107" s="38"/>
      <c r="PZM107" s="36"/>
      <c r="PZN107" s="38"/>
      <c r="PZO107" s="38"/>
      <c r="PZU107" s="36"/>
      <c r="PZV107" s="38"/>
      <c r="PZW107" s="38"/>
      <c r="QAC107" s="36"/>
      <c r="QAD107" s="38"/>
      <c r="QAE107" s="38"/>
      <c r="QAK107" s="36"/>
      <c r="QAL107" s="38"/>
      <c r="QAM107" s="38"/>
      <c r="QAS107" s="36"/>
      <c r="QAT107" s="38"/>
      <c r="QAU107" s="38"/>
      <c r="QBA107" s="36"/>
      <c r="QBB107" s="38"/>
      <c r="QBC107" s="38"/>
      <c r="QBI107" s="36"/>
      <c r="QBJ107" s="38"/>
      <c r="QBK107" s="38"/>
      <c r="QBQ107" s="36"/>
      <c r="QBR107" s="38"/>
      <c r="QBS107" s="38"/>
      <c r="QBY107" s="36"/>
      <c r="QBZ107" s="38"/>
      <c r="QCA107" s="38"/>
      <c r="QCG107" s="36"/>
      <c r="QCH107" s="38"/>
      <c r="QCI107" s="38"/>
      <c r="QCO107" s="36"/>
      <c r="QCP107" s="38"/>
      <c r="QCQ107" s="38"/>
      <c r="QCW107" s="36"/>
      <c r="QCX107" s="38"/>
      <c r="QCY107" s="38"/>
      <c r="QDE107" s="36"/>
      <c r="QDF107" s="38"/>
      <c r="QDG107" s="38"/>
      <c r="QDM107" s="36"/>
      <c r="QDN107" s="38"/>
      <c r="QDO107" s="38"/>
      <c r="QDU107" s="36"/>
      <c r="QDV107" s="38"/>
      <c r="QDW107" s="38"/>
      <c r="QEC107" s="36"/>
      <c r="QED107" s="38"/>
      <c r="QEE107" s="38"/>
      <c r="QEK107" s="36"/>
      <c r="QEL107" s="38"/>
      <c r="QEM107" s="38"/>
      <c r="QES107" s="36"/>
      <c r="QET107" s="38"/>
      <c r="QEU107" s="38"/>
      <c r="QFA107" s="36"/>
      <c r="QFB107" s="38"/>
      <c r="QFC107" s="38"/>
      <c r="QFI107" s="36"/>
      <c r="QFJ107" s="38"/>
      <c r="QFK107" s="38"/>
      <c r="QFQ107" s="36"/>
      <c r="QFR107" s="38"/>
      <c r="QFS107" s="38"/>
      <c r="QFY107" s="36"/>
      <c r="QFZ107" s="38"/>
      <c r="QGA107" s="38"/>
      <c r="QGG107" s="36"/>
      <c r="QGH107" s="38"/>
      <c r="QGI107" s="38"/>
      <c r="QGO107" s="36"/>
      <c r="QGP107" s="38"/>
      <c r="QGQ107" s="38"/>
      <c r="QGW107" s="36"/>
      <c r="QGX107" s="38"/>
      <c r="QGY107" s="38"/>
      <c r="QHE107" s="36"/>
      <c r="QHF107" s="38"/>
      <c r="QHG107" s="38"/>
      <c r="QHM107" s="36"/>
      <c r="QHN107" s="38"/>
      <c r="QHO107" s="38"/>
      <c r="QHU107" s="36"/>
      <c r="QHV107" s="38"/>
      <c r="QHW107" s="38"/>
      <c r="QIC107" s="36"/>
      <c r="QID107" s="38"/>
      <c r="QIE107" s="38"/>
      <c r="QIK107" s="36"/>
      <c r="QIL107" s="38"/>
      <c r="QIM107" s="38"/>
      <c r="QIS107" s="36"/>
      <c r="QIT107" s="38"/>
      <c r="QIU107" s="38"/>
      <c r="QJA107" s="36"/>
      <c r="QJB107" s="38"/>
      <c r="QJC107" s="38"/>
      <c r="QJI107" s="36"/>
      <c r="QJJ107" s="38"/>
      <c r="QJK107" s="38"/>
      <c r="QJQ107" s="36"/>
      <c r="QJR107" s="38"/>
      <c r="QJS107" s="38"/>
      <c r="QJY107" s="36"/>
      <c r="QJZ107" s="38"/>
      <c r="QKA107" s="38"/>
      <c r="QKG107" s="36"/>
      <c r="QKH107" s="38"/>
      <c r="QKI107" s="38"/>
      <c r="QKO107" s="36"/>
      <c r="QKP107" s="38"/>
      <c r="QKQ107" s="38"/>
      <c r="QKW107" s="36"/>
      <c r="QKX107" s="38"/>
      <c r="QKY107" s="38"/>
      <c r="QLE107" s="36"/>
      <c r="QLF107" s="38"/>
      <c r="QLG107" s="38"/>
      <c r="QLM107" s="36"/>
      <c r="QLN107" s="38"/>
      <c r="QLO107" s="38"/>
      <c r="QLU107" s="36"/>
      <c r="QLV107" s="38"/>
      <c r="QLW107" s="38"/>
      <c r="QMC107" s="36"/>
      <c r="QMD107" s="38"/>
      <c r="QME107" s="38"/>
      <c r="QMK107" s="36"/>
      <c r="QML107" s="38"/>
      <c r="QMM107" s="38"/>
      <c r="QMS107" s="36"/>
      <c r="QMT107" s="38"/>
      <c r="QMU107" s="38"/>
      <c r="QNA107" s="36"/>
      <c r="QNB107" s="38"/>
      <c r="QNC107" s="38"/>
      <c r="QNI107" s="36"/>
      <c r="QNJ107" s="38"/>
      <c r="QNK107" s="38"/>
      <c r="QNQ107" s="36"/>
      <c r="QNR107" s="38"/>
      <c r="QNS107" s="38"/>
      <c r="QNY107" s="36"/>
      <c r="QNZ107" s="38"/>
      <c r="QOA107" s="38"/>
      <c r="QOG107" s="36"/>
      <c r="QOH107" s="38"/>
      <c r="QOI107" s="38"/>
      <c r="QOO107" s="36"/>
      <c r="QOP107" s="38"/>
      <c r="QOQ107" s="38"/>
      <c r="QOW107" s="36"/>
      <c r="QOX107" s="38"/>
      <c r="QOY107" s="38"/>
      <c r="QPE107" s="36"/>
      <c r="QPF107" s="38"/>
      <c r="QPG107" s="38"/>
      <c r="QPM107" s="36"/>
      <c r="QPN107" s="38"/>
      <c r="QPO107" s="38"/>
      <c r="QPU107" s="36"/>
      <c r="QPV107" s="38"/>
      <c r="QPW107" s="38"/>
      <c r="QQC107" s="36"/>
      <c r="QQD107" s="38"/>
      <c r="QQE107" s="38"/>
      <c r="QQK107" s="36"/>
      <c r="QQL107" s="38"/>
      <c r="QQM107" s="38"/>
      <c r="QQS107" s="36"/>
      <c r="QQT107" s="38"/>
      <c r="QQU107" s="38"/>
      <c r="QRA107" s="36"/>
      <c r="QRB107" s="38"/>
      <c r="QRC107" s="38"/>
      <c r="QRI107" s="36"/>
      <c r="QRJ107" s="38"/>
      <c r="QRK107" s="38"/>
      <c r="QRQ107" s="36"/>
      <c r="QRR107" s="38"/>
      <c r="QRS107" s="38"/>
      <c r="QRY107" s="36"/>
      <c r="QRZ107" s="38"/>
      <c r="QSA107" s="38"/>
      <c r="QSG107" s="36"/>
      <c r="QSH107" s="38"/>
      <c r="QSI107" s="38"/>
      <c r="QSO107" s="36"/>
      <c r="QSP107" s="38"/>
      <c r="QSQ107" s="38"/>
      <c r="QSW107" s="36"/>
      <c r="QSX107" s="38"/>
      <c r="QSY107" s="38"/>
      <c r="QTE107" s="36"/>
      <c r="QTF107" s="38"/>
      <c r="QTG107" s="38"/>
      <c r="QTM107" s="36"/>
      <c r="QTN107" s="38"/>
      <c r="QTO107" s="38"/>
      <c r="QTU107" s="36"/>
      <c r="QTV107" s="38"/>
      <c r="QTW107" s="38"/>
      <c r="QUC107" s="36"/>
      <c r="QUD107" s="38"/>
      <c r="QUE107" s="38"/>
      <c r="QUK107" s="36"/>
      <c r="QUL107" s="38"/>
      <c r="QUM107" s="38"/>
      <c r="QUS107" s="36"/>
      <c r="QUT107" s="38"/>
      <c r="QUU107" s="38"/>
      <c r="QVA107" s="36"/>
      <c r="QVB107" s="38"/>
      <c r="QVC107" s="38"/>
      <c r="QVI107" s="36"/>
      <c r="QVJ107" s="38"/>
      <c r="QVK107" s="38"/>
      <c r="QVQ107" s="36"/>
      <c r="QVR107" s="38"/>
      <c r="QVS107" s="38"/>
      <c r="QVY107" s="36"/>
      <c r="QVZ107" s="38"/>
      <c r="QWA107" s="38"/>
      <c r="QWG107" s="36"/>
      <c r="QWH107" s="38"/>
      <c r="QWI107" s="38"/>
      <c r="QWO107" s="36"/>
      <c r="QWP107" s="38"/>
      <c r="QWQ107" s="38"/>
      <c r="QWW107" s="36"/>
      <c r="QWX107" s="38"/>
      <c r="QWY107" s="38"/>
      <c r="QXE107" s="36"/>
      <c r="QXF107" s="38"/>
      <c r="QXG107" s="38"/>
      <c r="QXM107" s="36"/>
      <c r="QXN107" s="38"/>
      <c r="QXO107" s="38"/>
      <c r="QXU107" s="36"/>
      <c r="QXV107" s="38"/>
      <c r="QXW107" s="38"/>
      <c r="QYC107" s="36"/>
      <c r="QYD107" s="38"/>
      <c r="QYE107" s="38"/>
      <c r="QYK107" s="36"/>
      <c r="QYL107" s="38"/>
      <c r="QYM107" s="38"/>
      <c r="QYS107" s="36"/>
      <c r="QYT107" s="38"/>
      <c r="QYU107" s="38"/>
      <c r="QZA107" s="36"/>
      <c r="QZB107" s="38"/>
      <c r="QZC107" s="38"/>
      <c r="QZI107" s="36"/>
      <c r="QZJ107" s="38"/>
      <c r="QZK107" s="38"/>
      <c r="QZQ107" s="36"/>
      <c r="QZR107" s="38"/>
      <c r="QZS107" s="38"/>
      <c r="QZY107" s="36"/>
      <c r="QZZ107" s="38"/>
      <c r="RAA107" s="38"/>
      <c r="RAG107" s="36"/>
      <c r="RAH107" s="38"/>
      <c r="RAI107" s="38"/>
      <c r="RAO107" s="36"/>
      <c r="RAP107" s="38"/>
      <c r="RAQ107" s="38"/>
      <c r="RAW107" s="36"/>
      <c r="RAX107" s="38"/>
      <c r="RAY107" s="38"/>
      <c r="RBE107" s="36"/>
      <c r="RBF107" s="38"/>
      <c r="RBG107" s="38"/>
      <c r="RBM107" s="36"/>
      <c r="RBN107" s="38"/>
      <c r="RBO107" s="38"/>
      <c r="RBU107" s="36"/>
      <c r="RBV107" s="38"/>
      <c r="RBW107" s="38"/>
      <c r="RCC107" s="36"/>
      <c r="RCD107" s="38"/>
      <c r="RCE107" s="38"/>
      <c r="RCK107" s="36"/>
      <c r="RCL107" s="38"/>
      <c r="RCM107" s="38"/>
      <c r="RCS107" s="36"/>
      <c r="RCT107" s="38"/>
      <c r="RCU107" s="38"/>
      <c r="RDA107" s="36"/>
      <c r="RDB107" s="38"/>
      <c r="RDC107" s="38"/>
      <c r="RDI107" s="36"/>
      <c r="RDJ107" s="38"/>
      <c r="RDK107" s="38"/>
      <c r="RDQ107" s="36"/>
      <c r="RDR107" s="38"/>
      <c r="RDS107" s="38"/>
      <c r="RDY107" s="36"/>
      <c r="RDZ107" s="38"/>
      <c r="REA107" s="38"/>
      <c r="REG107" s="36"/>
      <c r="REH107" s="38"/>
      <c r="REI107" s="38"/>
      <c r="REO107" s="36"/>
      <c r="REP107" s="38"/>
      <c r="REQ107" s="38"/>
      <c r="REW107" s="36"/>
      <c r="REX107" s="38"/>
      <c r="REY107" s="38"/>
      <c r="RFE107" s="36"/>
      <c r="RFF107" s="38"/>
      <c r="RFG107" s="38"/>
      <c r="RFM107" s="36"/>
      <c r="RFN107" s="38"/>
      <c r="RFO107" s="38"/>
      <c r="RFU107" s="36"/>
      <c r="RFV107" s="38"/>
      <c r="RFW107" s="38"/>
      <c r="RGC107" s="36"/>
      <c r="RGD107" s="38"/>
      <c r="RGE107" s="38"/>
      <c r="RGK107" s="36"/>
      <c r="RGL107" s="38"/>
      <c r="RGM107" s="38"/>
      <c r="RGS107" s="36"/>
      <c r="RGT107" s="38"/>
      <c r="RGU107" s="38"/>
      <c r="RHA107" s="36"/>
      <c r="RHB107" s="38"/>
      <c r="RHC107" s="38"/>
      <c r="RHI107" s="36"/>
      <c r="RHJ107" s="38"/>
      <c r="RHK107" s="38"/>
      <c r="RHQ107" s="36"/>
      <c r="RHR107" s="38"/>
      <c r="RHS107" s="38"/>
      <c r="RHY107" s="36"/>
      <c r="RHZ107" s="38"/>
      <c r="RIA107" s="38"/>
      <c r="RIG107" s="36"/>
      <c r="RIH107" s="38"/>
      <c r="RII107" s="38"/>
      <c r="RIO107" s="36"/>
      <c r="RIP107" s="38"/>
      <c r="RIQ107" s="38"/>
      <c r="RIW107" s="36"/>
      <c r="RIX107" s="38"/>
      <c r="RIY107" s="38"/>
      <c r="RJE107" s="36"/>
      <c r="RJF107" s="38"/>
      <c r="RJG107" s="38"/>
      <c r="RJM107" s="36"/>
      <c r="RJN107" s="38"/>
      <c r="RJO107" s="38"/>
      <c r="RJU107" s="36"/>
      <c r="RJV107" s="38"/>
      <c r="RJW107" s="38"/>
      <c r="RKC107" s="36"/>
      <c r="RKD107" s="38"/>
      <c r="RKE107" s="38"/>
      <c r="RKK107" s="36"/>
      <c r="RKL107" s="38"/>
      <c r="RKM107" s="38"/>
      <c r="RKS107" s="36"/>
      <c r="RKT107" s="38"/>
      <c r="RKU107" s="38"/>
      <c r="RLA107" s="36"/>
      <c r="RLB107" s="38"/>
      <c r="RLC107" s="38"/>
      <c r="RLI107" s="36"/>
      <c r="RLJ107" s="38"/>
      <c r="RLK107" s="38"/>
      <c r="RLQ107" s="36"/>
      <c r="RLR107" s="38"/>
      <c r="RLS107" s="38"/>
      <c r="RLY107" s="36"/>
      <c r="RLZ107" s="38"/>
      <c r="RMA107" s="38"/>
      <c r="RMG107" s="36"/>
      <c r="RMH107" s="38"/>
      <c r="RMI107" s="38"/>
      <c r="RMO107" s="36"/>
      <c r="RMP107" s="38"/>
      <c r="RMQ107" s="38"/>
      <c r="RMW107" s="36"/>
      <c r="RMX107" s="38"/>
      <c r="RMY107" s="38"/>
      <c r="RNE107" s="36"/>
      <c r="RNF107" s="38"/>
      <c r="RNG107" s="38"/>
      <c r="RNM107" s="36"/>
      <c r="RNN107" s="38"/>
      <c r="RNO107" s="38"/>
      <c r="RNU107" s="36"/>
      <c r="RNV107" s="38"/>
      <c r="RNW107" s="38"/>
      <c r="ROC107" s="36"/>
      <c r="ROD107" s="38"/>
      <c r="ROE107" s="38"/>
      <c r="ROK107" s="36"/>
      <c r="ROL107" s="38"/>
      <c r="ROM107" s="38"/>
      <c r="ROS107" s="36"/>
      <c r="ROT107" s="38"/>
      <c r="ROU107" s="38"/>
      <c r="RPA107" s="36"/>
      <c r="RPB107" s="38"/>
      <c r="RPC107" s="38"/>
      <c r="RPI107" s="36"/>
      <c r="RPJ107" s="38"/>
      <c r="RPK107" s="38"/>
      <c r="RPQ107" s="36"/>
      <c r="RPR107" s="38"/>
      <c r="RPS107" s="38"/>
      <c r="RPY107" s="36"/>
      <c r="RPZ107" s="38"/>
      <c r="RQA107" s="38"/>
      <c r="RQG107" s="36"/>
      <c r="RQH107" s="38"/>
      <c r="RQI107" s="38"/>
      <c r="RQO107" s="36"/>
      <c r="RQP107" s="38"/>
      <c r="RQQ107" s="38"/>
      <c r="RQW107" s="36"/>
      <c r="RQX107" s="38"/>
      <c r="RQY107" s="38"/>
      <c r="RRE107" s="36"/>
      <c r="RRF107" s="38"/>
      <c r="RRG107" s="38"/>
      <c r="RRM107" s="36"/>
      <c r="RRN107" s="38"/>
      <c r="RRO107" s="38"/>
      <c r="RRU107" s="36"/>
      <c r="RRV107" s="38"/>
      <c r="RRW107" s="38"/>
      <c r="RSC107" s="36"/>
      <c r="RSD107" s="38"/>
      <c r="RSE107" s="38"/>
      <c r="RSK107" s="36"/>
      <c r="RSL107" s="38"/>
      <c r="RSM107" s="38"/>
      <c r="RSS107" s="36"/>
      <c r="RST107" s="38"/>
      <c r="RSU107" s="38"/>
      <c r="RTA107" s="36"/>
      <c r="RTB107" s="38"/>
      <c r="RTC107" s="38"/>
      <c r="RTI107" s="36"/>
      <c r="RTJ107" s="38"/>
      <c r="RTK107" s="38"/>
      <c r="RTQ107" s="36"/>
      <c r="RTR107" s="38"/>
      <c r="RTS107" s="38"/>
      <c r="RTY107" s="36"/>
      <c r="RTZ107" s="38"/>
      <c r="RUA107" s="38"/>
      <c r="RUG107" s="36"/>
      <c r="RUH107" s="38"/>
      <c r="RUI107" s="38"/>
      <c r="RUO107" s="36"/>
      <c r="RUP107" s="38"/>
      <c r="RUQ107" s="38"/>
      <c r="RUW107" s="36"/>
      <c r="RUX107" s="38"/>
      <c r="RUY107" s="38"/>
      <c r="RVE107" s="36"/>
      <c r="RVF107" s="38"/>
      <c r="RVG107" s="38"/>
      <c r="RVM107" s="36"/>
      <c r="RVN107" s="38"/>
      <c r="RVO107" s="38"/>
      <c r="RVU107" s="36"/>
      <c r="RVV107" s="38"/>
      <c r="RVW107" s="38"/>
      <c r="RWC107" s="36"/>
      <c r="RWD107" s="38"/>
      <c r="RWE107" s="38"/>
      <c r="RWK107" s="36"/>
      <c r="RWL107" s="38"/>
      <c r="RWM107" s="38"/>
      <c r="RWS107" s="36"/>
      <c r="RWT107" s="38"/>
      <c r="RWU107" s="38"/>
      <c r="RXA107" s="36"/>
      <c r="RXB107" s="38"/>
      <c r="RXC107" s="38"/>
      <c r="RXI107" s="36"/>
      <c r="RXJ107" s="38"/>
      <c r="RXK107" s="38"/>
      <c r="RXQ107" s="36"/>
      <c r="RXR107" s="38"/>
      <c r="RXS107" s="38"/>
      <c r="RXY107" s="36"/>
      <c r="RXZ107" s="38"/>
      <c r="RYA107" s="38"/>
      <c r="RYG107" s="36"/>
      <c r="RYH107" s="38"/>
      <c r="RYI107" s="38"/>
      <c r="RYO107" s="36"/>
      <c r="RYP107" s="38"/>
      <c r="RYQ107" s="38"/>
      <c r="RYW107" s="36"/>
      <c r="RYX107" s="38"/>
      <c r="RYY107" s="38"/>
      <c r="RZE107" s="36"/>
      <c r="RZF107" s="38"/>
      <c r="RZG107" s="38"/>
      <c r="RZM107" s="36"/>
      <c r="RZN107" s="38"/>
      <c r="RZO107" s="38"/>
      <c r="RZU107" s="36"/>
      <c r="RZV107" s="38"/>
      <c r="RZW107" s="38"/>
      <c r="SAC107" s="36"/>
      <c r="SAD107" s="38"/>
      <c r="SAE107" s="38"/>
      <c r="SAK107" s="36"/>
      <c r="SAL107" s="38"/>
      <c r="SAM107" s="38"/>
      <c r="SAS107" s="36"/>
      <c r="SAT107" s="38"/>
      <c r="SAU107" s="38"/>
      <c r="SBA107" s="36"/>
      <c r="SBB107" s="38"/>
      <c r="SBC107" s="38"/>
      <c r="SBI107" s="36"/>
      <c r="SBJ107" s="38"/>
      <c r="SBK107" s="38"/>
      <c r="SBQ107" s="36"/>
      <c r="SBR107" s="38"/>
      <c r="SBS107" s="38"/>
      <c r="SBY107" s="36"/>
      <c r="SBZ107" s="38"/>
      <c r="SCA107" s="38"/>
      <c r="SCG107" s="36"/>
      <c r="SCH107" s="38"/>
      <c r="SCI107" s="38"/>
      <c r="SCO107" s="36"/>
      <c r="SCP107" s="38"/>
      <c r="SCQ107" s="38"/>
      <c r="SCW107" s="36"/>
      <c r="SCX107" s="38"/>
      <c r="SCY107" s="38"/>
      <c r="SDE107" s="36"/>
      <c r="SDF107" s="38"/>
      <c r="SDG107" s="38"/>
      <c r="SDM107" s="36"/>
      <c r="SDN107" s="38"/>
      <c r="SDO107" s="38"/>
      <c r="SDU107" s="36"/>
      <c r="SDV107" s="38"/>
      <c r="SDW107" s="38"/>
      <c r="SEC107" s="36"/>
      <c r="SED107" s="38"/>
      <c r="SEE107" s="38"/>
      <c r="SEK107" s="36"/>
      <c r="SEL107" s="38"/>
      <c r="SEM107" s="38"/>
      <c r="SES107" s="36"/>
      <c r="SET107" s="38"/>
      <c r="SEU107" s="38"/>
      <c r="SFA107" s="36"/>
      <c r="SFB107" s="38"/>
      <c r="SFC107" s="38"/>
      <c r="SFI107" s="36"/>
      <c r="SFJ107" s="38"/>
      <c r="SFK107" s="38"/>
      <c r="SFQ107" s="36"/>
      <c r="SFR107" s="38"/>
      <c r="SFS107" s="38"/>
      <c r="SFY107" s="36"/>
      <c r="SFZ107" s="38"/>
      <c r="SGA107" s="38"/>
      <c r="SGG107" s="36"/>
      <c r="SGH107" s="38"/>
      <c r="SGI107" s="38"/>
      <c r="SGO107" s="36"/>
      <c r="SGP107" s="38"/>
      <c r="SGQ107" s="38"/>
      <c r="SGW107" s="36"/>
      <c r="SGX107" s="38"/>
      <c r="SGY107" s="38"/>
      <c r="SHE107" s="36"/>
      <c r="SHF107" s="38"/>
      <c r="SHG107" s="38"/>
      <c r="SHM107" s="36"/>
      <c r="SHN107" s="38"/>
      <c r="SHO107" s="38"/>
      <c r="SHU107" s="36"/>
      <c r="SHV107" s="38"/>
      <c r="SHW107" s="38"/>
      <c r="SIC107" s="36"/>
      <c r="SID107" s="38"/>
      <c r="SIE107" s="38"/>
      <c r="SIK107" s="36"/>
      <c r="SIL107" s="38"/>
      <c r="SIM107" s="38"/>
      <c r="SIS107" s="36"/>
      <c r="SIT107" s="38"/>
      <c r="SIU107" s="38"/>
      <c r="SJA107" s="36"/>
      <c r="SJB107" s="38"/>
      <c r="SJC107" s="38"/>
      <c r="SJI107" s="36"/>
      <c r="SJJ107" s="38"/>
      <c r="SJK107" s="38"/>
      <c r="SJQ107" s="36"/>
      <c r="SJR107" s="38"/>
      <c r="SJS107" s="38"/>
      <c r="SJY107" s="36"/>
      <c r="SJZ107" s="38"/>
      <c r="SKA107" s="38"/>
      <c r="SKG107" s="36"/>
      <c r="SKH107" s="38"/>
      <c r="SKI107" s="38"/>
      <c r="SKO107" s="36"/>
      <c r="SKP107" s="38"/>
      <c r="SKQ107" s="38"/>
      <c r="SKW107" s="36"/>
      <c r="SKX107" s="38"/>
      <c r="SKY107" s="38"/>
      <c r="SLE107" s="36"/>
      <c r="SLF107" s="38"/>
      <c r="SLG107" s="38"/>
      <c r="SLM107" s="36"/>
      <c r="SLN107" s="38"/>
      <c r="SLO107" s="38"/>
      <c r="SLU107" s="36"/>
      <c r="SLV107" s="38"/>
      <c r="SLW107" s="38"/>
      <c r="SMC107" s="36"/>
      <c r="SMD107" s="38"/>
      <c r="SME107" s="38"/>
      <c r="SMK107" s="36"/>
      <c r="SML107" s="38"/>
      <c r="SMM107" s="38"/>
      <c r="SMS107" s="36"/>
      <c r="SMT107" s="38"/>
      <c r="SMU107" s="38"/>
      <c r="SNA107" s="36"/>
      <c r="SNB107" s="38"/>
      <c r="SNC107" s="38"/>
      <c r="SNI107" s="36"/>
      <c r="SNJ107" s="38"/>
      <c r="SNK107" s="38"/>
      <c r="SNQ107" s="36"/>
      <c r="SNR107" s="38"/>
      <c r="SNS107" s="38"/>
      <c r="SNY107" s="36"/>
      <c r="SNZ107" s="38"/>
      <c r="SOA107" s="38"/>
      <c r="SOG107" s="36"/>
      <c r="SOH107" s="38"/>
      <c r="SOI107" s="38"/>
      <c r="SOO107" s="36"/>
      <c r="SOP107" s="38"/>
      <c r="SOQ107" s="38"/>
      <c r="SOW107" s="36"/>
      <c r="SOX107" s="38"/>
      <c r="SOY107" s="38"/>
      <c r="SPE107" s="36"/>
      <c r="SPF107" s="38"/>
      <c r="SPG107" s="38"/>
      <c r="SPM107" s="36"/>
      <c r="SPN107" s="38"/>
      <c r="SPO107" s="38"/>
      <c r="SPU107" s="36"/>
      <c r="SPV107" s="38"/>
      <c r="SPW107" s="38"/>
      <c r="SQC107" s="36"/>
      <c r="SQD107" s="38"/>
      <c r="SQE107" s="38"/>
      <c r="SQK107" s="36"/>
      <c r="SQL107" s="38"/>
      <c r="SQM107" s="38"/>
      <c r="SQS107" s="36"/>
      <c r="SQT107" s="38"/>
      <c r="SQU107" s="38"/>
      <c r="SRA107" s="36"/>
      <c r="SRB107" s="38"/>
      <c r="SRC107" s="38"/>
      <c r="SRI107" s="36"/>
      <c r="SRJ107" s="38"/>
      <c r="SRK107" s="38"/>
      <c r="SRQ107" s="36"/>
      <c r="SRR107" s="38"/>
      <c r="SRS107" s="38"/>
      <c r="SRY107" s="36"/>
      <c r="SRZ107" s="38"/>
      <c r="SSA107" s="38"/>
      <c r="SSG107" s="36"/>
      <c r="SSH107" s="38"/>
      <c r="SSI107" s="38"/>
      <c r="SSO107" s="36"/>
      <c r="SSP107" s="38"/>
      <c r="SSQ107" s="38"/>
      <c r="SSW107" s="36"/>
      <c r="SSX107" s="38"/>
      <c r="SSY107" s="38"/>
      <c r="STE107" s="36"/>
      <c r="STF107" s="38"/>
      <c r="STG107" s="38"/>
      <c r="STM107" s="36"/>
      <c r="STN107" s="38"/>
      <c r="STO107" s="38"/>
      <c r="STU107" s="36"/>
      <c r="STV107" s="38"/>
      <c r="STW107" s="38"/>
      <c r="SUC107" s="36"/>
      <c r="SUD107" s="38"/>
      <c r="SUE107" s="38"/>
      <c r="SUK107" s="36"/>
      <c r="SUL107" s="38"/>
      <c r="SUM107" s="38"/>
      <c r="SUS107" s="36"/>
      <c r="SUT107" s="38"/>
      <c r="SUU107" s="38"/>
      <c r="SVA107" s="36"/>
      <c r="SVB107" s="38"/>
      <c r="SVC107" s="38"/>
      <c r="SVI107" s="36"/>
      <c r="SVJ107" s="38"/>
      <c r="SVK107" s="38"/>
      <c r="SVQ107" s="36"/>
      <c r="SVR107" s="38"/>
      <c r="SVS107" s="38"/>
      <c r="SVY107" s="36"/>
      <c r="SVZ107" s="38"/>
      <c r="SWA107" s="38"/>
      <c r="SWG107" s="36"/>
      <c r="SWH107" s="38"/>
      <c r="SWI107" s="38"/>
      <c r="SWO107" s="36"/>
      <c r="SWP107" s="38"/>
      <c r="SWQ107" s="38"/>
      <c r="SWW107" s="36"/>
      <c r="SWX107" s="38"/>
      <c r="SWY107" s="38"/>
      <c r="SXE107" s="36"/>
      <c r="SXF107" s="38"/>
      <c r="SXG107" s="38"/>
      <c r="SXM107" s="36"/>
      <c r="SXN107" s="38"/>
      <c r="SXO107" s="38"/>
      <c r="SXU107" s="36"/>
      <c r="SXV107" s="38"/>
      <c r="SXW107" s="38"/>
      <c r="SYC107" s="36"/>
      <c r="SYD107" s="38"/>
      <c r="SYE107" s="38"/>
      <c r="SYK107" s="36"/>
      <c r="SYL107" s="38"/>
      <c r="SYM107" s="38"/>
      <c r="SYS107" s="36"/>
      <c r="SYT107" s="38"/>
      <c r="SYU107" s="38"/>
      <c r="SZA107" s="36"/>
      <c r="SZB107" s="38"/>
      <c r="SZC107" s="38"/>
      <c r="SZI107" s="36"/>
      <c r="SZJ107" s="38"/>
      <c r="SZK107" s="38"/>
      <c r="SZQ107" s="36"/>
      <c r="SZR107" s="38"/>
      <c r="SZS107" s="38"/>
      <c r="SZY107" s="36"/>
      <c r="SZZ107" s="38"/>
      <c r="TAA107" s="38"/>
      <c r="TAG107" s="36"/>
      <c r="TAH107" s="38"/>
      <c r="TAI107" s="38"/>
      <c r="TAO107" s="36"/>
      <c r="TAP107" s="38"/>
      <c r="TAQ107" s="38"/>
      <c r="TAW107" s="36"/>
      <c r="TAX107" s="38"/>
      <c r="TAY107" s="38"/>
      <c r="TBE107" s="36"/>
      <c r="TBF107" s="38"/>
      <c r="TBG107" s="38"/>
      <c r="TBM107" s="36"/>
      <c r="TBN107" s="38"/>
      <c r="TBO107" s="38"/>
      <c r="TBU107" s="36"/>
      <c r="TBV107" s="38"/>
      <c r="TBW107" s="38"/>
      <c r="TCC107" s="36"/>
      <c r="TCD107" s="38"/>
      <c r="TCE107" s="38"/>
      <c r="TCK107" s="36"/>
      <c r="TCL107" s="38"/>
      <c r="TCM107" s="38"/>
      <c r="TCS107" s="36"/>
      <c r="TCT107" s="38"/>
      <c r="TCU107" s="38"/>
      <c r="TDA107" s="36"/>
      <c r="TDB107" s="38"/>
      <c r="TDC107" s="38"/>
      <c r="TDI107" s="36"/>
      <c r="TDJ107" s="38"/>
      <c r="TDK107" s="38"/>
      <c r="TDQ107" s="36"/>
      <c r="TDR107" s="38"/>
      <c r="TDS107" s="38"/>
      <c r="TDY107" s="36"/>
      <c r="TDZ107" s="38"/>
      <c r="TEA107" s="38"/>
      <c r="TEG107" s="36"/>
      <c r="TEH107" s="38"/>
      <c r="TEI107" s="38"/>
      <c r="TEO107" s="36"/>
      <c r="TEP107" s="38"/>
      <c r="TEQ107" s="38"/>
      <c r="TEW107" s="36"/>
      <c r="TEX107" s="38"/>
      <c r="TEY107" s="38"/>
      <c r="TFE107" s="36"/>
      <c r="TFF107" s="38"/>
      <c r="TFG107" s="38"/>
      <c r="TFM107" s="36"/>
      <c r="TFN107" s="38"/>
      <c r="TFO107" s="38"/>
      <c r="TFU107" s="36"/>
      <c r="TFV107" s="38"/>
      <c r="TFW107" s="38"/>
      <c r="TGC107" s="36"/>
      <c r="TGD107" s="38"/>
      <c r="TGE107" s="38"/>
      <c r="TGK107" s="36"/>
      <c r="TGL107" s="38"/>
      <c r="TGM107" s="38"/>
      <c r="TGS107" s="36"/>
      <c r="TGT107" s="38"/>
      <c r="TGU107" s="38"/>
      <c r="THA107" s="36"/>
      <c r="THB107" s="38"/>
      <c r="THC107" s="38"/>
      <c r="THI107" s="36"/>
      <c r="THJ107" s="38"/>
      <c r="THK107" s="38"/>
      <c r="THQ107" s="36"/>
      <c r="THR107" s="38"/>
      <c r="THS107" s="38"/>
      <c r="THY107" s="36"/>
      <c r="THZ107" s="38"/>
      <c r="TIA107" s="38"/>
      <c r="TIG107" s="36"/>
      <c r="TIH107" s="38"/>
      <c r="TII107" s="38"/>
      <c r="TIO107" s="36"/>
      <c r="TIP107" s="38"/>
      <c r="TIQ107" s="38"/>
      <c r="TIW107" s="36"/>
      <c r="TIX107" s="38"/>
      <c r="TIY107" s="38"/>
      <c r="TJE107" s="36"/>
      <c r="TJF107" s="38"/>
      <c r="TJG107" s="38"/>
      <c r="TJM107" s="36"/>
      <c r="TJN107" s="38"/>
      <c r="TJO107" s="38"/>
      <c r="TJU107" s="36"/>
      <c r="TJV107" s="38"/>
      <c r="TJW107" s="38"/>
      <c r="TKC107" s="36"/>
      <c r="TKD107" s="38"/>
      <c r="TKE107" s="38"/>
      <c r="TKK107" s="36"/>
      <c r="TKL107" s="38"/>
      <c r="TKM107" s="38"/>
      <c r="TKS107" s="36"/>
      <c r="TKT107" s="38"/>
      <c r="TKU107" s="38"/>
      <c r="TLA107" s="36"/>
      <c r="TLB107" s="38"/>
      <c r="TLC107" s="38"/>
      <c r="TLI107" s="36"/>
      <c r="TLJ107" s="38"/>
      <c r="TLK107" s="38"/>
      <c r="TLQ107" s="36"/>
      <c r="TLR107" s="38"/>
      <c r="TLS107" s="38"/>
      <c r="TLY107" s="36"/>
      <c r="TLZ107" s="38"/>
      <c r="TMA107" s="38"/>
      <c r="TMG107" s="36"/>
      <c r="TMH107" s="38"/>
      <c r="TMI107" s="38"/>
      <c r="TMO107" s="36"/>
      <c r="TMP107" s="38"/>
      <c r="TMQ107" s="38"/>
      <c r="TMW107" s="36"/>
      <c r="TMX107" s="38"/>
      <c r="TMY107" s="38"/>
      <c r="TNE107" s="36"/>
      <c r="TNF107" s="38"/>
      <c r="TNG107" s="38"/>
      <c r="TNM107" s="36"/>
      <c r="TNN107" s="38"/>
      <c r="TNO107" s="38"/>
      <c r="TNU107" s="36"/>
      <c r="TNV107" s="38"/>
      <c r="TNW107" s="38"/>
      <c r="TOC107" s="36"/>
      <c r="TOD107" s="38"/>
      <c r="TOE107" s="38"/>
      <c r="TOK107" s="36"/>
      <c r="TOL107" s="38"/>
      <c r="TOM107" s="38"/>
      <c r="TOS107" s="36"/>
      <c r="TOT107" s="38"/>
      <c r="TOU107" s="38"/>
      <c r="TPA107" s="36"/>
      <c r="TPB107" s="38"/>
      <c r="TPC107" s="38"/>
      <c r="TPI107" s="36"/>
      <c r="TPJ107" s="38"/>
      <c r="TPK107" s="38"/>
      <c r="TPQ107" s="36"/>
      <c r="TPR107" s="38"/>
      <c r="TPS107" s="38"/>
      <c r="TPY107" s="36"/>
      <c r="TPZ107" s="38"/>
      <c r="TQA107" s="38"/>
      <c r="TQG107" s="36"/>
      <c r="TQH107" s="38"/>
      <c r="TQI107" s="38"/>
      <c r="TQO107" s="36"/>
      <c r="TQP107" s="38"/>
      <c r="TQQ107" s="38"/>
      <c r="TQW107" s="36"/>
      <c r="TQX107" s="38"/>
      <c r="TQY107" s="38"/>
      <c r="TRE107" s="36"/>
      <c r="TRF107" s="38"/>
      <c r="TRG107" s="38"/>
      <c r="TRM107" s="36"/>
      <c r="TRN107" s="38"/>
      <c r="TRO107" s="38"/>
      <c r="TRU107" s="36"/>
      <c r="TRV107" s="38"/>
      <c r="TRW107" s="38"/>
      <c r="TSC107" s="36"/>
      <c r="TSD107" s="38"/>
      <c r="TSE107" s="38"/>
      <c r="TSK107" s="36"/>
      <c r="TSL107" s="38"/>
      <c r="TSM107" s="38"/>
      <c r="TSS107" s="36"/>
      <c r="TST107" s="38"/>
      <c r="TSU107" s="38"/>
      <c r="TTA107" s="36"/>
      <c r="TTB107" s="38"/>
      <c r="TTC107" s="38"/>
      <c r="TTI107" s="36"/>
      <c r="TTJ107" s="38"/>
      <c r="TTK107" s="38"/>
      <c r="TTQ107" s="36"/>
      <c r="TTR107" s="38"/>
      <c r="TTS107" s="38"/>
      <c r="TTY107" s="36"/>
      <c r="TTZ107" s="38"/>
      <c r="TUA107" s="38"/>
      <c r="TUG107" s="36"/>
      <c r="TUH107" s="38"/>
      <c r="TUI107" s="38"/>
      <c r="TUO107" s="36"/>
      <c r="TUP107" s="38"/>
      <c r="TUQ107" s="38"/>
      <c r="TUW107" s="36"/>
      <c r="TUX107" s="38"/>
      <c r="TUY107" s="38"/>
      <c r="TVE107" s="36"/>
      <c r="TVF107" s="38"/>
      <c r="TVG107" s="38"/>
      <c r="TVM107" s="36"/>
      <c r="TVN107" s="38"/>
      <c r="TVO107" s="38"/>
      <c r="TVU107" s="36"/>
      <c r="TVV107" s="38"/>
      <c r="TVW107" s="38"/>
      <c r="TWC107" s="36"/>
      <c r="TWD107" s="38"/>
      <c r="TWE107" s="38"/>
      <c r="TWK107" s="36"/>
      <c r="TWL107" s="38"/>
      <c r="TWM107" s="38"/>
      <c r="TWS107" s="36"/>
      <c r="TWT107" s="38"/>
      <c r="TWU107" s="38"/>
      <c r="TXA107" s="36"/>
      <c r="TXB107" s="38"/>
      <c r="TXC107" s="38"/>
      <c r="TXI107" s="36"/>
      <c r="TXJ107" s="38"/>
      <c r="TXK107" s="38"/>
      <c r="TXQ107" s="36"/>
      <c r="TXR107" s="38"/>
      <c r="TXS107" s="38"/>
      <c r="TXY107" s="36"/>
      <c r="TXZ107" s="38"/>
      <c r="TYA107" s="38"/>
      <c r="TYG107" s="36"/>
      <c r="TYH107" s="38"/>
      <c r="TYI107" s="38"/>
      <c r="TYO107" s="36"/>
      <c r="TYP107" s="38"/>
      <c r="TYQ107" s="38"/>
      <c r="TYW107" s="36"/>
      <c r="TYX107" s="38"/>
      <c r="TYY107" s="38"/>
      <c r="TZE107" s="36"/>
      <c r="TZF107" s="38"/>
      <c r="TZG107" s="38"/>
      <c r="TZM107" s="36"/>
      <c r="TZN107" s="38"/>
      <c r="TZO107" s="38"/>
      <c r="TZU107" s="36"/>
      <c r="TZV107" s="38"/>
      <c r="TZW107" s="38"/>
      <c r="UAC107" s="36"/>
      <c r="UAD107" s="38"/>
      <c r="UAE107" s="38"/>
      <c r="UAK107" s="36"/>
      <c r="UAL107" s="38"/>
      <c r="UAM107" s="38"/>
      <c r="UAS107" s="36"/>
      <c r="UAT107" s="38"/>
      <c r="UAU107" s="38"/>
      <c r="UBA107" s="36"/>
      <c r="UBB107" s="38"/>
      <c r="UBC107" s="38"/>
      <c r="UBI107" s="36"/>
      <c r="UBJ107" s="38"/>
      <c r="UBK107" s="38"/>
      <c r="UBQ107" s="36"/>
      <c r="UBR107" s="38"/>
      <c r="UBS107" s="38"/>
      <c r="UBY107" s="36"/>
      <c r="UBZ107" s="38"/>
      <c r="UCA107" s="38"/>
      <c r="UCG107" s="36"/>
      <c r="UCH107" s="38"/>
      <c r="UCI107" s="38"/>
      <c r="UCO107" s="36"/>
      <c r="UCP107" s="38"/>
      <c r="UCQ107" s="38"/>
      <c r="UCW107" s="36"/>
      <c r="UCX107" s="38"/>
      <c r="UCY107" s="38"/>
      <c r="UDE107" s="36"/>
      <c r="UDF107" s="38"/>
      <c r="UDG107" s="38"/>
      <c r="UDM107" s="36"/>
      <c r="UDN107" s="38"/>
      <c r="UDO107" s="38"/>
      <c r="UDU107" s="36"/>
      <c r="UDV107" s="38"/>
      <c r="UDW107" s="38"/>
      <c r="UEC107" s="36"/>
      <c r="UED107" s="38"/>
      <c r="UEE107" s="38"/>
      <c r="UEK107" s="36"/>
      <c r="UEL107" s="38"/>
      <c r="UEM107" s="38"/>
      <c r="UES107" s="36"/>
      <c r="UET107" s="38"/>
      <c r="UEU107" s="38"/>
      <c r="UFA107" s="36"/>
      <c r="UFB107" s="38"/>
      <c r="UFC107" s="38"/>
      <c r="UFI107" s="36"/>
      <c r="UFJ107" s="38"/>
      <c r="UFK107" s="38"/>
      <c r="UFQ107" s="36"/>
      <c r="UFR107" s="38"/>
      <c r="UFS107" s="38"/>
      <c r="UFY107" s="36"/>
      <c r="UFZ107" s="38"/>
      <c r="UGA107" s="38"/>
      <c r="UGG107" s="36"/>
      <c r="UGH107" s="38"/>
      <c r="UGI107" s="38"/>
      <c r="UGO107" s="36"/>
      <c r="UGP107" s="38"/>
      <c r="UGQ107" s="38"/>
      <c r="UGW107" s="36"/>
      <c r="UGX107" s="38"/>
      <c r="UGY107" s="38"/>
      <c r="UHE107" s="36"/>
      <c r="UHF107" s="38"/>
      <c r="UHG107" s="38"/>
      <c r="UHM107" s="36"/>
      <c r="UHN107" s="38"/>
      <c r="UHO107" s="38"/>
      <c r="UHU107" s="36"/>
      <c r="UHV107" s="38"/>
      <c r="UHW107" s="38"/>
      <c r="UIC107" s="36"/>
      <c r="UID107" s="38"/>
      <c r="UIE107" s="38"/>
      <c r="UIK107" s="36"/>
      <c r="UIL107" s="38"/>
      <c r="UIM107" s="38"/>
      <c r="UIS107" s="36"/>
      <c r="UIT107" s="38"/>
      <c r="UIU107" s="38"/>
      <c r="UJA107" s="36"/>
      <c r="UJB107" s="38"/>
      <c r="UJC107" s="38"/>
      <c r="UJI107" s="36"/>
      <c r="UJJ107" s="38"/>
      <c r="UJK107" s="38"/>
      <c r="UJQ107" s="36"/>
      <c r="UJR107" s="38"/>
      <c r="UJS107" s="38"/>
      <c r="UJY107" s="36"/>
      <c r="UJZ107" s="38"/>
      <c r="UKA107" s="38"/>
      <c r="UKG107" s="36"/>
      <c r="UKH107" s="38"/>
      <c r="UKI107" s="38"/>
      <c r="UKO107" s="36"/>
      <c r="UKP107" s="38"/>
      <c r="UKQ107" s="38"/>
      <c r="UKW107" s="36"/>
      <c r="UKX107" s="38"/>
      <c r="UKY107" s="38"/>
      <c r="ULE107" s="36"/>
      <c r="ULF107" s="38"/>
      <c r="ULG107" s="38"/>
      <c r="ULM107" s="36"/>
      <c r="ULN107" s="38"/>
      <c r="ULO107" s="38"/>
      <c r="ULU107" s="36"/>
      <c r="ULV107" s="38"/>
      <c r="ULW107" s="38"/>
      <c r="UMC107" s="36"/>
      <c r="UMD107" s="38"/>
      <c r="UME107" s="38"/>
      <c r="UMK107" s="36"/>
      <c r="UML107" s="38"/>
      <c r="UMM107" s="38"/>
      <c r="UMS107" s="36"/>
      <c r="UMT107" s="38"/>
      <c r="UMU107" s="38"/>
      <c r="UNA107" s="36"/>
      <c r="UNB107" s="38"/>
      <c r="UNC107" s="38"/>
      <c r="UNI107" s="36"/>
      <c r="UNJ107" s="38"/>
      <c r="UNK107" s="38"/>
      <c r="UNQ107" s="36"/>
      <c r="UNR107" s="38"/>
      <c r="UNS107" s="38"/>
      <c r="UNY107" s="36"/>
      <c r="UNZ107" s="38"/>
      <c r="UOA107" s="38"/>
      <c r="UOG107" s="36"/>
      <c r="UOH107" s="38"/>
      <c r="UOI107" s="38"/>
      <c r="UOO107" s="36"/>
      <c r="UOP107" s="38"/>
      <c r="UOQ107" s="38"/>
      <c r="UOW107" s="36"/>
      <c r="UOX107" s="38"/>
      <c r="UOY107" s="38"/>
      <c r="UPE107" s="36"/>
      <c r="UPF107" s="38"/>
      <c r="UPG107" s="38"/>
      <c r="UPM107" s="36"/>
      <c r="UPN107" s="38"/>
      <c r="UPO107" s="38"/>
      <c r="UPU107" s="36"/>
      <c r="UPV107" s="38"/>
      <c r="UPW107" s="38"/>
      <c r="UQC107" s="36"/>
      <c r="UQD107" s="38"/>
      <c r="UQE107" s="38"/>
      <c r="UQK107" s="36"/>
      <c r="UQL107" s="38"/>
      <c r="UQM107" s="38"/>
      <c r="UQS107" s="36"/>
      <c r="UQT107" s="38"/>
      <c r="UQU107" s="38"/>
      <c r="URA107" s="36"/>
      <c r="URB107" s="38"/>
      <c r="URC107" s="38"/>
      <c r="URI107" s="36"/>
      <c r="URJ107" s="38"/>
      <c r="URK107" s="38"/>
      <c r="URQ107" s="36"/>
      <c r="URR107" s="38"/>
      <c r="URS107" s="38"/>
      <c r="URY107" s="36"/>
      <c r="URZ107" s="38"/>
      <c r="USA107" s="38"/>
      <c r="USG107" s="36"/>
      <c r="USH107" s="38"/>
      <c r="USI107" s="38"/>
      <c r="USO107" s="36"/>
      <c r="USP107" s="38"/>
      <c r="USQ107" s="38"/>
      <c r="USW107" s="36"/>
      <c r="USX107" s="38"/>
      <c r="USY107" s="38"/>
      <c r="UTE107" s="36"/>
      <c r="UTF107" s="38"/>
      <c r="UTG107" s="38"/>
      <c r="UTM107" s="36"/>
      <c r="UTN107" s="38"/>
      <c r="UTO107" s="38"/>
      <c r="UTU107" s="36"/>
      <c r="UTV107" s="38"/>
      <c r="UTW107" s="38"/>
      <c r="UUC107" s="36"/>
      <c r="UUD107" s="38"/>
      <c r="UUE107" s="38"/>
      <c r="UUK107" s="36"/>
      <c r="UUL107" s="38"/>
      <c r="UUM107" s="38"/>
      <c r="UUS107" s="36"/>
      <c r="UUT107" s="38"/>
      <c r="UUU107" s="38"/>
      <c r="UVA107" s="36"/>
      <c r="UVB107" s="38"/>
      <c r="UVC107" s="38"/>
      <c r="UVI107" s="36"/>
      <c r="UVJ107" s="38"/>
      <c r="UVK107" s="38"/>
      <c r="UVQ107" s="36"/>
      <c r="UVR107" s="38"/>
      <c r="UVS107" s="38"/>
      <c r="UVY107" s="36"/>
      <c r="UVZ107" s="38"/>
      <c r="UWA107" s="38"/>
      <c r="UWG107" s="36"/>
      <c r="UWH107" s="38"/>
      <c r="UWI107" s="38"/>
      <c r="UWO107" s="36"/>
      <c r="UWP107" s="38"/>
      <c r="UWQ107" s="38"/>
      <c r="UWW107" s="36"/>
      <c r="UWX107" s="38"/>
      <c r="UWY107" s="38"/>
      <c r="UXE107" s="36"/>
      <c r="UXF107" s="38"/>
      <c r="UXG107" s="38"/>
      <c r="UXM107" s="36"/>
      <c r="UXN107" s="38"/>
      <c r="UXO107" s="38"/>
      <c r="UXU107" s="36"/>
      <c r="UXV107" s="38"/>
      <c r="UXW107" s="38"/>
      <c r="UYC107" s="36"/>
      <c r="UYD107" s="38"/>
      <c r="UYE107" s="38"/>
      <c r="UYK107" s="36"/>
      <c r="UYL107" s="38"/>
      <c r="UYM107" s="38"/>
      <c r="UYS107" s="36"/>
      <c r="UYT107" s="38"/>
      <c r="UYU107" s="38"/>
      <c r="UZA107" s="36"/>
      <c r="UZB107" s="38"/>
      <c r="UZC107" s="38"/>
      <c r="UZI107" s="36"/>
      <c r="UZJ107" s="38"/>
      <c r="UZK107" s="38"/>
      <c r="UZQ107" s="36"/>
      <c r="UZR107" s="38"/>
      <c r="UZS107" s="38"/>
      <c r="UZY107" s="36"/>
      <c r="UZZ107" s="38"/>
      <c r="VAA107" s="38"/>
      <c r="VAG107" s="36"/>
      <c r="VAH107" s="38"/>
      <c r="VAI107" s="38"/>
      <c r="VAO107" s="36"/>
      <c r="VAP107" s="38"/>
      <c r="VAQ107" s="38"/>
      <c r="VAW107" s="36"/>
      <c r="VAX107" s="38"/>
      <c r="VAY107" s="38"/>
      <c r="VBE107" s="36"/>
      <c r="VBF107" s="38"/>
      <c r="VBG107" s="38"/>
      <c r="VBM107" s="36"/>
      <c r="VBN107" s="38"/>
      <c r="VBO107" s="38"/>
      <c r="VBU107" s="36"/>
      <c r="VBV107" s="38"/>
      <c r="VBW107" s="38"/>
      <c r="VCC107" s="36"/>
      <c r="VCD107" s="38"/>
      <c r="VCE107" s="38"/>
      <c r="VCK107" s="36"/>
      <c r="VCL107" s="38"/>
      <c r="VCM107" s="38"/>
      <c r="VCS107" s="36"/>
      <c r="VCT107" s="38"/>
      <c r="VCU107" s="38"/>
      <c r="VDA107" s="36"/>
      <c r="VDB107" s="38"/>
      <c r="VDC107" s="38"/>
      <c r="VDI107" s="36"/>
      <c r="VDJ107" s="38"/>
      <c r="VDK107" s="38"/>
      <c r="VDQ107" s="36"/>
      <c r="VDR107" s="38"/>
      <c r="VDS107" s="38"/>
      <c r="VDY107" s="36"/>
      <c r="VDZ107" s="38"/>
      <c r="VEA107" s="38"/>
      <c r="VEG107" s="36"/>
      <c r="VEH107" s="38"/>
      <c r="VEI107" s="38"/>
      <c r="VEO107" s="36"/>
      <c r="VEP107" s="38"/>
      <c r="VEQ107" s="38"/>
      <c r="VEW107" s="36"/>
      <c r="VEX107" s="38"/>
      <c r="VEY107" s="38"/>
      <c r="VFE107" s="36"/>
      <c r="VFF107" s="38"/>
      <c r="VFG107" s="38"/>
      <c r="VFM107" s="36"/>
      <c r="VFN107" s="38"/>
      <c r="VFO107" s="38"/>
      <c r="VFU107" s="36"/>
      <c r="VFV107" s="38"/>
      <c r="VFW107" s="38"/>
      <c r="VGC107" s="36"/>
      <c r="VGD107" s="38"/>
      <c r="VGE107" s="38"/>
      <c r="VGK107" s="36"/>
      <c r="VGL107" s="38"/>
      <c r="VGM107" s="38"/>
      <c r="VGS107" s="36"/>
      <c r="VGT107" s="38"/>
      <c r="VGU107" s="38"/>
      <c r="VHA107" s="36"/>
      <c r="VHB107" s="38"/>
      <c r="VHC107" s="38"/>
      <c r="VHI107" s="36"/>
      <c r="VHJ107" s="38"/>
      <c r="VHK107" s="38"/>
      <c r="VHQ107" s="36"/>
      <c r="VHR107" s="38"/>
      <c r="VHS107" s="38"/>
      <c r="VHY107" s="36"/>
      <c r="VHZ107" s="38"/>
      <c r="VIA107" s="38"/>
      <c r="VIG107" s="36"/>
      <c r="VIH107" s="38"/>
      <c r="VII107" s="38"/>
      <c r="VIO107" s="36"/>
      <c r="VIP107" s="38"/>
      <c r="VIQ107" s="38"/>
      <c r="VIW107" s="36"/>
      <c r="VIX107" s="38"/>
      <c r="VIY107" s="38"/>
      <c r="VJE107" s="36"/>
      <c r="VJF107" s="38"/>
      <c r="VJG107" s="38"/>
      <c r="VJM107" s="36"/>
      <c r="VJN107" s="38"/>
      <c r="VJO107" s="38"/>
      <c r="VJU107" s="36"/>
      <c r="VJV107" s="38"/>
      <c r="VJW107" s="38"/>
      <c r="VKC107" s="36"/>
      <c r="VKD107" s="38"/>
      <c r="VKE107" s="38"/>
      <c r="VKK107" s="36"/>
      <c r="VKL107" s="38"/>
      <c r="VKM107" s="38"/>
      <c r="VKS107" s="36"/>
      <c r="VKT107" s="38"/>
      <c r="VKU107" s="38"/>
      <c r="VLA107" s="36"/>
      <c r="VLB107" s="38"/>
      <c r="VLC107" s="38"/>
      <c r="VLI107" s="36"/>
      <c r="VLJ107" s="38"/>
      <c r="VLK107" s="38"/>
      <c r="VLQ107" s="36"/>
      <c r="VLR107" s="38"/>
      <c r="VLS107" s="38"/>
      <c r="VLY107" s="36"/>
      <c r="VLZ107" s="38"/>
      <c r="VMA107" s="38"/>
      <c r="VMG107" s="36"/>
      <c r="VMH107" s="38"/>
      <c r="VMI107" s="38"/>
      <c r="VMO107" s="36"/>
      <c r="VMP107" s="38"/>
      <c r="VMQ107" s="38"/>
      <c r="VMW107" s="36"/>
      <c r="VMX107" s="38"/>
      <c r="VMY107" s="38"/>
      <c r="VNE107" s="36"/>
      <c r="VNF107" s="38"/>
      <c r="VNG107" s="38"/>
      <c r="VNM107" s="36"/>
      <c r="VNN107" s="38"/>
      <c r="VNO107" s="38"/>
      <c r="VNU107" s="36"/>
      <c r="VNV107" s="38"/>
      <c r="VNW107" s="38"/>
      <c r="VOC107" s="36"/>
      <c r="VOD107" s="38"/>
      <c r="VOE107" s="38"/>
      <c r="VOK107" s="36"/>
      <c r="VOL107" s="38"/>
      <c r="VOM107" s="38"/>
      <c r="VOS107" s="36"/>
      <c r="VOT107" s="38"/>
      <c r="VOU107" s="38"/>
      <c r="VPA107" s="36"/>
      <c r="VPB107" s="38"/>
      <c r="VPC107" s="38"/>
      <c r="VPI107" s="36"/>
      <c r="VPJ107" s="38"/>
      <c r="VPK107" s="38"/>
      <c r="VPQ107" s="36"/>
      <c r="VPR107" s="38"/>
      <c r="VPS107" s="38"/>
      <c r="VPY107" s="36"/>
      <c r="VPZ107" s="38"/>
      <c r="VQA107" s="38"/>
      <c r="VQG107" s="36"/>
      <c r="VQH107" s="38"/>
      <c r="VQI107" s="38"/>
      <c r="VQO107" s="36"/>
      <c r="VQP107" s="38"/>
      <c r="VQQ107" s="38"/>
      <c r="VQW107" s="36"/>
      <c r="VQX107" s="38"/>
      <c r="VQY107" s="38"/>
      <c r="VRE107" s="36"/>
      <c r="VRF107" s="38"/>
      <c r="VRG107" s="38"/>
      <c r="VRM107" s="36"/>
      <c r="VRN107" s="38"/>
      <c r="VRO107" s="38"/>
      <c r="VRU107" s="36"/>
      <c r="VRV107" s="38"/>
      <c r="VRW107" s="38"/>
      <c r="VSC107" s="36"/>
      <c r="VSD107" s="38"/>
      <c r="VSE107" s="38"/>
      <c r="VSK107" s="36"/>
      <c r="VSL107" s="38"/>
      <c r="VSM107" s="38"/>
      <c r="VSS107" s="36"/>
      <c r="VST107" s="38"/>
      <c r="VSU107" s="38"/>
      <c r="VTA107" s="36"/>
      <c r="VTB107" s="38"/>
      <c r="VTC107" s="38"/>
      <c r="VTI107" s="36"/>
      <c r="VTJ107" s="38"/>
      <c r="VTK107" s="38"/>
      <c r="VTQ107" s="36"/>
      <c r="VTR107" s="38"/>
      <c r="VTS107" s="38"/>
      <c r="VTY107" s="36"/>
      <c r="VTZ107" s="38"/>
      <c r="VUA107" s="38"/>
      <c r="VUG107" s="36"/>
      <c r="VUH107" s="38"/>
      <c r="VUI107" s="38"/>
      <c r="VUO107" s="36"/>
      <c r="VUP107" s="38"/>
      <c r="VUQ107" s="38"/>
      <c r="VUW107" s="36"/>
      <c r="VUX107" s="38"/>
      <c r="VUY107" s="38"/>
      <c r="VVE107" s="36"/>
      <c r="VVF107" s="38"/>
      <c r="VVG107" s="38"/>
      <c r="VVM107" s="36"/>
      <c r="VVN107" s="38"/>
      <c r="VVO107" s="38"/>
      <c r="VVU107" s="36"/>
      <c r="VVV107" s="38"/>
      <c r="VVW107" s="38"/>
      <c r="VWC107" s="36"/>
      <c r="VWD107" s="38"/>
      <c r="VWE107" s="38"/>
      <c r="VWK107" s="36"/>
      <c r="VWL107" s="38"/>
      <c r="VWM107" s="38"/>
      <c r="VWS107" s="36"/>
      <c r="VWT107" s="38"/>
      <c r="VWU107" s="38"/>
      <c r="VXA107" s="36"/>
      <c r="VXB107" s="38"/>
      <c r="VXC107" s="38"/>
      <c r="VXI107" s="36"/>
      <c r="VXJ107" s="38"/>
      <c r="VXK107" s="38"/>
      <c r="VXQ107" s="36"/>
      <c r="VXR107" s="38"/>
      <c r="VXS107" s="38"/>
      <c r="VXY107" s="36"/>
      <c r="VXZ107" s="38"/>
      <c r="VYA107" s="38"/>
      <c r="VYG107" s="36"/>
      <c r="VYH107" s="38"/>
      <c r="VYI107" s="38"/>
      <c r="VYO107" s="36"/>
      <c r="VYP107" s="38"/>
      <c r="VYQ107" s="38"/>
      <c r="VYW107" s="36"/>
      <c r="VYX107" s="38"/>
      <c r="VYY107" s="38"/>
      <c r="VZE107" s="36"/>
      <c r="VZF107" s="38"/>
      <c r="VZG107" s="38"/>
      <c r="VZM107" s="36"/>
      <c r="VZN107" s="38"/>
      <c r="VZO107" s="38"/>
      <c r="VZU107" s="36"/>
      <c r="VZV107" s="38"/>
      <c r="VZW107" s="38"/>
      <c r="WAC107" s="36"/>
      <c r="WAD107" s="38"/>
      <c r="WAE107" s="38"/>
      <c r="WAK107" s="36"/>
      <c r="WAL107" s="38"/>
      <c r="WAM107" s="38"/>
      <c r="WAS107" s="36"/>
      <c r="WAT107" s="38"/>
      <c r="WAU107" s="38"/>
      <c r="WBA107" s="36"/>
      <c r="WBB107" s="38"/>
      <c r="WBC107" s="38"/>
      <c r="WBI107" s="36"/>
      <c r="WBJ107" s="38"/>
      <c r="WBK107" s="38"/>
      <c r="WBQ107" s="36"/>
      <c r="WBR107" s="38"/>
      <c r="WBS107" s="38"/>
      <c r="WBY107" s="36"/>
      <c r="WBZ107" s="38"/>
      <c r="WCA107" s="38"/>
      <c r="WCG107" s="36"/>
      <c r="WCH107" s="38"/>
      <c r="WCI107" s="38"/>
      <c r="WCO107" s="36"/>
      <c r="WCP107" s="38"/>
      <c r="WCQ107" s="38"/>
      <c r="WCW107" s="36"/>
      <c r="WCX107" s="38"/>
      <c r="WCY107" s="38"/>
      <c r="WDE107" s="36"/>
      <c r="WDF107" s="38"/>
      <c r="WDG107" s="38"/>
      <c r="WDM107" s="36"/>
      <c r="WDN107" s="38"/>
      <c r="WDO107" s="38"/>
      <c r="WDU107" s="36"/>
      <c r="WDV107" s="38"/>
      <c r="WDW107" s="38"/>
      <c r="WEC107" s="36"/>
      <c r="WED107" s="38"/>
      <c r="WEE107" s="38"/>
      <c r="WEK107" s="36"/>
      <c r="WEL107" s="38"/>
      <c r="WEM107" s="38"/>
      <c r="WES107" s="36"/>
      <c r="WET107" s="38"/>
      <c r="WEU107" s="38"/>
      <c r="WFA107" s="36"/>
      <c r="WFB107" s="38"/>
      <c r="WFC107" s="38"/>
      <c r="WFI107" s="36"/>
      <c r="WFJ107" s="38"/>
      <c r="WFK107" s="38"/>
      <c r="WFQ107" s="36"/>
      <c r="WFR107" s="38"/>
      <c r="WFS107" s="38"/>
      <c r="WFY107" s="36"/>
      <c r="WFZ107" s="38"/>
      <c r="WGA107" s="38"/>
      <c r="WGG107" s="36"/>
      <c r="WGH107" s="38"/>
      <c r="WGI107" s="38"/>
      <c r="WGO107" s="36"/>
      <c r="WGP107" s="38"/>
      <c r="WGQ107" s="38"/>
      <c r="WGW107" s="36"/>
      <c r="WGX107" s="38"/>
      <c r="WGY107" s="38"/>
      <c r="WHE107" s="36"/>
      <c r="WHF107" s="38"/>
      <c r="WHG107" s="38"/>
      <c r="WHM107" s="36"/>
      <c r="WHN107" s="38"/>
      <c r="WHO107" s="38"/>
      <c r="WHU107" s="36"/>
      <c r="WHV107" s="38"/>
      <c r="WHW107" s="38"/>
      <c r="WIC107" s="36"/>
      <c r="WID107" s="38"/>
      <c r="WIE107" s="38"/>
      <c r="WIK107" s="36"/>
      <c r="WIL107" s="38"/>
      <c r="WIM107" s="38"/>
      <c r="WIS107" s="36"/>
      <c r="WIT107" s="38"/>
      <c r="WIU107" s="38"/>
      <c r="WJA107" s="36"/>
      <c r="WJB107" s="38"/>
      <c r="WJC107" s="38"/>
      <c r="WJI107" s="36"/>
      <c r="WJJ107" s="38"/>
      <c r="WJK107" s="38"/>
      <c r="WJQ107" s="36"/>
      <c r="WJR107" s="38"/>
      <c r="WJS107" s="38"/>
      <c r="WJY107" s="36"/>
      <c r="WJZ107" s="38"/>
      <c r="WKA107" s="38"/>
      <c r="WKG107" s="36"/>
      <c r="WKH107" s="38"/>
      <c r="WKI107" s="38"/>
      <c r="WKO107" s="36"/>
      <c r="WKP107" s="38"/>
      <c r="WKQ107" s="38"/>
      <c r="WKW107" s="36"/>
      <c r="WKX107" s="38"/>
      <c r="WKY107" s="38"/>
      <c r="WLE107" s="36"/>
      <c r="WLF107" s="38"/>
      <c r="WLG107" s="38"/>
      <c r="WLM107" s="36"/>
      <c r="WLN107" s="38"/>
      <c r="WLO107" s="38"/>
      <c r="WLU107" s="36"/>
      <c r="WLV107" s="38"/>
      <c r="WLW107" s="38"/>
      <c r="WMC107" s="36"/>
      <c r="WMD107" s="38"/>
      <c r="WME107" s="38"/>
      <c r="WMK107" s="36"/>
      <c r="WML107" s="38"/>
      <c r="WMM107" s="38"/>
      <c r="WMS107" s="36"/>
      <c r="WMT107" s="38"/>
      <c r="WMU107" s="38"/>
      <c r="WNA107" s="36"/>
      <c r="WNB107" s="38"/>
      <c r="WNC107" s="38"/>
      <c r="WNI107" s="36"/>
      <c r="WNJ107" s="38"/>
      <c r="WNK107" s="38"/>
      <c r="WNQ107" s="36"/>
      <c r="WNR107" s="38"/>
      <c r="WNS107" s="38"/>
      <c r="WNY107" s="36"/>
      <c r="WNZ107" s="38"/>
      <c r="WOA107" s="38"/>
      <c r="WOG107" s="36"/>
      <c r="WOH107" s="38"/>
      <c r="WOI107" s="38"/>
      <c r="WOO107" s="36"/>
      <c r="WOP107" s="38"/>
      <c r="WOQ107" s="38"/>
      <c r="WOW107" s="36"/>
      <c r="WOX107" s="38"/>
      <c r="WOY107" s="38"/>
      <c r="WPE107" s="36"/>
      <c r="WPF107" s="38"/>
      <c r="WPG107" s="38"/>
      <c r="WPM107" s="36"/>
      <c r="WPN107" s="38"/>
      <c r="WPO107" s="38"/>
      <c r="WPU107" s="36"/>
      <c r="WPV107" s="38"/>
      <c r="WPW107" s="38"/>
      <c r="WQC107" s="36"/>
      <c r="WQD107" s="38"/>
      <c r="WQE107" s="38"/>
      <c r="WQK107" s="36"/>
      <c r="WQL107" s="38"/>
      <c r="WQM107" s="38"/>
      <c r="WQS107" s="36"/>
      <c r="WQT107" s="38"/>
      <c r="WQU107" s="38"/>
      <c r="WRA107" s="36"/>
      <c r="WRB107" s="38"/>
      <c r="WRC107" s="38"/>
      <c r="WRI107" s="36"/>
      <c r="WRJ107" s="38"/>
      <c r="WRK107" s="38"/>
      <c r="WRQ107" s="36"/>
      <c r="WRR107" s="38"/>
      <c r="WRS107" s="38"/>
      <c r="WRY107" s="36"/>
      <c r="WRZ107" s="38"/>
      <c r="WSA107" s="38"/>
      <c r="WSG107" s="36"/>
      <c r="WSH107" s="38"/>
      <c r="WSI107" s="38"/>
      <c r="WSO107" s="36"/>
      <c r="WSP107" s="38"/>
      <c r="WSQ107" s="38"/>
      <c r="WSW107" s="36"/>
      <c r="WSX107" s="38"/>
      <c r="WSY107" s="38"/>
      <c r="WTE107" s="36"/>
      <c r="WTF107" s="38"/>
      <c r="WTG107" s="38"/>
      <c r="WTM107" s="36"/>
      <c r="WTN107" s="38"/>
      <c r="WTO107" s="38"/>
      <c r="WTU107" s="36"/>
      <c r="WTV107" s="38"/>
      <c r="WTW107" s="38"/>
      <c r="WUC107" s="36"/>
      <c r="WUD107" s="38"/>
      <c r="WUE107" s="38"/>
      <c r="WUK107" s="36"/>
      <c r="WUL107" s="38"/>
      <c r="WUM107" s="38"/>
      <c r="WUS107" s="36"/>
      <c r="WUT107" s="38"/>
      <c r="WUU107" s="38"/>
      <c r="WVA107" s="36"/>
      <c r="WVB107" s="38"/>
      <c r="WVC107" s="38"/>
      <c r="WVI107" s="36"/>
      <c r="WVJ107" s="38"/>
      <c r="WVK107" s="38"/>
      <c r="WVQ107" s="36"/>
      <c r="WVR107" s="38"/>
      <c r="WVS107" s="38"/>
      <c r="WVY107" s="36"/>
      <c r="WVZ107" s="38"/>
      <c r="WWA107" s="38"/>
      <c r="WWG107" s="36"/>
      <c r="WWH107" s="38"/>
      <c r="WWI107" s="38"/>
      <c r="WWO107" s="36"/>
      <c r="WWP107" s="38"/>
      <c r="WWQ107" s="38"/>
      <c r="WWW107" s="36"/>
      <c r="WWX107" s="38"/>
      <c r="WWY107" s="38"/>
      <c r="WXE107" s="36"/>
      <c r="WXF107" s="38"/>
      <c r="WXG107" s="38"/>
      <c r="WXM107" s="36"/>
      <c r="WXN107" s="38"/>
      <c r="WXO107" s="38"/>
      <c r="WXU107" s="36"/>
      <c r="WXV107" s="38"/>
      <c r="WXW107" s="38"/>
      <c r="WYC107" s="36"/>
      <c r="WYD107" s="38"/>
      <c r="WYE107" s="38"/>
      <c r="WYK107" s="36"/>
      <c r="WYL107" s="38"/>
      <c r="WYM107" s="38"/>
      <c r="WYS107" s="36"/>
      <c r="WYT107" s="38"/>
      <c r="WYU107" s="38"/>
      <c r="WZA107" s="36"/>
      <c r="WZB107" s="38"/>
      <c r="WZC107" s="38"/>
      <c r="WZI107" s="36"/>
      <c r="WZJ107" s="38"/>
      <c r="WZK107" s="38"/>
      <c r="WZQ107" s="36"/>
      <c r="WZR107" s="38"/>
      <c r="WZS107" s="38"/>
      <c r="WZY107" s="36"/>
      <c r="WZZ107" s="38"/>
      <c r="XAA107" s="38"/>
      <c r="XAG107" s="36"/>
      <c r="XAH107" s="38"/>
      <c r="XAI107" s="38"/>
      <c r="XAO107" s="36"/>
      <c r="XAP107" s="38"/>
      <c r="XAQ107" s="38"/>
      <c r="XAW107" s="36"/>
      <c r="XAX107" s="38"/>
      <c r="XAY107" s="38"/>
      <c r="XBE107" s="36"/>
      <c r="XBF107" s="38"/>
      <c r="XBG107" s="38"/>
      <c r="XBM107" s="36"/>
      <c r="XBN107" s="38"/>
      <c r="XBO107" s="38"/>
      <c r="XBU107" s="36"/>
      <c r="XBV107" s="38"/>
      <c r="XBW107" s="38"/>
      <c r="XCC107" s="36"/>
      <c r="XCD107" s="38"/>
      <c r="XCE107" s="38"/>
      <c r="XCK107" s="36"/>
      <c r="XCL107" s="38"/>
      <c r="XCM107" s="38"/>
      <c r="XCS107" s="36"/>
      <c r="XCT107" s="38"/>
      <c r="XCU107" s="38"/>
      <c r="XDA107" s="36"/>
      <c r="XDB107" s="38"/>
      <c r="XDC107" s="38"/>
      <c r="XDI107" s="36"/>
      <c r="XDJ107" s="38"/>
      <c r="XDK107" s="38"/>
      <c r="XDQ107" s="36"/>
      <c r="XDR107" s="38"/>
      <c r="XDS107" s="38"/>
      <c r="XDY107" s="36"/>
      <c r="XDZ107" s="38"/>
      <c r="XEA107" s="38"/>
      <c r="XEG107" s="36"/>
      <c r="XEH107" s="38"/>
      <c r="XEI107" s="38"/>
      <c r="XEO107" s="36"/>
      <c r="XEP107" s="38"/>
      <c r="XEQ107" s="38"/>
      <c r="XEW107" s="36"/>
      <c r="XEX107" s="38"/>
      <c r="XEY107" s="38"/>
    </row>
    <row r="108" spans="1:1019 1025:2043 2049:3067 3073:4091 4097:5115 5121:6139 6145:7163 7169:8187 8193:9211 9217:10235 10241:11259 11265:12283 12289:13307 13313:14331 14337:15355 15361:16379" s="24" customFormat="1" ht="15" customHeight="1">
      <c r="A108" s="36"/>
      <c r="B108" s="38" t="s">
        <v>28</v>
      </c>
      <c r="C108" s="38">
        <v>1085324</v>
      </c>
      <c r="D108" s="24">
        <v>261631</v>
      </c>
      <c r="E108" s="24">
        <v>76888</v>
      </c>
      <c r="F108" s="24">
        <v>559107</v>
      </c>
      <c r="G108" s="24">
        <v>184462</v>
      </c>
      <c r="H108" s="24">
        <v>3236</v>
      </c>
      <c r="J108" s="23"/>
      <c r="K108" s="38"/>
      <c r="Q108" s="36"/>
      <c r="R108" s="38"/>
      <c r="S108" s="38"/>
      <c r="Y108" s="36"/>
      <c r="Z108" s="38"/>
      <c r="AA108" s="38"/>
      <c r="AG108" s="36"/>
      <c r="AH108" s="38"/>
      <c r="AI108" s="38"/>
      <c r="AO108" s="36"/>
      <c r="AP108" s="38"/>
      <c r="AQ108" s="38"/>
      <c r="AW108" s="36"/>
      <c r="AX108" s="38"/>
      <c r="AY108" s="38"/>
      <c r="BE108" s="36"/>
      <c r="BF108" s="38"/>
      <c r="BG108" s="38"/>
      <c r="BM108" s="36"/>
      <c r="BN108" s="38"/>
      <c r="BO108" s="38"/>
      <c r="BU108" s="36"/>
      <c r="BV108" s="38"/>
      <c r="BW108" s="38"/>
      <c r="CC108" s="36"/>
      <c r="CD108" s="38"/>
      <c r="CE108" s="38"/>
      <c r="CK108" s="36"/>
      <c r="CL108" s="38"/>
      <c r="CM108" s="38"/>
      <c r="CS108" s="36"/>
      <c r="CT108" s="38"/>
      <c r="CU108" s="38"/>
      <c r="DA108" s="36"/>
      <c r="DB108" s="38"/>
      <c r="DC108" s="38"/>
      <c r="DI108" s="36"/>
      <c r="DJ108" s="38"/>
      <c r="DK108" s="38"/>
      <c r="DQ108" s="36"/>
      <c r="DR108" s="38"/>
      <c r="DS108" s="38"/>
      <c r="DY108" s="36"/>
      <c r="DZ108" s="38"/>
      <c r="EA108" s="38"/>
      <c r="EG108" s="36"/>
      <c r="EH108" s="38"/>
      <c r="EI108" s="38"/>
      <c r="EO108" s="36"/>
      <c r="EP108" s="38"/>
      <c r="EQ108" s="38"/>
      <c r="EW108" s="36"/>
      <c r="EX108" s="38"/>
      <c r="EY108" s="38"/>
      <c r="FE108" s="36"/>
      <c r="FF108" s="38"/>
      <c r="FG108" s="38"/>
      <c r="FM108" s="36"/>
      <c r="FN108" s="38"/>
      <c r="FO108" s="38"/>
      <c r="FU108" s="36"/>
      <c r="FV108" s="38"/>
      <c r="FW108" s="38"/>
      <c r="GC108" s="36"/>
      <c r="GD108" s="38"/>
      <c r="GE108" s="38"/>
      <c r="GK108" s="36"/>
      <c r="GL108" s="38"/>
      <c r="GM108" s="38"/>
      <c r="GS108" s="36"/>
      <c r="GT108" s="38"/>
      <c r="GU108" s="38"/>
      <c r="HA108" s="36"/>
      <c r="HB108" s="38"/>
      <c r="HC108" s="38"/>
      <c r="HI108" s="36"/>
      <c r="HJ108" s="38"/>
      <c r="HK108" s="38"/>
      <c r="HQ108" s="36"/>
      <c r="HR108" s="38"/>
      <c r="HS108" s="38"/>
      <c r="HY108" s="36"/>
      <c r="HZ108" s="38"/>
      <c r="IA108" s="38"/>
      <c r="IG108" s="36"/>
      <c r="IH108" s="38"/>
      <c r="II108" s="38"/>
      <c r="IO108" s="36"/>
      <c r="IP108" s="38"/>
      <c r="IQ108" s="38"/>
      <c r="IW108" s="36"/>
      <c r="IX108" s="38"/>
      <c r="IY108" s="38"/>
      <c r="JE108" s="36"/>
      <c r="JF108" s="38"/>
      <c r="JG108" s="38"/>
      <c r="JM108" s="36"/>
      <c r="JN108" s="38"/>
      <c r="JO108" s="38"/>
      <c r="JU108" s="36"/>
      <c r="JV108" s="38"/>
      <c r="JW108" s="38"/>
      <c r="KC108" s="36"/>
      <c r="KD108" s="38"/>
      <c r="KE108" s="38"/>
      <c r="KK108" s="36"/>
      <c r="KL108" s="38"/>
      <c r="KM108" s="38"/>
      <c r="KS108" s="36"/>
      <c r="KT108" s="38"/>
      <c r="KU108" s="38"/>
      <c r="LA108" s="36"/>
      <c r="LB108" s="38"/>
      <c r="LC108" s="38"/>
      <c r="LI108" s="36"/>
      <c r="LJ108" s="38"/>
      <c r="LK108" s="38"/>
      <c r="LQ108" s="36"/>
      <c r="LR108" s="38"/>
      <c r="LS108" s="38"/>
      <c r="LY108" s="36"/>
      <c r="LZ108" s="38"/>
      <c r="MA108" s="38"/>
      <c r="MG108" s="36"/>
      <c r="MH108" s="38"/>
      <c r="MI108" s="38"/>
      <c r="MO108" s="36"/>
      <c r="MP108" s="38"/>
      <c r="MQ108" s="38"/>
      <c r="MW108" s="36"/>
      <c r="MX108" s="38"/>
      <c r="MY108" s="38"/>
      <c r="NE108" s="36"/>
      <c r="NF108" s="38"/>
      <c r="NG108" s="38"/>
      <c r="NM108" s="36"/>
      <c r="NN108" s="38"/>
      <c r="NO108" s="38"/>
      <c r="NU108" s="36"/>
      <c r="NV108" s="38"/>
      <c r="NW108" s="38"/>
      <c r="OC108" s="36"/>
      <c r="OD108" s="38"/>
      <c r="OE108" s="38"/>
      <c r="OK108" s="36"/>
      <c r="OL108" s="38"/>
      <c r="OM108" s="38"/>
      <c r="OS108" s="36"/>
      <c r="OT108" s="38"/>
      <c r="OU108" s="38"/>
      <c r="PA108" s="36"/>
      <c r="PB108" s="38"/>
      <c r="PC108" s="38"/>
      <c r="PI108" s="36"/>
      <c r="PJ108" s="38"/>
      <c r="PK108" s="38"/>
      <c r="PQ108" s="36"/>
      <c r="PR108" s="38"/>
      <c r="PS108" s="38"/>
      <c r="PY108" s="36"/>
      <c r="PZ108" s="38"/>
      <c r="QA108" s="38"/>
      <c r="QG108" s="36"/>
      <c r="QH108" s="38"/>
      <c r="QI108" s="38"/>
      <c r="QO108" s="36"/>
      <c r="QP108" s="38"/>
      <c r="QQ108" s="38"/>
      <c r="QW108" s="36"/>
      <c r="QX108" s="38"/>
      <c r="QY108" s="38"/>
      <c r="RE108" s="36"/>
      <c r="RF108" s="38"/>
      <c r="RG108" s="38"/>
      <c r="RM108" s="36"/>
      <c r="RN108" s="38"/>
      <c r="RO108" s="38"/>
      <c r="RU108" s="36"/>
      <c r="RV108" s="38"/>
      <c r="RW108" s="38"/>
      <c r="SC108" s="36"/>
      <c r="SD108" s="38"/>
      <c r="SE108" s="38"/>
      <c r="SK108" s="36"/>
      <c r="SL108" s="38"/>
      <c r="SM108" s="38"/>
      <c r="SS108" s="36"/>
      <c r="ST108" s="38"/>
      <c r="SU108" s="38"/>
      <c r="TA108" s="36"/>
      <c r="TB108" s="38"/>
      <c r="TC108" s="38"/>
      <c r="TI108" s="36"/>
      <c r="TJ108" s="38"/>
      <c r="TK108" s="38"/>
      <c r="TQ108" s="36"/>
      <c r="TR108" s="38"/>
      <c r="TS108" s="38"/>
      <c r="TY108" s="36"/>
      <c r="TZ108" s="38"/>
      <c r="UA108" s="38"/>
      <c r="UG108" s="36"/>
      <c r="UH108" s="38"/>
      <c r="UI108" s="38"/>
      <c r="UO108" s="36"/>
      <c r="UP108" s="38"/>
      <c r="UQ108" s="38"/>
      <c r="UW108" s="36"/>
      <c r="UX108" s="38"/>
      <c r="UY108" s="38"/>
      <c r="VE108" s="36"/>
      <c r="VF108" s="38"/>
      <c r="VG108" s="38"/>
      <c r="VM108" s="36"/>
      <c r="VN108" s="38"/>
      <c r="VO108" s="38"/>
      <c r="VU108" s="36"/>
      <c r="VV108" s="38"/>
      <c r="VW108" s="38"/>
      <c r="WC108" s="36"/>
      <c r="WD108" s="38"/>
      <c r="WE108" s="38"/>
      <c r="WK108" s="36"/>
      <c r="WL108" s="38"/>
      <c r="WM108" s="38"/>
      <c r="WS108" s="36"/>
      <c r="WT108" s="38"/>
      <c r="WU108" s="38"/>
      <c r="XA108" s="36"/>
      <c r="XB108" s="38"/>
      <c r="XC108" s="38"/>
      <c r="XI108" s="36"/>
      <c r="XJ108" s="38"/>
      <c r="XK108" s="38"/>
      <c r="XQ108" s="36"/>
      <c r="XR108" s="38"/>
      <c r="XS108" s="38"/>
      <c r="XY108" s="36"/>
      <c r="XZ108" s="38"/>
      <c r="YA108" s="38"/>
      <c r="YG108" s="36"/>
      <c r="YH108" s="38"/>
      <c r="YI108" s="38"/>
      <c r="YO108" s="36"/>
      <c r="YP108" s="38"/>
      <c r="YQ108" s="38"/>
      <c r="YW108" s="36"/>
      <c r="YX108" s="38"/>
      <c r="YY108" s="38"/>
      <c r="ZE108" s="36"/>
      <c r="ZF108" s="38"/>
      <c r="ZG108" s="38"/>
      <c r="ZM108" s="36"/>
      <c r="ZN108" s="38"/>
      <c r="ZO108" s="38"/>
      <c r="ZU108" s="36"/>
      <c r="ZV108" s="38"/>
      <c r="ZW108" s="38"/>
      <c r="AAC108" s="36"/>
      <c r="AAD108" s="38"/>
      <c r="AAE108" s="38"/>
      <c r="AAK108" s="36"/>
      <c r="AAL108" s="38"/>
      <c r="AAM108" s="38"/>
      <c r="AAS108" s="36"/>
      <c r="AAT108" s="38"/>
      <c r="AAU108" s="38"/>
      <c r="ABA108" s="36"/>
      <c r="ABB108" s="38"/>
      <c r="ABC108" s="38"/>
      <c r="ABI108" s="36"/>
      <c r="ABJ108" s="38"/>
      <c r="ABK108" s="38"/>
      <c r="ABQ108" s="36"/>
      <c r="ABR108" s="38"/>
      <c r="ABS108" s="38"/>
      <c r="ABY108" s="36"/>
      <c r="ABZ108" s="38"/>
      <c r="ACA108" s="38"/>
      <c r="ACG108" s="36"/>
      <c r="ACH108" s="38"/>
      <c r="ACI108" s="38"/>
      <c r="ACO108" s="36"/>
      <c r="ACP108" s="38"/>
      <c r="ACQ108" s="38"/>
      <c r="ACW108" s="36"/>
      <c r="ACX108" s="38"/>
      <c r="ACY108" s="38"/>
      <c r="ADE108" s="36"/>
      <c r="ADF108" s="38"/>
      <c r="ADG108" s="38"/>
      <c r="ADM108" s="36"/>
      <c r="ADN108" s="38"/>
      <c r="ADO108" s="38"/>
      <c r="ADU108" s="36"/>
      <c r="ADV108" s="38"/>
      <c r="ADW108" s="38"/>
      <c r="AEC108" s="36"/>
      <c r="AED108" s="38"/>
      <c r="AEE108" s="38"/>
      <c r="AEK108" s="36"/>
      <c r="AEL108" s="38"/>
      <c r="AEM108" s="38"/>
      <c r="AES108" s="36"/>
      <c r="AET108" s="38"/>
      <c r="AEU108" s="38"/>
      <c r="AFA108" s="36"/>
      <c r="AFB108" s="38"/>
      <c r="AFC108" s="38"/>
      <c r="AFI108" s="36"/>
      <c r="AFJ108" s="38"/>
      <c r="AFK108" s="38"/>
      <c r="AFQ108" s="36"/>
      <c r="AFR108" s="38"/>
      <c r="AFS108" s="38"/>
      <c r="AFY108" s="36"/>
      <c r="AFZ108" s="38"/>
      <c r="AGA108" s="38"/>
      <c r="AGG108" s="36"/>
      <c r="AGH108" s="38"/>
      <c r="AGI108" s="38"/>
      <c r="AGO108" s="36"/>
      <c r="AGP108" s="38"/>
      <c r="AGQ108" s="38"/>
      <c r="AGW108" s="36"/>
      <c r="AGX108" s="38"/>
      <c r="AGY108" s="38"/>
      <c r="AHE108" s="36"/>
      <c r="AHF108" s="38"/>
      <c r="AHG108" s="38"/>
      <c r="AHM108" s="36"/>
      <c r="AHN108" s="38"/>
      <c r="AHO108" s="38"/>
      <c r="AHU108" s="36"/>
      <c r="AHV108" s="38"/>
      <c r="AHW108" s="38"/>
      <c r="AIC108" s="36"/>
      <c r="AID108" s="38"/>
      <c r="AIE108" s="38"/>
      <c r="AIK108" s="36"/>
      <c r="AIL108" s="38"/>
      <c r="AIM108" s="38"/>
      <c r="AIS108" s="36"/>
      <c r="AIT108" s="38"/>
      <c r="AIU108" s="38"/>
      <c r="AJA108" s="36"/>
      <c r="AJB108" s="38"/>
      <c r="AJC108" s="38"/>
      <c r="AJI108" s="36"/>
      <c r="AJJ108" s="38"/>
      <c r="AJK108" s="38"/>
      <c r="AJQ108" s="36"/>
      <c r="AJR108" s="38"/>
      <c r="AJS108" s="38"/>
      <c r="AJY108" s="36"/>
      <c r="AJZ108" s="38"/>
      <c r="AKA108" s="38"/>
      <c r="AKG108" s="36"/>
      <c r="AKH108" s="38"/>
      <c r="AKI108" s="38"/>
      <c r="AKO108" s="36"/>
      <c r="AKP108" s="38"/>
      <c r="AKQ108" s="38"/>
      <c r="AKW108" s="36"/>
      <c r="AKX108" s="38"/>
      <c r="AKY108" s="38"/>
      <c r="ALE108" s="36"/>
      <c r="ALF108" s="38"/>
      <c r="ALG108" s="38"/>
      <c r="ALM108" s="36"/>
      <c r="ALN108" s="38"/>
      <c r="ALO108" s="38"/>
      <c r="ALU108" s="36"/>
      <c r="ALV108" s="38"/>
      <c r="ALW108" s="38"/>
      <c r="AMC108" s="36"/>
      <c r="AMD108" s="38"/>
      <c r="AME108" s="38"/>
      <c r="AMK108" s="36"/>
      <c r="AML108" s="38"/>
      <c r="AMM108" s="38"/>
      <c r="AMS108" s="36"/>
      <c r="AMT108" s="38"/>
      <c r="AMU108" s="38"/>
      <c r="ANA108" s="36"/>
      <c r="ANB108" s="38"/>
      <c r="ANC108" s="38"/>
      <c r="ANI108" s="36"/>
      <c r="ANJ108" s="38"/>
      <c r="ANK108" s="38"/>
      <c r="ANQ108" s="36"/>
      <c r="ANR108" s="38"/>
      <c r="ANS108" s="38"/>
      <c r="ANY108" s="36"/>
      <c r="ANZ108" s="38"/>
      <c r="AOA108" s="38"/>
      <c r="AOG108" s="36"/>
      <c r="AOH108" s="38"/>
      <c r="AOI108" s="38"/>
      <c r="AOO108" s="36"/>
      <c r="AOP108" s="38"/>
      <c r="AOQ108" s="38"/>
      <c r="AOW108" s="36"/>
      <c r="AOX108" s="38"/>
      <c r="AOY108" s="38"/>
      <c r="APE108" s="36"/>
      <c r="APF108" s="38"/>
      <c r="APG108" s="38"/>
      <c r="APM108" s="36"/>
      <c r="APN108" s="38"/>
      <c r="APO108" s="38"/>
      <c r="APU108" s="36"/>
      <c r="APV108" s="38"/>
      <c r="APW108" s="38"/>
      <c r="AQC108" s="36"/>
      <c r="AQD108" s="38"/>
      <c r="AQE108" s="38"/>
      <c r="AQK108" s="36"/>
      <c r="AQL108" s="38"/>
      <c r="AQM108" s="38"/>
      <c r="AQS108" s="36"/>
      <c r="AQT108" s="38"/>
      <c r="AQU108" s="38"/>
      <c r="ARA108" s="36"/>
      <c r="ARB108" s="38"/>
      <c r="ARC108" s="38"/>
      <c r="ARI108" s="36"/>
      <c r="ARJ108" s="38"/>
      <c r="ARK108" s="38"/>
      <c r="ARQ108" s="36"/>
      <c r="ARR108" s="38"/>
      <c r="ARS108" s="38"/>
      <c r="ARY108" s="36"/>
      <c r="ARZ108" s="38"/>
      <c r="ASA108" s="38"/>
      <c r="ASG108" s="36"/>
      <c r="ASH108" s="38"/>
      <c r="ASI108" s="38"/>
      <c r="ASO108" s="36"/>
      <c r="ASP108" s="38"/>
      <c r="ASQ108" s="38"/>
      <c r="ASW108" s="36"/>
      <c r="ASX108" s="38"/>
      <c r="ASY108" s="38"/>
      <c r="ATE108" s="36"/>
      <c r="ATF108" s="38"/>
      <c r="ATG108" s="38"/>
      <c r="ATM108" s="36"/>
      <c r="ATN108" s="38"/>
      <c r="ATO108" s="38"/>
      <c r="ATU108" s="36"/>
      <c r="ATV108" s="38"/>
      <c r="ATW108" s="38"/>
      <c r="AUC108" s="36"/>
      <c r="AUD108" s="38"/>
      <c r="AUE108" s="38"/>
      <c r="AUK108" s="36"/>
      <c r="AUL108" s="38"/>
      <c r="AUM108" s="38"/>
      <c r="AUS108" s="36"/>
      <c r="AUT108" s="38"/>
      <c r="AUU108" s="38"/>
      <c r="AVA108" s="36"/>
      <c r="AVB108" s="38"/>
      <c r="AVC108" s="38"/>
      <c r="AVI108" s="36"/>
      <c r="AVJ108" s="38"/>
      <c r="AVK108" s="38"/>
      <c r="AVQ108" s="36"/>
      <c r="AVR108" s="38"/>
      <c r="AVS108" s="38"/>
      <c r="AVY108" s="36"/>
      <c r="AVZ108" s="38"/>
      <c r="AWA108" s="38"/>
      <c r="AWG108" s="36"/>
      <c r="AWH108" s="38"/>
      <c r="AWI108" s="38"/>
      <c r="AWO108" s="36"/>
      <c r="AWP108" s="38"/>
      <c r="AWQ108" s="38"/>
      <c r="AWW108" s="36"/>
      <c r="AWX108" s="38"/>
      <c r="AWY108" s="38"/>
      <c r="AXE108" s="36"/>
      <c r="AXF108" s="38"/>
      <c r="AXG108" s="38"/>
      <c r="AXM108" s="36"/>
      <c r="AXN108" s="38"/>
      <c r="AXO108" s="38"/>
      <c r="AXU108" s="36"/>
      <c r="AXV108" s="38"/>
      <c r="AXW108" s="38"/>
      <c r="AYC108" s="36"/>
      <c r="AYD108" s="38"/>
      <c r="AYE108" s="38"/>
      <c r="AYK108" s="36"/>
      <c r="AYL108" s="38"/>
      <c r="AYM108" s="38"/>
      <c r="AYS108" s="36"/>
      <c r="AYT108" s="38"/>
      <c r="AYU108" s="38"/>
      <c r="AZA108" s="36"/>
      <c r="AZB108" s="38"/>
      <c r="AZC108" s="38"/>
      <c r="AZI108" s="36"/>
      <c r="AZJ108" s="38"/>
      <c r="AZK108" s="38"/>
      <c r="AZQ108" s="36"/>
      <c r="AZR108" s="38"/>
      <c r="AZS108" s="38"/>
      <c r="AZY108" s="36"/>
      <c r="AZZ108" s="38"/>
      <c r="BAA108" s="38"/>
      <c r="BAG108" s="36"/>
      <c r="BAH108" s="38"/>
      <c r="BAI108" s="38"/>
      <c r="BAO108" s="36"/>
      <c r="BAP108" s="38"/>
      <c r="BAQ108" s="38"/>
      <c r="BAW108" s="36"/>
      <c r="BAX108" s="38"/>
      <c r="BAY108" s="38"/>
      <c r="BBE108" s="36"/>
      <c r="BBF108" s="38"/>
      <c r="BBG108" s="38"/>
      <c r="BBM108" s="36"/>
      <c r="BBN108" s="38"/>
      <c r="BBO108" s="38"/>
      <c r="BBU108" s="36"/>
      <c r="BBV108" s="38"/>
      <c r="BBW108" s="38"/>
      <c r="BCC108" s="36"/>
      <c r="BCD108" s="38"/>
      <c r="BCE108" s="38"/>
      <c r="BCK108" s="36"/>
      <c r="BCL108" s="38"/>
      <c r="BCM108" s="38"/>
      <c r="BCS108" s="36"/>
      <c r="BCT108" s="38"/>
      <c r="BCU108" s="38"/>
      <c r="BDA108" s="36"/>
      <c r="BDB108" s="38"/>
      <c r="BDC108" s="38"/>
      <c r="BDI108" s="36"/>
      <c r="BDJ108" s="38"/>
      <c r="BDK108" s="38"/>
      <c r="BDQ108" s="36"/>
      <c r="BDR108" s="38"/>
      <c r="BDS108" s="38"/>
      <c r="BDY108" s="36"/>
      <c r="BDZ108" s="38"/>
      <c r="BEA108" s="38"/>
      <c r="BEG108" s="36"/>
      <c r="BEH108" s="38"/>
      <c r="BEI108" s="38"/>
      <c r="BEO108" s="36"/>
      <c r="BEP108" s="38"/>
      <c r="BEQ108" s="38"/>
      <c r="BEW108" s="36"/>
      <c r="BEX108" s="38"/>
      <c r="BEY108" s="38"/>
      <c r="BFE108" s="36"/>
      <c r="BFF108" s="38"/>
      <c r="BFG108" s="38"/>
      <c r="BFM108" s="36"/>
      <c r="BFN108" s="38"/>
      <c r="BFO108" s="38"/>
      <c r="BFU108" s="36"/>
      <c r="BFV108" s="38"/>
      <c r="BFW108" s="38"/>
      <c r="BGC108" s="36"/>
      <c r="BGD108" s="38"/>
      <c r="BGE108" s="38"/>
      <c r="BGK108" s="36"/>
      <c r="BGL108" s="38"/>
      <c r="BGM108" s="38"/>
      <c r="BGS108" s="36"/>
      <c r="BGT108" s="38"/>
      <c r="BGU108" s="38"/>
      <c r="BHA108" s="36"/>
      <c r="BHB108" s="38"/>
      <c r="BHC108" s="38"/>
      <c r="BHI108" s="36"/>
      <c r="BHJ108" s="38"/>
      <c r="BHK108" s="38"/>
      <c r="BHQ108" s="36"/>
      <c r="BHR108" s="38"/>
      <c r="BHS108" s="38"/>
      <c r="BHY108" s="36"/>
      <c r="BHZ108" s="38"/>
      <c r="BIA108" s="38"/>
      <c r="BIG108" s="36"/>
      <c r="BIH108" s="38"/>
      <c r="BII108" s="38"/>
      <c r="BIO108" s="36"/>
      <c r="BIP108" s="38"/>
      <c r="BIQ108" s="38"/>
      <c r="BIW108" s="36"/>
      <c r="BIX108" s="38"/>
      <c r="BIY108" s="38"/>
      <c r="BJE108" s="36"/>
      <c r="BJF108" s="38"/>
      <c r="BJG108" s="38"/>
      <c r="BJM108" s="36"/>
      <c r="BJN108" s="38"/>
      <c r="BJO108" s="38"/>
      <c r="BJU108" s="36"/>
      <c r="BJV108" s="38"/>
      <c r="BJW108" s="38"/>
      <c r="BKC108" s="36"/>
      <c r="BKD108" s="38"/>
      <c r="BKE108" s="38"/>
      <c r="BKK108" s="36"/>
      <c r="BKL108" s="38"/>
      <c r="BKM108" s="38"/>
      <c r="BKS108" s="36"/>
      <c r="BKT108" s="38"/>
      <c r="BKU108" s="38"/>
      <c r="BLA108" s="36"/>
      <c r="BLB108" s="38"/>
      <c r="BLC108" s="38"/>
      <c r="BLI108" s="36"/>
      <c r="BLJ108" s="38"/>
      <c r="BLK108" s="38"/>
      <c r="BLQ108" s="36"/>
      <c r="BLR108" s="38"/>
      <c r="BLS108" s="38"/>
      <c r="BLY108" s="36"/>
      <c r="BLZ108" s="38"/>
      <c r="BMA108" s="38"/>
      <c r="BMG108" s="36"/>
      <c r="BMH108" s="38"/>
      <c r="BMI108" s="38"/>
      <c r="BMO108" s="36"/>
      <c r="BMP108" s="38"/>
      <c r="BMQ108" s="38"/>
      <c r="BMW108" s="36"/>
      <c r="BMX108" s="38"/>
      <c r="BMY108" s="38"/>
      <c r="BNE108" s="36"/>
      <c r="BNF108" s="38"/>
      <c r="BNG108" s="38"/>
      <c r="BNM108" s="36"/>
      <c r="BNN108" s="38"/>
      <c r="BNO108" s="38"/>
      <c r="BNU108" s="36"/>
      <c r="BNV108" s="38"/>
      <c r="BNW108" s="38"/>
      <c r="BOC108" s="36"/>
      <c r="BOD108" s="38"/>
      <c r="BOE108" s="38"/>
      <c r="BOK108" s="36"/>
      <c r="BOL108" s="38"/>
      <c r="BOM108" s="38"/>
      <c r="BOS108" s="36"/>
      <c r="BOT108" s="38"/>
      <c r="BOU108" s="38"/>
      <c r="BPA108" s="36"/>
      <c r="BPB108" s="38"/>
      <c r="BPC108" s="38"/>
      <c r="BPI108" s="36"/>
      <c r="BPJ108" s="38"/>
      <c r="BPK108" s="38"/>
      <c r="BPQ108" s="36"/>
      <c r="BPR108" s="38"/>
      <c r="BPS108" s="38"/>
      <c r="BPY108" s="36"/>
      <c r="BPZ108" s="38"/>
      <c r="BQA108" s="38"/>
      <c r="BQG108" s="36"/>
      <c r="BQH108" s="38"/>
      <c r="BQI108" s="38"/>
      <c r="BQO108" s="36"/>
      <c r="BQP108" s="38"/>
      <c r="BQQ108" s="38"/>
      <c r="BQW108" s="36"/>
      <c r="BQX108" s="38"/>
      <c r="BQY108" s="38"/>
      <c r="BRE108" s="36"/>
      <c r="BRF108" s="38"/>
      <c r="BRG108" s="38"/>
      <c r="BRM108" s="36"/>
      <c r="BRN108" s="38"/>
      <c r="BRO108" s="38"/>
      <c r="BRU108" s="36"/>
      <c r="BRV108" s="38"/>
      <c r="BRW108" s="38"/>
      <c r="BSC108" s="36"/>
      <c r="BSD108" s="38"/>
      <c r="BSE108" s="38"/>
      <c r="BSK108" s="36"/>
      <c r="BSL108" s="38"/>
      <c r="BSM108" s="38"/>
      <c r="BSS108" s="36"/>
      <c r="BST108" s="38"/>
      <c r="BSU108" s="38"/>
      <c r="BTA108" s="36"/>
      <c r="BTB108" s="38"/>
      <c r="BTC108" s="38"/>
      <c r="BTI108" s="36"/>
      <c r="BTJ108" s="38"/>
      <c r="BTK108" s="38"/>
      <c r="BTQ108" s="36"/>
      <c r="BTR108" s="38"/>
      <c r="BTS108" s="38"/>
      <c r="BTY108" s="36"/>
      <c r="BTZ108" s="38"/>
      <c r="BUA108" s="38"/>
      <c r="BUG108" s="36"/>
      <c r="BUH108" s="38"/>
      <c r="BUI108" s="38"/>
      <c r="BUO108" s="36"/>
      <c r="BUP108" s="38"/>
      <c r="BUQ108" s="38"/>
      <c r="BUW108" s="36"/>
      <c r="BUX108" s="38"/>
      <c r="BUY108" s="38"/>
      <c r="BVE108" s="36"/>
      <c r="BVF108" s="38"/>
      <c r="BVG108" s="38"/>
      <c r="BVM108" s="36"/>
      <c r="BVN108" s="38"/>
      <c r="BVO108" s="38"/>
      <c r="BVU108" s="36"/>
      <c r="BVV108" s="38"/>
      <c r="BVW108" s="38"/>
      <c r="BWC108" s="36"/>
      <c r="BWD108" s="38"/>
      <c r="BWE108" s="38"/>
      <c r="BWK108" s="36"/>
      <c r="BWL108" s="38"/>
      <c r="BWM108" s="38"/>
      <c r="BWS108" s="36"/>
      <c r="BWT108" s="38"/>
      <c r="BWU108" s="38"/>
      <c r="BXA108" s="36"/>
      <c r="BXB108" s="38"/>
      <c r="BXC108" s="38"/>
      <c r="BXI108" s="36"/>
      <c r="BXJ108" s="38"/>
      <c r="BXK108" s="38"/>
      <c r="BXQ108" s="36"/>
      <c r="BXR108" s="38"/>
      <c r="BXS108" s="38"/>
      <c r="BXY108" s="36"/>
      <c r="BXZ108" s="38"/>
      <c r="BYA108" s="38"/>
      <c r="BYG108" s="36"/>
      <c r="BYH108" s="38"/>
      <c r="BYI108" s="38"/>
      <c r="BYO108" s="36"/>
      <c r="BYP108" s="38"/>
      <c r="BYQ108" s="38"/>
      <c r="BYW108" s="36"/>
      <c r="BYX108" s="38"/>
      <c r="BYY108" s="38"/>
      <c r="BZE108" s="36"/>
      <c r="BZF108" s="38"/>
      <c r="BZG108" s="38"/>
      <c r="BZM108" s="36"/>
      <c r="BZN108" s="38"/>
      <c r="BZO108" s="38"/>
      <c r="BZU108" s="36"/>
      <c r="BZV108" s="38"/>
      <c r="BZW108" s="38"/>
      <c r="CAC108" s="36"/>
      <c r="CAD108" s="38"/>
      <c r="CAE108" s="38"/>
      <c r="CAK108" s="36"/>
      <c r="CAL108" s="38"/>
      <c r="CAM108" s="38"/>
      <c r="CAS108" s="36"/>
      <c r="CAT108" s="38"/>
      <c r="CAU108" s="38"/>
      <c r="CBA108" s="36"/>
      <c r="CBB108" s="38"/>
      <c r="CBC108" s="38"/>
      <c r="CBI108" s="36"/>
      <c r="CBJ108" s="38"/>
      <c r="CBK108" s="38"/>
      <c r="CBQ108" s="36"/>
      <c r="CBR108" s="38"/>
      <c r="CBS108" s="38"/>
      <c r="CBY108" s="36"/>
      <c r="CBZ108" s="38"/>
      <c r="CCA108" s="38"/>
      <c r="CCG108" s="36"/>
      <c r="CCH108" s="38"/>
      <c r="CCI108" s="38"/>
      <c r="CCO108" s="36"/>
      <c r="CCP108" s="38"/>
      <c r="CCQ108" s="38"/>
      <c r="CCW108" s="36"/>
      <c r="CCX108" s="38"/>
      <c r="CCY108" s="38"/>
      <c r="CDE108" s="36"/>
      <c r="CDF108" s="38"/>
      <c r="CDG108" s="38"/>
      <c r="CDM108" s="36"/>
      <c r="CDN108" s="38"/>
      <c r="CDO108" s="38"/>
      <c r="CDU108" s="36"/>
      <c r="CDV108" s="38"/>
      <c r="CDW108" s="38"/>
      <c r="CEC108" s="36"/>
      <c r="CED108" s="38"/>
      <c r="CEE108" s="38"/>
      <c r="CEK108" s="36"/>
      <c r="CEL108" s="38"/>
      <c r="CEM108" s="38"/>
      <c r="CES108" s="36"/>
      <c r="CET108" s="38"/>
      <c r="CEU108" s="38"/>
      <c r="CFA108" s="36"/>
      <c r="CFB108" s="38"/>
      <c r="CFC108" s="38"/>
      <c r="CFI108" s="36"/>
      <c r="CFJ108" s="38"/>
      <c r="CFK108" s="38"/>
      <c r="CFQ108" s="36"/>
      <c r="CFR108" s="38"/>
      <c r="CFS108" s="38"/>
      <c r="CFY108" s="36"/>
      <c r="CFZ108" s="38"/>
      <c r="CGA108" s="38"/>
      <c r="CGG108" s="36"/>
      <c r="CGH108" s="38"/>
      <c r="CGI108" s="38"/>
      <c r="CGO108" s="36"/>
      <c r="CGP108" s="38"/>
      <c r="CGQ108" s="38"/>
      <c r="CGW108" s="36"/>
      <c r="CGX108" s="38"/>
      <c r="CGY108" s="38"/>
      <c r="CHE108" s="36"/>
      <c r="CHF108" s="38"/>
      <c r="CHG108" s="38"/>
      <c r="CHM108" s="36"/>
      <c r="CHN108" s="38"/>
      <c r="CHO108" s="38"/>
      <c r="CHU108" s="36"/>
      <c r="CHV108" s="38"/>
      <c r="CHW108" s="38"/>
      <c r="CIC108" s="36"/>
      <c r="CID108" s="38"/>
      <c r="CIE108" s="38"/>
      <c r="CIK108" s="36"/>
      <c r="CIL108" s="38"/>
      <c r="CIM108" s="38"/>
      <c r="CIS108" s="36"/>
      <c r="CIT108" s="38"/>
      <c r="CIU108" s="38"/>
      <c r="CJA108" s="36"/>
      <c r="CJB108" s="38"/>
      <c r="CJC108" s="38"/>
      <c r="CJI108" s="36"/>
      <c r="CJJ108" s="38"/>
      <c r="CJK108" s="38"/>
      <c r="CJQ108" s="36"/>
      <c r="CJR108" s="38"/>
      <c r="CJS108" s="38"/>
      <c r="CJY108" s="36"/>
      <c r="CJZ108" s="38"/>
      <c r="CKA108" s="38"/>
      <c r="CKG108" s="36"/>
      <c r="CKH108" s="38"/>
      <c r="CKI108" s="38"/>
      <c r="CKO108" s="36"/>
      <c r="CKP108" s="38"/>
      <c r="CKQ108" s="38"/>
      <c r="CKW108" s="36"/>
      <c r="CKX108" s="38"/>
      <c r="CKY108" s="38"/>
      <c r="CLE108" s="36"/>
      <c r="CLF108" s="38"/>
      <c r="CLG108" s="38"/>
      <c r="CLM108" s="36"/>
      <c r="CLN108" s="38"/>
      <c r="CLO108" s="38"/>
      <c r="CLU108" s="36"/>
      <c r="CLV108" s="38"/>
      <c r="CLW108" s="38"/>
      <c r="CMC108" s="36"/>
      <c r="CMD108" s="38"/>
      <c r="CME108" s="38"/>
      <c r="CMK108" s="36"/>
      <c r="CML108" s="38"/>
      <c r="CMM108" s="38"/>
      <c r="CMS108" s="36"/>
      <c r="CMT108" s="38"/>
      <c r="CMU108" s="38"/>
      <c r="CNA108" s="36"/>
      <c r="CNB108" s="38"/>
      <c r="CNC108" s="38"/>
      <c r="CNI108" s="36"/>
      <c r="CNJ108" s="38"/>
      <c r="CNK108" s="38"/>
      <c r="CNQ108" s="36"/>
      <c r="CNR108" s="38"/>
      <c r="CNS108" s="38"/>
      <c r="CNY108" s="36"/>
      <c r="CNZ108" s="38"/>
      <c r="COA108" s="38"/>
      <c r="COG108" s="36"/>
      <c r="COH108" s="38"/>
      <c r="COI108" s="38"/>
      <c r="COO108" s="36"/>
      <c r="COP108" s="38"/>
      <c r="COQ108" s="38"/>
      <c r="COW108" s="36"/>
      <c r="COX108" s="38"/>
      <c r="COY108" s="38"/>
      <c r="CPE108" s="36"/>
      <c r="CPF108" s="38"/>
      <c r="CPG108" s="38"/>
      <c r="CPM108" s="36"/>
      <c r="CPN108" s="38"/>
      <c r="CPO108" s="38"/>
      <c r="CPU108" s="36"/>
      <c r="CPV108" s="38"/>
      <c r="CPW108" s="38"/>
      <c r="CQC108" s="36"/>
      <c r="CQD108" s="38"/>
      <c r="CQE108" s="38"/>
      <c r="CQK108" s="36"/>
      <c r="CQL108" s="38"/>
      <c r="CQM108" s="38"/>
      <c r="CQS108" s="36"/>
      <c r="CQT108" s="38"/>
      <c r="CQU108" s="38"/>
      <c r="CRA108" s="36"/>
      <c r="CRB108" s="38"/>
      <c r="CRC108" s="38"/>
      <c r="CRI108" s="36"/>
      <c r="CRJ108" s="38"/>
      <c r="CRK108" s="38"/>
      <c r="CRQ108" s="36"/>
      <c r="CRR108" s="38"/>
      <c r="CRS108" s="38"/>
      <c r="CRY108" s="36"/>
      <c r="CRZ108" s="38"/>
      <c r="CSA108" s="38"/>
      <c r="CSG108" s="36"/>
      <c r="CSH108" s="38"/>
      <c r="CSI108" s="38"/>
      <c r="CSO108" s="36"/>
      <c r="CSP108" s="38"/>
      <c r="CSQ108" s="38"/>
      <c r="CSW108" s="36"/>
      <c r="CSX108" s="38"/>
      <c r="CSY108" s="38"/>
      <c r="CTE108" s="36"/>
      <c r="CTF108" s="38"/>
      <c r="CTG108" s="38"/>
      <c r="CTM108" s="36"/>
      <c r="CTN108" s="38"/>
      <c r="CTO108" s="38"/>
      <c r="CTU108" s="36"/>
      <c r="CTV108" s="38"/>
      <c r="CTW108" s="38"/>
      <c r="CUC108" s="36"/>
      <c r="CUD108" s="38"/>
      <c r="CUE108" s="38"/>
      <c r="CUK108" s="36"/>
      <c r="CUL108" s="38"/>
      <c r="CUM108" s="38"/>
      <c r="CUS108" s="36"/>
      <c r="CUT108" s="38"/>
      <c r="CUU108" s="38"/>
      <c r="CVA108" s="36"/>
      <c r="CVB108" s="38"/>
      <c r="CVC108" s="38"/>
      <c r="CVI108" s="36"/>
      <c r="CVJ108" s="38"/>
      <c r="CVK108" s="38"/>
      <c r="CVQ108" s="36"/>
      <c r="CVR108" s="38"/>
      <c r="CVS108" s="38"/>
      <c r="CVY108" s="36"/>
      <c r="CVZ108" s="38"/>
      <c r="CWA108" s="38"/>
      <c r="CWG108" s="36"/>
      <c r="CWH108" s="38"/>
      <c r="CWI108" s="38"/>
      <c r="CWO108" s="36"/>
      <c r="CWP108" s="38"/>
      <c r="CWQ108" s="38"/>
      <c r="CWW108" s="36"/>
      <c r="CWX108" s="38"/>
      <c r="CWY108" s="38"/>
      <c r="CXE108" s="36"/>
      <c r="CXF108" s="38"/>
      <c r="CXG108" s="38"/>
      <c r="CXM108" s="36"/>
      <c r="CXN108" s="38"/>
      <c r="CXO108" s="38"/>
      <c r="CXU108" s="36"/>
      <c r="CXV108" s="38"/>
      <c r="CXW108" s="38"/>
      <c r="CYC108" s="36"/>
      <c r="CYD108" s="38"/>
      <c r="CYE108" s="38"/>
      <c r="CYK108" s="36"/>
      <c r="CYL108" s="38"/>
      <c r="CYM108" s="38"/>
      <c r="CYS108" s="36"/>
      <c r="CYT108" s="38"/>
      <c r="CYU108" s="38"/>
      <c r="CZA108" s="36"/>
      <c r="CZB108" s="38"/>
      <c r="CZC108" s="38"/>
      <c r="CZI108" s="36"/>
      <c r="CZJ108" s="38"/>
      <c r="CZK108" s="38"/>
      <c r="CZQ108" s="36"/>
      <c r="CZR108" s="38"/>
      <c r="CZS108" s="38"/>
      <c r="CZY108" s="36"/>
      <c r="CZZ108" s="38"/>
      <c r="DAA108" s="38"/>
      <c r="DAG108" s="36"/>
      <c r="DAH108" s="38"/>
      <c r="DAI108" s="38"/>
      <c r="DAO108" s="36"/>
      <c r="DAP108" s="38"/>
      <c r="DAQ108" s="38"/>
      <c r="DAW108" s="36"/>
      <c r="DAX108" s="38"/>
      <c r="DAY108" s="38"/>
      <c r="DBE108" s="36"/>
      <c r="DBF108" s="38"/>
      <c r="DBG108" s="38"/>
      <c r="DBM108" s="36"/>
      <c r="DBN108" s="38"/>
      <c r="DBO108" s="38"/>
      <c r="DBU108" s="36"/>
      <c r="DBV108" s="38"/>
      <c r="DBW108" s="38"/>
      <c r="DCC108" s="36"/>
      <c r="DCD108" s="38"/>
      <c r="DCE108" s="38"/>
      <c r="DCK108" s="36"/>
      <c r="DCL108" s="38"/>
      <c r="DCM108" s="38"/>
      <c r="DCS108" s="36"/>
      <c r="DCT108" s="38"/>
      <c r="DCU108" s="38"/>
      <c r="DDA108" s="36"/>
      <c r="DDB108" s="38"/>
      <c r="DDC108" s="38"/>
      <c r="DDI108" s="36"/>
      <c r="DDJ108" s="38"/>
      <c r="DDK108" s="38"/>
      <c r="DDQ108" s="36"/>
      <c r="DDR108" s="38"/>
      <c r="DDS108" s="38"/>
      <c r="DDY108" s="36"/>
      <c r="DDZ108" s="38"/>
      <c r="DEA108" s="38"/>
      <c r="DEG108" s="36"/>
      <c r="DEH108" s="38"/>
      <c r="DEI108" s="38"/>
      <c r="DEO108" s="36"/>
      <c r="DEP108" s="38"/>
      <c r="DEQ108" s="38"/>
      <c r="DEW108" s="36"/>
      <c r="DEX108" s="38"/>
      <c r="DEY108" s="38"/>
      <c r="DFE108" s="36"/>
      <c r="DFF108" s="38"/>
      <c r="DFG108" s="38"/>
      <c r="DFM108" s="36"/>
      <c r="DFN108" s="38"/>
      <c r="DFO108" s="38"/>
      <c r="DFU108" s="36"/>
      <c r="DFV108" s="38"/>
      <c r="DFW108" s="38"/>
      <c r="DGC108" s="36"/>
      <c r="DGD108" s="38"/>
      <c r="DGE108" s="38"/>
      <c r="DGK108" s="36"/>
      <c r="DGL108" s="38"/>
      <c r="DGM108" s="38"/>
      <c r="DGS108" s="36"/>
      <c r="DGT108" s="38"/>
      <c r="DGU108" s="38"/>
      <c r="DHA108" s="36"/>
      <c r="DHB108" s="38"/>
      <c r="DHC108" s="38"/>
      <c r="DHI108" s="36"/>
      <c r="DHJ108" s="38"/>
      <c r="DHK108" s="38"/>
      <c r="DHQ108" s="36"/>
      <c r="DHR108" s="38"/>
      <c r="DHS108" s="38"/>
      <c r="DHY108" s="36"/>
      <c r="DHZ108" s="38"/>
      <c r="DIA108" s="38"/>
      <c r="DIG108" s="36"/>
      <c r="DIH108" s="38"/>
      <c r="DII108" s="38"/>
      <c r="DIO108" s="36"/>
      <c r="DIP108" s="38"/>
      <c r="DIQ108" s="38"/>
      <c r="DIW108" s="36"/>
      <c r="DIX108" s="38"/>
      <c r="DIY108" s="38"/>
      <c r="DJE108" s="36"/>
      <c r="DJF108" s="38"/>
      <c r="DJG108" s="38"/>
      <c r="DJM108" s="36"/>
      <c r="DJN108" s="38"/>
      <c r="DJO108" s="38"/>
      <c r="DJU108" s="36"/>
      <c r="DJV108" s="38"/>
      <c r="DJW108" s="38"/>
      <c r="DKC108" s="36"/>
      <c r="DKD108" s="38"/>
      <c r="DKE108" s="38"/>
      <c r="DKK108" s="36"/>
      <c r="DKL108" s="38"/>
      <c r="DKM108" s="38"/>
      <c r="DKS108" s="36"/>
      <c r="DKT108" s="38"/>
      <c r="DKU108" s="38"/>
      <c r="DLA108" s="36"/>
      <c r="DLB108" s="38"/>
      <c r="DLC108" s="38"/>
      <c r="DLI108" s="36"/>
      <c r="DLJ108" s="38"/>
      <c r="DLK108" s="38"/>
      <c r="DLQ108" s="36"/>
      <c r="DLR108" s="38"/>
      <c r="DLS108" s="38"/>
      <c r="DLY108" s="36"/>
      <c r="DLZ108" s="38"/>
      <c r="DMA108" s="38"/>
      <c r="DMG108" s="36"/>
      <c r="DMH108" s="38"/>
      <c r="DMI108" s="38"/>
      <c r="DMO108" s="36"/>
      <c r="DMP108" s="38"/>
      <c r="DMQ108" s="38"/>
      <c r="DMW108" s="36"/>
      <c r="DMX108" s="38"/>
      <c r="DMY108" s="38"/>
      <c r="DNE108" s="36"/>
      <c r="DNF108" s="38"/>
      <c r="DNG108" s="38"/>
      <c r="DNM108" s="36"/>
      <c r="DNN108" s="38"/>
      <c r="DNO108" s="38"/>
      <c r="DNU108" s="36"/>
      <c r="DNV108" s="38"/>
      <c r="DNW108" s="38"/>
      <c r="DOC108" s="36"/>
      <c r="DOD108" s="38"/>
      <c r="DOE108" s="38"/>
      <c r="DOK108" s="36"/>
      <c r="DOL108" s="38"/>
      <c r="DOM108" s="38"/>
      <c r="DOS108" s="36"/>
      <c r="DOT108" s="38"/>
      <c r="DOU108" s="38"/>
      <c r="DPA108" s="36"/>
      <c r="DPB108" s="38"/>
      <c r="DPC108" s="38"/>
      <c r="DPI108" s="36"/>
      <c r="DPJ108" s="38"/>
      <c r="DPK108" s="38"/>
      <c r="DPQ108" s="36"/>
      <c r="DPR108" s="38"/>
      <c r="DPS108" s="38"/>
      <c r="DPY108" s="36"/>
      <c r="DPZ108" s="38"/>
      <c r="DQA108" s="38"/>
      <c r="DQG108" s="36"/>
      <c r="DQH108" s="38"/>
      <c r="DQI108" s="38"/>
      <c r="DQO108" s="36"/>
      <c r="DQP108" s="38"/>
      <c r="DQQ108" s="38"/>
      <c r="DQW108" s="36"/>
      <c r="DQX108" s="38"/>
      <c r="DQY108" s="38"/>
      <c r="DRE108" s="36"/>
      <c r="DRF108" s="38"/>
      <c r="DRG108" s="38"/>
      <c r="DRM108" s="36"/>
      <c r="DRN108" s="38"/>
      <c r="DRO108" s="38"/>
      <c r="DRU108" s="36"/>
      <c r="DRV108" s="38"/>
      <c r="DRW108" s="38"/>
      <c r="DSC108" s="36"/>
      <c r="DSD108" s="38"/>
      <c r="DSE108" s="38"/>
      <c r="DSK108" s="36"/>
      <c r="DSL108" s="38"/>
      <c r="DSM108" s="38"/>
      <c r="DSS108" s="36"/>
      <c r="DST108" s="38"/>
      <c r="DSU108" s="38"/>
      <c r="DTA108" s="36"/>
      <c r="DTB108" s="38"/>
      <c r="DTC108" s="38"/>
      <c r="DTI108" s="36"/>
      <c r="DTJ108" s="38"/>
      <c r="DTK108" s="38"/>
      <c r="DTQ108" s="36"/>
      <c r="DTR108" s="38"/>
      <c r="DTS108" s="38"/>
      <c r="DTY108" s="36"/>
      <c r="DTZ108" s="38"/>
      <c r="DUA108" s="38"/>
      <c r="DUG108" s="36"/>
      <c r="DUH108" s="38"/>
      <c r="DUI108" s="38"/>
      <c r="DUO108" s="36"/>
      <c r="DUP108" s="38"/>
      <c r="DUQ108" s="38"/>
      <c r="DUW108" s="36"/>
      <c r="DUX108" s="38"/>
      <c r="DUY108" s="38"/>
      <c r="DVE108" s="36"/>
      <c r="DVF108" s="38"/>
      <c r="DVG108" s="38"/>
      <c r="DVM108" s="36"/>
      <c r="DVN108" s="38"/>
      <c r="DVO108" s="38"/>
      <c r="DVU108" s="36"/>
      <c r="DVV108" s="38"/>
      <c r="DVW108" s="38"/>
      <c r="DWC108" s="36"/>
      <c r="DWD108" s="38"/>
      <c r="DWE108" s="38"/>
      <c r="DWK108" s="36"/>
      <c r="DWL108" s="38"/>
      <c r="DWM108" s="38"/>
      <c r="DWS108" s="36"/>
      <c r="DWT108" s="38"/>
      <c r="DWU108" s="38"/>
      <c r="DXA108" s="36"/>
      <c r="DXB108" s="38"/>
      <c r="DXC108" s="38"/>
      <c r="DXI108" s="36"/>
      <c r="DXJ108" s="38"/>
      <c r="DXK108" s="38"/>
      <c r="DXQ108" s="36"/>
      <c r="DXR108" s="38"/>
      <c r="DXS108" s="38"/>
      <c r="DXY108" s="36"/>
      <c r="DXZ108" s="38"/>
      <c r="DYA108" s="38"/>
      <c r="DYG108" s="36"/>
      <c r="DYH108" s="38"/>
      <c r="DYI108" s="38"/>
      <c r="DYO108" s="36"/>
      <c r="DYP108" s="38"/>
      <c r="DYQ108" s="38"/>
      <c r="DYW108" s="36"/>
      <c r="DYX108" s="38"/>
      <c r="DYY108" s="38"/>
      <c r="DZE108" s="36"/>
      <c r="DZF108" s="38"/>
      <c r="DZG108" s="38"/>
      <c r="DZM108" s="36"/>
      <c r="DZN108" s="38"/>
      <c r="DZO108" s="38"/>
      <c r="DZU108" s="36"/>
      <c r="DZV108" s="38"/>
      <c r="DZW108" s="38"/>
      <c r="EAC108" s="36"/>
      <c r="EAD108" s="38"/>
      <c r="EAE108" s="38"/>
      <c r="EAK108" s="36"/>
      <c r="EAL108" s="38"/>
      <c r="EAM108" s="38"/>
      <c r="EAS108" s="36"/>
      <c r="EAT108" s="38"/>
      <c r="EAU108" s="38"/>
      <c r="EBA108" s="36"/>
      <c r="EBB108" s="38"/>
      <c r="EBC108" s="38"/>
      <c r="EBI108" s="36"/>
      <c r="EBJ108" s="38"/>
      <c r="EBK108" s="38"/>
      <c r="EBQ108" s="36"/>
      <c r="EBR108" s="38"/>
      <c r="EBS108" s="38"/>
      <c r="EBY108" s="36"/>
      <c r="EBZ108" s="38"/>
      <c r="ECA108" s="38"/>
      <c r="ECG108" s="36"/>
      <c r="ECH108" s="38"/>
      <c r="ECI108" s="38"/>
      <c r="ECO108" s="36"/>
      <c r="ECP108" s="38"/>
      <c r="ECQ108" s="38"/>
      <c r="ECW108" s="36"/>
      <c r="ECX108" s="38"/>
      <c r="ECY108" s="38"/>
      <c r="EDE108" s="36"/>
      <c r="EDF108" s="38"/>
      <c r="EDG108" s="38"/>
      <c r="EDM108" s="36"/>
      <c r="EDN108" s="38"/>
      <c r="EDO108" s="38"/>
      <c r="EDU108" s="36"/>
      <c r="EDV108" s="38"/>
      <c r="EDW108" s="38"/>
      <c r="EEC108" s="36"/>
      <c r="EED108" s="38"/>
      <c r="EEE108" s="38"/>
      <c r="EEK108" s="36"/>
      <c r="EEL108" s="38"/>
      <c r="EEM108" s="38"/>
      <c r="EES108" s="36"/>
      <c r="EET108" s="38"/>
      <c r="EEU108" s="38"/>
      <c r="EFA108" s="36"/>
      <c r="EFB108" s="38"/>
      <c r="EFC108" s="38"/>
      <c r="EFI108" s="36"/>
      <c r="EFJ108" s="38"/>
      <c r="EFK108" s="38"/>
      <c r="EFQ108" s="36"/>
      <c r="EFR108" s="38"/>
      <c r="EFS108" s="38"/>
      <c r="EFY108" s="36"/>
      <c r="EFZ108" s="38"/>
      <c r="EGA108" s="38"/>
      <c r="EGG108" s="36"/>
      <c r="EGH108" s="38"/>
      <c r="EGI108" s="38"/>
      <c r="EGO108" s="36"/>
      <c r="EGP108" s="38"/>
      <c r="EGQ108" s="38"/>
      <c r="EGW108" s="36"/>
      <c r="EGX108" s="38"/>
      <c r="EGY108" s="38"/>
      <c r="EHE108" s="36"/>
      <c r="EHF108" s="38"/>
      <c r="EHG108" s="38"/>
      <c r="EHM108" s="36"/>
      <c r="EHN108" s="38"/>
      <c r="EHO108" s="38"/>
      <c r="EHU108" s="36"/>
      <c r="EHV108" s="38"/>
      <c r="EHW108" s="38"/>
      <c r="EIC108" s="36"/>
      <c r="EID108" s="38"/>
      <c r="EIE108" s="38"/>
      <c r="EIK108" s="36"/>
      <c r="EIL108" s="38"/>
      <c r="EIM108" s="38"/>
      <c r="EIS108" s="36"/>
      <c r="EIT108" s="38"/>
      <c r="EIU108" s="38"/>
      <c r="EJA108" s="36"/>
      <c r="EJB108" s="38"/>
      <c r="EJC108" s="38"/>
      <c r="EJI108" s="36"/>
      <c r="EJJ108" s="38"/>
      <c r="EJK108" s="38"/>
      <c r="EJQ108" s="36"/>
      <c r="EJR108" s="38"/>
      <c r="EJS108" s="38"/>
      <c r="EJY108" s="36"/>
      <c r="EJZ108" s="38"/>
      <c r="EKA108" s="38"/>
      <c r="EKG108" s="36"/>
      <c r="EKH108" s="38"/>
      <c r="EKI108" s="38"/>
      <c r="EKO108" s="36"/>
      <c r="EKP108" s="38"/>
      <c r="EKQ108" s="38"/>
      <c r="EKW108" s="36"/>
      <c r="EKX108" s="38"/>
      <c r="EKY108" s="38"/>
      <c r="ELE108" s="36"/>
      <c r="ELF108" s="38"/>
      <c r="ELG108" s="38"/>
      <c r="ELM108" s="36"/>
      <c r="ELN108" s="38"/>
      <c r="ELO108" s="38"/>
      <c r="ELU108" s="36"/>
      <c r="ELV108" s="38"/>
      <c r="ELW108" s="38"/>
      <c r="EMC108" s="36"/>
      <c r="EMD108" s="38"/>
      <c r="EME108" s="38"/>
      <c r="EMK108" s="36"/>
      <c r="EML108" s="38"/>
      <c r="EMM108" s="38"/>
      <c r="EMS108" s="36"/>
      <c r="EMT108" s="38"/>
      <c r="EMU108" s="38"/>
      <c r="ENA108" s="36"/>
      <c r="ENB108" s="38"/>
      <c r="ENC108" s="38"/>
      <c r="ENI108" s="36"/>
      <c r="ENJ108" s="38"/>
      <c r="ENK108" s="38"/>
      <c r="ENQ108" s="36"/>
      <c r="ENR108" s="38"/>
      <c r="ENS108" s="38"/>
      <c r="ENY108" s="36"/>
      <c r="ENZ108" s="38"/>
      <c r="EOA108" s="38"/>
      <c r="EOG108" s="36"/>
      <c r="EOH108" s="38"/>
      <c r="EOI108" s="38"/>
      <c r="EOO108" s="36"/>
      <c r="EOP108" s="38"/>
      <c r="EOQ108" s="38"/>
      <c r="EOW108" s="36"/>
      <c r="EOX108" s="38"/>
      <c r="EOY108" s="38"/>
      <c r="EPE108" s="36"/>
      <c r="EPF108" s="38"/>
      <c r="EPG108" s="38"/>
      <c r="EPM108" s="36"/>
      <c r="EPN108" s="38"/>
      <c r="EPO108" s="38"/>
      <c r="EPU108" s="36"/>
      <c r="EPV108" s="38"/>
      <c r="EPW108" s="38"/>
      <c r="EQC108" s="36"/>
      <c r="EQD108" s="38"/>
      <c r="EQE108" s="38"/>
      <c r="EQK108" s="36"/>
      <c r="EQL108" s="38"/>
      <c r="EQM108" s="38"/>
      <c r="EQS108" s="36"/>
      <c r="EQT108" s="38"/>
      <c r="EQU108" s="38"/>
      <c r="ERA108" s="36"/>
      <c r="ERB108" s="38"/>
      <c r="ERC108" s="38"/>
      <c r="ERI108" s="36"/>
      <c r="ERJ108" s="38"/>
      <c r="ERK108" s="38"/>
      <c r="ERQ108" s="36"/>
      <c r="ERR108" s="38"/>
      <c r="ERS108" s="38"/>
      <c r="ERY108" s="36"/>
      <c r="ERZ108" s="38"/>
      <c r="ESA108" s="38"/>
      <c r="ESG108" s="36"/>
      <c r="ESH108" s="38"/>
      <c r="ESI108" s="38"/>
      <c r="ESO108" s="36"/>
      <c r="ESP108" s="38"/>
      <c r="ESQ108" s="38"/>
      <c r="ESW108" s="36"/>
      <c r="ESX108" s="38"/>
      <c r="ESY108" s="38"/>
      <c r="ETE108" s="36"/>
      <c r="ETF108" s="38"/>
      <c r="ETG108" s="38"/>
      <c r="ETM108" s="36"/>
      <c r="ETN108" s="38"/>
      <c r="ETO108" s="38"/>
      <c r="ETU108" s="36"/>
      <c r="ETV108" s="38"/>
      <c r="ETW108" s="38"/>
      <c r="EUC108" s="36"/>
      <c r="EUD108" s="38"/>
      <c r="EUE108" s="38"/>
      <c r="EUK108" s="36"/>
      <c r="EUL108" s="38"/>
      <c r="EUM108" s="38"/>
      <c r="EUS108" s="36"/>
      <c r="EUT108" s="38"/>
      <c r="EUU108" s="38"/>
      <c r="EVA108" s="36"/>
      <c r="EVB108" s="38"/>
      <c r="EVC108" s="38"/>
      <c r="EVI108" s="36"/>
      <c r="EVJ108" s="38"/>
      <c r="EVK108" s="38"/>
      <c r="EVQ108" s="36"/>
      <c r="EVR108" s="38"/>
      <c r="EVS108" s="38"/>
      <c r="EVY108" s="36"/>
      <c r="EVZ108" s="38"/>
      <c r="EWA108" s="38"/>
      <c r="EWG108" s="36"/>
      <c r="EWH108" s="38"/>
      <c r="EWI108" s="38"/>
      <c r="EWO108" s="36"/>
      <c r="EWP108" s="38"/>
      <c r="EWQ108" s="38"/>
      <c r="EWW108" s="36"/>
      <c r="EWX108" s="38"/>
      <c r="EWY108" s="38"/>
      <c r="EXE108" s="36"/>
      <c r="EXF108" s="38"/>
      <c r="EXG108" s="38"/>
      <c r="EXM108" s="36"/>
      <c r="EXN108" s="38"/>
      <c r="EXO108" s="38"/>
      <c r="EXU108" s="36"/>
      <c r="EXV108" s="38"/>
      <c r="EXW108" s="38"/>
      <c r="EYC108" s="36"/>
      <c r="EYD108" s="38"/>
      <c r="EYE108" s="38"/>
      <c r="EYK108" s="36"/>
      <c r="EYL108" s="38"/>
      <c r="EYM108" s="38"/>
      <c r="EYS108" s="36"/>
      <c r="EYT108" s="38"/>
      <c r="EYU108" s="38"/>
      <c r="EZA108" s="36"/>
      <c r="EZB108" s="38"/>
      <c r="EZC108" s="38"/>
      <c r="EZI108" s="36"/>
      <c r="EZJ108" s="38"/>
      <c r="EZK108" s="38"/>
      <c r="EZQ108" s="36"/>
      <c r="EZR108" s="38"/>
      <c r="EZS108" s="38"/>
      <c r="EZY108" s="36"/>
      <c r="EZZ108" s="38"/>
      <c r="FAA108" s="38"/>
      <c r="FAG108" s="36"/>
      <c r="FAH108" s="38"/>
      <c r="FAI108" s="38"/>
      <c r="FAO108" s="36"/>
      <c r="FAP108" s="38"/>
      <c r="FAQ108" s="38"/>
      <c r="FAW108" s="36"/>
      <c r="FAX108" s="38"/>
      <c r="FAY108" s="38"/>
      <c r="FBE108" s="36"/>
      <c r="FBF108" s="38"/>
      <c r="FBG108" s="38"/>
      <c r="FBM108" s="36"/>
      <c r="FBN108" s="38"/>
      <c r="FBO108" s="38"/>
      <c r="FBU108" s="36"/>
      <c r="FBV108" s="38"/>
      <c r="FBW108" s="38"/>
      <c r="FCC108" s="36"/>
      <c r="FCD108" s="38"/>
      <c r="FCE108" s="38"/>
      <c r="FCK108" s="36"/>
      <c r="FCL108" s="38"/>
      <c r="FCM108" s="38"/>
      <c r="FCS108" s="36"/>
      <c r="FCT108" s="38"/>
      <c r="FCU108" s="38"/>
      <c r="FDA108" s="36"/>
      <c r="FDB108" s="38"/>
      <c r="FDC108" s="38"/>
      <c r="FDI108" s="36"/>
      <c r="FDJ108" s="38"/>
      <c r="FDK108" s="38"/>
      <c r="FDQ108" s="36"/>
      <c r="FDR108" s="38"/>
      <c r="FDS108" s="38"/>
      <c r="FDY108" s="36"/>
      <c r="FDZ108" s="38"/>
      <c r="FEA108" s="38"/>
      <c r="FEG108" s="36"/>
      <c r="FEH108" s="38"/>
      <c r="FEI108" s="38"/>
      <c r="FEO108" s="36"/>
      <c r="FEP108" s="38"/>
      <c r="FEQ108" s="38"/>
      <c r="FEW108" s="36"/>
      <c r="FEX108" s="38"/>
      <c r="FEY108" s="38"/>
      <c r="FFE108" s="36"/>
      <c r="FFF108" s="38"/>
      <c r="FFG108" s="38"/>
      <c r="FFM108" s="36"/>
      <c r="FFN108" s="38"/>
      <c r="FFO108" s="38"/>
      <c r="FFU108" s="36"/>
      <c r="FFV108" s="38"/>
      <c r="FFW108" s="38"/>
      <c r="FGC108" s="36"/>
      <c r="FGD108" s="38"/>
      <c r="FGE108" s="38"/>
      <c r="FGK108" s="36"/>
      <c r="FGL108" s="38"/>
      <c r="FGM108" s="38"/>
      <c r="FGS108" s="36"/>
      <c r="FGT108" s="38"/>
      <c r="FGU108" s="38"/>
      <c r="FHA108" s="36"/>
      <c r="FHB108" s="38"/>
      <c r="FHC108" s="38"/>
      <c r="FHI108" s="36"/>
      <c r="FHJ108" s="38"/>
      <c r="FHK108" s="38"/>
      <c r="FHQ108" s="36"/>
      <c r="FHR108" s="38"/>
      <c r="FHS108" s="38"/>
      <c r="FHY108" s="36"/>
      <c r="FHZ108" s="38"/>
      <c r="FIA108" s="38"/>
      <c r="FIG108" s="36"/>
      <c r="FIH108" s="38"/>
      <c r="FII108" s="38"/>
      <c r="FIO108" s="36"/>
      <c r="FIP108" s="38"/>
      <c r="FIQ108" s="38"/>
      <c r="FIW108" s="36"/>
      <c r="FIX108" s="38"/>
      <c r="FIY108" s="38"/>
      <c r="FJE108" s="36"/>
      <c r="FJF108" s="38"/>
      <c r="FJG108" s="38"/>
      <c r="FJM108" s="36"/>
      <c r="FJN108" s="38"/>
      <c r="FJO108" s="38"/>
      <c r="FJU108" s="36"/>
      <c r="FJV108" s="38"/>
      <c r="FJW108" s="38"/>
      <c r="FKC108" s="36"/>
      <c r="FKD108" s="38"/>
      <c r="FKE108" s="38"/>
      <c r="FKK108" s="36"/>
      <c r="FKL108" s="38"/>
      <c r="FKM108" s="38"/>
      <c r="FKS108" s="36"/>
      <c r="FKT108" s="38"/>
      <c r="FKU108" s="38"/>
      <c r="FLA108" s="36"/>
      <c r="FLB108" s="38"/>
      <c r="FLC108" s="38"/>
      <c r="FLI108" s="36"/>
      <c r="FLJ108" s="38"/>
      <c r="FLK108" s="38"/>
      <c r="FLQ108" s="36"/>
      <c r="FLR108" s="38"/>
      <c r="FLS108" s="38"/>
      <c r="FLY108" s="36"/>
      <c r="FLZ108" s="38"/>
      <c r="FMA108" s="38"/>
      <c r="FMG108" s="36"/>
      <c r="FMH108" s="38"/>
      <c r="FMI108" s="38"/>
      <c r="FMO108" s="36"/>
      <c r="FMP108" s="38"/>
      <c r="FMQ108" s="38"/>
      <c r="FMW108" s="36"/>
      <c r="FMX108" s="38"/>
      <c r="FMY108" s="38"/>
      <c r="FNE108" s="36"/>
      <c r="FNF108" s="38"/>
      <c r="FNG108" s="38"/>
      <c r="FNM108" s="36"/>
      <c r="FNN108" s="38"/>
      <c r="FNO108" s="38"/>
      <c r="FNU108" s="36"/>
      <c r="FNV108" s="38"/>
      <c r="FNW108" s="38"/>
      <c r="FOC108" s="36"/>
      <c r="FOD108" s="38"/>
      <c r="FOE108" s="38"/>
      <c r="FOK108" s="36"/>
      <c r="FOL108" s="38"/>
      <c r="FOM108" s="38"/>
      <c r="FOS108" s="36"/>
      <c r="FOT108" s="38"/>
      <c r="FOU108" s="38"/>
      <c r="FPA108" s="36"/>
      <c r="FPB108" s="38"/>
      <c r="FPC108" s="38"/>
      <c r="FPI108" s="36"/>
      <c r="FPJ108" s="38"/>
      <c r="FPK108" s="38"/>
      <c r="FPQ108" s="36"/>
      <c r="FPR108" s="38"/>
      <c r="FPS108" s="38"/>
      <c r="FPY108" s="36"/>
      <c r="FPZ108" s="38"/>
      <c r="FQA108" s="38"/>
      <c r="FQG108" s="36"/>
      <c r="FQH108" s="38"/>
      <c r="FQI108" s="38"/>
      <c r="FQO108" s="36"/>
      <c r="FQP108" s="38"/>
      <c r="FQQ108" s="38"/>
      <c r="FQW108" s="36"/>
      <c r="FQX108" s="38"/>
      <c r="FQY108" s="38"/>
      <c r="FRE108" s="36"/>
      <c r="FRF108" s="38"/>
      <c r="FRG108" s="38"/>
      <c r="FRM108" s="36"/>
      <c r="FRN108" s="38"/>
      <c r="FRO108" s="38"/>
      <c r="FRU108" s="36"/>
      <c r="FRV108" s="38"/>
      <c r="FRW108" s="38"/>
      <c r="FSC108" s="36"/>
      <c r="FSD108" s="38"/>
      <c r="FSE108" s="38"/>
      <c r="FSK108" s="36"/>
      <c r="FSL108" s="38"/>
      <c r="FSM108" s="38"/>
      <c r="FSS108" s="36"/>
      <c r="FST108" s="38"/>
      <c r="FSU108" s="38"/>
      <c r="FTA108" s="36"/>
      <c r="FTB108" s="38"/>
      <c r="FTC108" s="38"/>
      <c r="FTI108" s="36"/>
      <c r="FTJ108" s="38"/>
      <c r="FTK108" s="38"/>
      <c r="FTQ108" s="36"/>
      <c r="FTR108" s="38"/>
      <c r="FTS108" s="38"/>
      <c r="FTY108" s="36"/>
      <c r="FTZ108" s="38"/>
      <c r="FUA108" s="38"/>
      <c r="FUG108" s="36"/>
      <c r="FUH108" s="38"/>
      <c r="FUI108" s="38"/>
      <c r="FUO108" s="36"/>
      <c r="FUP108" s="38"/>
      <c r="FUQ108" s="38"/>
      <c r="FUW108" s="36"/>
      <c r="FUX108" s="38"/>
      <c r="FUY108" s="38"/>
      <c r="FVE108" s="36"/>
      <c r="FVF108" s="38"/>
      <c r="FVG108" s="38"/>
      <c r="FVM108" s="36"/>
      <c r="FVN108" s="38"/>
      <c r="FVO108" s="38"/>
      <c r="FVU108" s="36"/>
      <c r="FVV108" s="38"/>
      <c r="FVW108" s="38"/>
      <c r="FWC108" s="36"/>
      <c r="FWD108" s="38"/>
      <c r="FWE108" s="38"/>
      <c r="FWK108" s="36"/>
      <c r="FWL108" s="38"/>
      <c r="FWM108" s="38"/>
      <c r="FWS108" s="36"/>
      <c r="FWT108" s="38"/>
      <c r="FWU108" s="38"/>
      <c r="FXA108" s="36"/>
      <c r="FXB108" s="38"/>
      <c r="FXC108" s="38"/>
      <c r="FXI108" s="36"/>
      <c r="FXJ108" s="38"/>
      <c r="FXK108" s="38"/>
      <c r="FXQ108" s="36"/>
      <c r="FXR108" s="38"/>
      <c r="FXS108" s="38"/>
      <c r="FXY108" s="36"/>
      <c r="FXZ108" s="38"/>
      <c r="FYA108" s="38"/>
      <c r="FYG108" s="36"/>
      <c r="FYH108" s="38"/>
      <c r="FYI108" s="38"/>
      <c r="FYO108" s="36"/>
      <c r="FYP108" s="38"/>
      <c r="FYQ108" s="38"/>
      <c r="FYW108" s="36"/>
      <c r="FYX108" s="38"/>
      <c r="FYY108" s="38"/>
      <c r="FZE108" s="36"/>
      <c r="FZF108" s="38"/>
      <c r="FZG108" s="38"/>
      <c r="FZM108" s="36"/>
      <c r="FZN108" s="38"/>
      <c r="FZO108" s="38"/>
      <c r="FZU108" s="36"/>
      <c r="FZV108" s="38"/>
      <c r="FZW108" s="38"/>
      <c r="GAC108" s="36"/>
      <c r="GAD108" s="38"/>
      <c r="GAE108" s="38"/>
      <c r="GAK108" s="36"/>
      <c r="GAL108" s="38"/>
      <c r="GAM108" s="38"/>
      <c r="GAS108" s="36"/>
      <c r="GAT108" s="38"/>
      <c r="GAU108" s="38"/>
      <c r="GBA108" s="36"/>
      <c r="GBB108" s="38"/>
      <c r="GBC108" s="38"/>
      <c r="GBI108" s="36"/>
      <c r="GBJ108" s="38"/>
      <c r="GBK108" s="38"/>
      <c r="GBQ108" s="36"/>
      <c r="GBR108" s="38"/>
      <c r="GBS108" s="38"/>
      <c r="GBY108" s="36"/>
      <c r="GBZ108" s="38"/>
      <c r="GCA108" s="38"/>
      <c r="GCG108" s="36"/>
      <c r="GCH108" s="38"/>
      <c r="GCI108" s="38"/>
      <c r="GCO108" s="36"/>
      <c r="GCP108" s="38"/>
      <c r="GCQ108" s="38"/>
      <c r="GCW108" s="36"/>
      <c r="GCX108" s="38"/>
      <c r="GCY108" s="38"/>
      <c r="GDE108" s="36"/>
      <c r="GDF108" s="38"/>
      <c r="GDG108" s="38"/>
      <c r="GDM108" s="36"/>
      <c r="GDN108" s="38"/>
      <c r="GDO108" s="38"/>
      <c r="GDU108" s="36"/>
      <c r="GDV108" s="38"/>
      <c r="GDW108" s="38"/>
      <c r="GEC108" s="36"/>
      <c r="GED108" s="38"/>
      <c r="GEE108" s="38"/>
      <c r="GEK108" s="36"/>
      <c r="GEL108" s="38"/>
      <c r="GEM108" s="38"/>
      <c r="GES108" s="36"/>
      <c r="GET108" s="38"/>
      <c r="GEU108" s="38"/>
      <c r="GFA108" s="36"/>
      <c r="GFB108" s="38"/>
      <c r="GFC108" s="38"/>
      <c r="GFI108" s="36"/>
      <c r="GFJ108" s="38"/>
      <c r="GFK108" s="38"/>
      <c r="GFQ108" s="36"/>
      <c r="GFR108" s="38"/>
      <c r="GFS108" s="38"/>
      <c r="GFY108" s="36"/>
      <c r="GFZ108" s="38"/>
      <c r="GGA108" s="38"/>
      <c r="GGG108" s="36"/>
      <c r="GGH108" s="38"/>
      <c r="GGI108" s="38"/>
      <c r="GGO108" s="36"/>
      <c r="GGP108" s="38"/>
      <c r="GGQ108" s="38"/>
      <c r="GGW108" s="36"/>
      <c r="GGX108" s="38"/>
      <c r="GGY108" s="38"/>
      <c r="GHE108" s="36"/>
      <c r="GHF108" s="38"/>
      <c r="GHG108" s="38"/>
      <c r="GHM108" s="36"/>
      <c r="GHN108" s="38"/>
      <c r="GHO108" s="38"/>
      <c r="GHU108" s="36"/>
      <c r="GHV108" s="38"/>
      <c r="GHW108" s="38"/>
      <c r="GIC108" s="36"/>
      <c r="GID108" s="38"/>
      <c r="GIE108" s="38"/>
      <c r="GIK108" s="36"/>
      <c r="GIL108" s="38"/>
      <c r="GIM108" s="38"/>
      <c r="GIS108" s="36"/>
      <c r="GIT108" s="38"/>
      <c r="GIU108" s="38"/>
      <c r="GJA108" s="36"/>
      <c r="GJB108" s="38"/>
      <c r="GJC108" s="38"/>
      <c r="GJI108" s="36"/>
      <c r="GJJ108" s="38"/>
      <c r="GJK108" s="38"/>
      <c r="GJQ108" s="36"/>
      <c r="GJR108" s="38"/>
      <c r="GJS108" s="38"/>
      <c r="GJY108" s="36"/>
      <c r="GJZ108" s="38"/>
      <c r="GKA108" s="38"/>
      <c r="GKG108" s="36"/>
      <c r="GKH108" s="38"/>
      <c r="GKI108" s="38"/>
      <c r="GKO108" s="36"/>
      <c r="GKP108" s="38"/>
      <c r="GKQ108" s="38"/>
      <c r="GKW108" s="36"/>
      <c r="GKX108" s="38"/>
      <c r="GKY108" s="38"/>
      <c r="GLE108" s="36"/>
      <c r="GLF108" s="38"/>
      <c r="GLG108" s="38"/>
      <c r="GLM108" s="36"/>
      <c r="GLN108" s="38"/>
      <c r="GLO108" s="38"/>
      <c r="GLU108" s="36"/>
      <c r="GLV108" s="38"/>
      <c r="GLW108" s="38"/>
      <c r="GMC108" s="36"/>
      <c r="GMD108" s="38"/>
      <c r="GME108" s="38"/>
      <c r="GMK108" s="36"/>
      <c r="GML108" s="38"/>
      <c r="GMM108" s="38"/>
      <c r="GMS108" s="36"/>
      <c r="GMT108" s="38"/>
      <c r="GMU108" s="38"/>
      <c r="GNA108" s="36"/>
      <c r="GNB108" s="38"/>
      <c r="GNC108" s="38"/>
      <c r="GNI108" s="36"/>
      <c r="GNJ108" s="38"/>
      <c r="GNK108" s="38"/>
      <c r="GNQ108" s="36"/>
      <c r="GNR108" s="38"/>
      <c r="GNS108" s="38"/>
      <c r="GNY108" s="36"/>
      <c r="GNZ108" s="38"/>
      <c r="GOA108" s="38"/>
      <c r="GOG108" s="36"/>
      <c r="GOH108" s="38"/>
      <c r="GOI108" s="38"/>
      <c r="GOO108" s="36"/>
      <c r="GOP108" s="38"/>
      <c r="GOQ108" s="38"/>
      <c r="GOW108" s="36"/>
      <c r="GOX108" s="38"/>
      <c r="GOY108" s="38"/>
      <c r="GPE108" s="36"/>
      <c r="GPF108" s="38"/>
      <c r="GPG108" s="38"/>
      <c r="GPM108" s="36"/>
      <c r="GPN108" s="38"/>
      <c r="GPO108" s="38"/>
      <c r="GPU108" s="36"/>
      <c r="GPV108" s="38"/>
      <c r="GPW108" s="38"/>
      <c r="GQC108" s="36"/>
      <c r="GQD108" s="38"/>
      <c r="GQE108" s="38"/>
      <c r="GQK108" s="36"/>
      <c r="GQL108" s="38"/>
      <c r="GQM108" s="38"/>
      <c r="GQS108" s="36"/>
      <c r="GQT108" s="38"/>
      <c r="GQU108" s="38"/>
      <c r="GRA108" s="36"/>
      <c r="GRB108" s="38"/>
      <c r="GRC108" s="38"/>
      <c r="GRI108" s="36"/>
      <c r="GRJ108" s="38"/>
      <c r="GRK108" s="38"/>
      <c r="GRQ108" s="36"/>
      <c r="GRR108" s="38"/>
      <c r="GRS108" s="38"/>
      <c r="GRY108" s="36"/>
      <c r="GRZ108" s="38"/>
      <c r="GSA108" s="38"/>
      <c r="GSG108" s="36"/>
      <c r="GSH108" s="38"/>
      <c r="GSI108" s="38"/>
      <c r="GSO108" s="36"/>
      <c r="GSP108" s="38"/>
      <c r="GSQ108" s="38"/>
      <c r="GSW108" s="36"/>
      <c r="GSX108" s="38"/>
      <c r="GSY108" s="38"/>
      <c r="GTE108" s="36"/>
      <c r="GTF108" s="38"/>
      <c r="GTG108" s="38"/>
      <c r="GTM108" s="36"/>
      <c r="GTN108" s="38"/>
      <c r="GTO108" s="38"/>
      <c r="GTU108" s="36"/>
      <c r="GTV108" s="38"/>
      <c r="GTW108" s="38"/>
      <c r="GUC108" s="36"/>
      <c r="GUD108" s="38"/>
      <c r="GUE108" s="38"/>
      <c r="GUK108" s="36"/>
      <c r="GUL108" s="38"/>
      <c r="GUM108" s="38"/>
      <c r="GUS108" s="36"/>
      <c r="GUT108" s="38"/>
      <c r="GUU108" s="38"/>
      <c r="GVA108" s="36"/>
      <c r="GVB108" s="38"/>
      <c r="GVC108" s="38"/>
      <c r="GVI108" s="36"/>
      <c r="GVJ108" s="38"/>
      <c r="GVK108" s="38"/>
      <c r="GVQ108" s="36"/>
      <c r="GVR108" s="38"/>
      <c r="GVS108" s="38"/>
      <c r="GVY108" s="36"/>
      <c r="GVZ108" s="38"/>
      <c r="GWA108" s="38"/>
      <c r="GWG108" s="36"/>
      <c r="GWH108" s="38"/>
      <c r="GWI108" s="38"/>
      <c r="GWO108" s="36"/>
      <c r="GWP108" s="38"/>
      <c r="GWQ108" s="38"/>
      <c r="GWW108" s="36"/>
      <c r="GWX108" s="38"/>
      <c r="GWY108" s="38"/>
      <c r="GXE108" s="36"/>
      <c r="GXF108" s="38"/>
      <c r="GXG108" s="38"/>
      <c r="GXM108" s="36"/>
      <c r="GXN108" s="38"/>
      <c r="GXO108" s="38"/>
      <c r="GXU108" s="36"/>
      <c r="GXV108" s="38"/>
      <c r="GXW108" s="38"/>
      <c r="GYC108" s="36"/>
      <c r="GYD108" s="38"/>
      <c r="GYE108" s="38"/>
      <c r="GYK108" s="36"/>
      <c r="GYL108" s="38"/>
      <c r="GYM108" s="38"/>
      <c r="GYS108" s="36"/>
      <c r="GYT108" s="38"/>
      <c r="GYU108" s="38"/>
      <c r="GZA108" s="36"/>
      <c r="GZB108" s="38"/>
      <c r="GZC108" s="38"/>
      <c r="GZI108" s="36"/>
      <c r="GZJ108" s="38"/>
      <c r="GZK108" s="38"/>
      <c r="GZQ108" s="36"/>
      <c r="GZR108" s="38"/>
      <c r="GZS108" s="38"/>
      <c r="GZY108" s="36"/>
      <c r="GZZ108" s="38"/>
      <c r="HAA108" s="38"/>
      <c r="HAG108" s="36"/>
      <c r="HAH108" s="38"/>
      <c r="HAI108" s="38"/>
      <c r="HAO108" s="36"/>
      <c r="HAP108" s="38"/>
      <c r="HAQ108" s="38"/>
      <c r="HAW108" s="36"/>
      <c r="HAX108" s="38"/>
      <c r="HAY108" s="38"/>
      <c r="HBE108" s="36"/>
      <c r="HBF108" s="38"/>
      <c r="HBG108" s="38"/>
      <c r="HBM108" s="36"/>
      <c r="HBN108" s="38"/>
      <c r="HBO108" s="38"/>
      <c r="HBU108" s="36"/>
      <c r="HBV108" s="38"/>
      <c r="HBW108" s="38"/>
      <c r="HCC108" s="36"/>
      <c r="HCD108" s="38"/>
      <c r="HCE108" s="38"/>
      <c r="HCK108" s="36"/>
      <c r="HCL108" s="38"/>
      <c r="HCM108" s="38"/>
      <c r="HCS108" s="36"/>
      <c r="HCT108" s="38"/>
      <c r="HCU108" s="38"/>
      <c r="HDA108" s="36"/>
      <c r="HDB108" s="38"/>
      <c r="HDC108" s="38"/>
      <c r="HDI108" s="36"/>
      <c r="HDJ108" s="38"/>
      <c r="HDK108" s="38"/>
      <c r="HDQ108" s="36"/>
      <c r="HDR108" s="38"/>
      <c r="HDS108" s="38"/>
      <c r="HDY108" s="36"/>
      <c r="HDZ108" s="38"/>
      <c r="HEA108" s="38"/>
      <c r="HEG108" s="36"/>
      <c r="HEH108" s="38"/>
      <c r="HEI108" s="38"/>
      <c r="HEO108" s="36"/>
      <c r="HEP108" s="38"/>
      <c r="HEQ108" s="38"/>
      <c r="HEW108" s="36"/>
      <c r="HEX108" s="38"/>
      <c r="HEY108" s="38"/>
      <c r="HFE108" s="36"/>
      <c r="HFF108" s="38"/>
      <c r="HFG108" s="38"/>
      <c r="HFM108" s="36"/>
      <c r="HFN108" s="38"/>
      <c r="HFO108" s="38"/>
      <c r="HFU108" s="36"/>
      <c r="HFV108" s="38"/>
      <c r="HFW108" s="38"/>
      <c r="HGC108" s="36"/>
      <c r="HGD108" s="38"/>
      <c r="HGE108" s="38"/>
      <c r="HGK108" s="36"/>
      <c r="HGL108" s="38"/>
      <c r="HGM108" s="38"/>
      <c r="HGS108" s="36"/>
      <c r="HGT108" s="38"/>
      <c r="HGU108" s="38"/>
      <c r="HHA108" s="36"/>
      <c r="HHB108" s="38"/>
      <c r="HHC108" s="38"/>
      <c r="HHI108" s="36"/>
      <c r="HHJ108" s="38"/>
      <c r="HHK108" s="38"/>
      <c r="HHQ108" s="36"/>
      <c r="HHR108" s="38"/>
      <c r="HHS108" s="38"/>
      <c r="HHY108" s="36"/>
      <c r="HHZ108" s="38"/>
      <c r="HIA108" s="38"/>
      <c r="HIG108" s="36"/>
      <c r="HIH108" s="38"/>
      <c r="HII108" s="38"/>
      <c r="HIO108" s="36"/>
      <c r="HIP108" s="38"/>
      <c r="HIQ108" s="38"/>
      <c r="HIW108" s="36"/>
      <c r="HIX108" s="38"/>
      <c r="HIY108" s="38"/>
      <c r="HJE108" s="36"/>
      <c r="HJF108" s="38"/>
      <c r="HJG108" s="38"/>
      <c r="HJM108" s="36"/>
      <c r="HJN108" s="38"/>
      <c r="HJO108" s="38"/>
      <c r="HJU108" s="36"/>
      <c r="HJV108" s="38"/>
      <c r="HJW108" s="38"/>
      <c r="HKC108" s="36"/>
      <c r="HKD108" s="38"/>
      <c r="HKE108" s="38"/>
      <c r="HKK108" s="36"/>
      <c r="HKL108" s="38"/>
      <c r="HKM108" s="38"/>
      <c r="HKS108" s="36"/>
      <c r="HKT108" s="38"/>
      <c r="HKU108" s="38"/>
      <c r="HLA108" s="36"/>
      <c r="HLB108" s="38"/>
      <c r="HLC108" s="38"/>
      <c r="HLI108" s="36"/>
      <c r="HLJ108" s="38"/>
      <c r="HLK108" s="38"/>
      <c r="HLQ108" s="36"/>
      <c r="HLR108" s="38"/>
      <c r="HLS108" s="38"/>
      <c r="HLY108" s="36"/>
      <c r="HLZ108" s="38"/>
      <c r="HMA108" s="38"/>
      <c r="HMG108" s="36"/>
      <c r="HMH108" s="38"/>
      <c r="HMI108" s="38"/>
      <c r="HMO108" s="36"/>
      <c r="HMP108" s="38"/>
      <c r="HMQ108" s="38"/>
      <c r="HMW108" s="36"/>
      <c r="HMX108" s="38"/>
      <c r="HMY108" s="38"/>
      <c r="HNE108" s="36"/>
      <c r="HNF108" s="38"/>
      <c r="HNG108" s="38"/>
      <c r="HNM108" s="36"/>
      <c r="HNN108" s="38"/>
      <c r="HNO108" s="38"/>
      <c r="HNU108" s="36"/>
      <c r="HNV108" s="38"/>
      <c r="HNW108" s="38"/>
      <c r="HOC108" s="36"/>
      <c r="HOD108" s="38"/>
      <c r="HOE108" s="38"/>
      <c r="HOK108" s="36"/>
      <c r="HOL108" s="38"/>
      <c r="HOM108" s="38"/>
      <c r="HOS108" s="36"/>
      <c r="HOT108" s="38"/>
      <c r="HOU108" s="38"/>
      <c r="HPA108" s="36"/>
      <c r="HPB108" s="38"/>
      <c r="HPC108" s="38"/>
      <c r="HPI108" s="36"/>
      <c r="HPJ108" s="38"/>
      <c r="HPK108" s="38"/>
      <c r="HPQ108" s="36"/>
      <c r="HPR108" s="38"/>
      <c r="HPS108" s="38"/>
      <c r="HPY108" s="36"/>
      <c r="HPZ108" s="38"/>
      <c r="HQA108" s="38"/>
      <c r="HQG108" s="36"/>
      <c r="HQH108" s="38"/>
      <c r="HQI108" s="38"/>
      <c r="HQO108" s="36"/>
      <c r="HQP108" s="38"/>
      <c r="HQQ108" s="38"/>
      <c r="HQW108" s="36"/>
      <c r="HQX108" s="38"/>
      <c r="HQY108" s="38"/>
      <c r="HRE108" s="36"/>
      <c r="HRF108" s="38"/>
      <c r="HRG108" s="38"/>
      <c r="HRM108" s="36"/>
      <c r="HRN108" s="38"/>
      <c r="HRO108" s="38"/>
      <c r="HRU108" s="36"/>
      <c r="HRV108" s="38"/>
      <c r="HRW108" s="38"/>
      <c r="HSC108" s="36"/>
      <c r="HSD108" s="38"/>
      <c r="HSE108" s="38"/>
      <c r="HSK108" s="36"/>
      <c r="HSL108" s="38"/>
      <c r="HSM108" s="38"/>
      <c r="HSS108" s="36"/>
      <c r="HST108" s="38"/>
      <c r="HSU108" s="38"/>
      <c r="HTA108" s="36"/>
      <c r="HTB108" s="38"/>
      <c r="HTC108" s="38"/>
      <c r="HTI108" s="36"/>
      <c r="HTJ108" s="38"/>
      <c r="HTK108" s="38"/>
      <c r="HTQ108" s="36"/>
      <c r="HTR108" s="38"/>
      <c r="HTS108" s="38"/>
      <c r="HTY108" s="36"/>
      <c r="HTZ108" s="38"/>
      <c r="HUA108" s="38"/>
      <c r="HUG108" s="36"/>
      <c r="HUH108" s="38"/>
      <c r="HUI108" s="38"/>
      <c r="HUO108" s="36"/>
      <c r="HUP108" s="38"/>
      <c r="HUQ108" s="38"/>
      <c r="HUW108" s="36"/>
      <c r="HUX108" s="38"/>
      <c r="HUY108" s="38"/>
      <c r="HVE108" s="36"/>
      <c r="HVF108" s="38"/>
      <c r="HVG108" s="38"/>
      <c r="HVM108" s="36"/>
      <c r="HVN108" s="38"/>
      <c r="HVO108" s="38"/>
      <c r="HVU108" s="36"/>
      <c r="HVV108" s="38"/>
      <c r="HVW108" s="38"/>
      <c r="HWC108" s="36"/>
      <c r="HWD108" s="38"/>
      <c r="HWE108" s="38"/>
      <c r="HWK108" s="36"/>
      <c r="HWL108" s="38"/>
      <c r="HWM108" s="38"/>
      <c r="HWS108" s="36"/>
      <c r="HWT108" s="38"/>
      <c r="HWU108" s="38"/>
      <c r="HXA108" s="36"/>
      <c r="HXB108" s="38"/>
      <c r="HXC108" s="38"/>
      <c r="HXI108" s="36"/>
      <c r="HXJ108" s="38"/>
      <c r="HXK108" s="38"/>
      <c r="HXQ108" s="36"/>
      <c r="HXR108" s="38"/>
      <c r="HXS108" s="38"/>
      <c r="HXY108" s="36"/>
      <c r="HXZ108" s="38"/>
      <c r="HYA108" s="38"/>
      <c r="HYG108" s="36"/>
      <c r="HYH108" s="38"/>
      <c r="HYI108" s="38"/>
      <c r="HYO108" s="36"/>
      <c r="HYP108" s="38"/>
      <c r="HYQ108" s="38"/>
      <c r="HYW108" s="36"/>
      <c r="HYX108" s="38"/>
      <c r="HYY108" s="38"/>
      <c r="HZE108" s="36"/>
      <c r="HZF108" s="38"/>
      <c r="HZG108" s="38"/>
      <c r="HZM108" s="36"/>
      <c r="HZN108" s="38"/>
      <c r="HZO108" s="38"/>
      <c r="HZU108" s="36"/>
      <c r="HZV108" s="38"/>
      <c r="HZW108" s="38"/>
      <c r="IAC108" s="36"/>
      <c r="IAD108" s="38"/>
      <c r="IAE108" s="38"/>
      <c r="IAK108" s="36"/>
      <c r="IAL108" s="38"/>
      <c r="IAM108" s="38"/>
      <c r="IAS108" s="36"/>
      <c r="IAT108" s="38"/>
      <c r="IAU108" s="38"/>
      <c r="IBA108" s="36"/>
      <c r="IBB108" s="38"/>
      <c r="IBC108" s="38"/>
      <c r="IBI108" s="36"/>
      <c r="IBJ108" s="38"/>
      <c r="IBK108" s="38"/>
      <c r="IBQ108" s="36"/>
      <c r="IBR108" s="38"/>
      <c r="IBS108" s="38"/>
      <c r="IBY108" s="36"/>
      <c r="IBZ108" s="38"/>
      <c r="ICA108" s="38"/>
      <c r="ICG108" s="36"/>
      <c r="ICH108" s="38"/>
      <c r="ICI108" s="38"/>
      <c r="ICO108" s="36"/>
      <c r="ICP108" s="38"/>
      <c r="ICQ108" s="38"/>
      <c r="ICW108" s="36"/>
      <c r="ICX108" s="38"/>
      <c r="ICY108" s="38"/>
      <c r="IDE108" s="36"/>
      <c r="IDF108" s="38"/>
      <c r="IDG108" s="38"/>
      <c r="IDM108" s="36"/>
      <c r="IDN108" s="38"/>
      <c r="IDO108" s="38"/>
      <c r="IDU108" s="36"/>
      <c r="IDV108" s="38"/>
      <c r="IDW108" s="38"/>
      <c r="IEC108" s="36"/>
      <c r="IED108" s="38"/>
      <c r="IEE108" s="38"/>
      <c r="IEK108" s="36"/>
      <c r="IEL108" s="38"/>
      <c r="IEM108" s="38"/>
      <c r="IES108" s="36"/>
      <c r="IET108" s="38"/>
      <c r="IEU108" s="38"/>
      <c r="IFA108" s="36"/>
      <c r="IFB108" s="38"/>
      <c r="IFC108" s="38"/>
      <c r="IFI108" s="36"/>
      <c r="IFJ108" s="38"/>
      <c r="IFK108" s="38"/>
      <c r="IFQ108" s="36"/>
      <c r="IFR108" s="38"/>
      <c r="IFS108" s="38"/>
      <c r="IFY108" s="36"/>
      <c r="IFZ108" s="38"/>
      <c r="IGA108" s="38"/>
      <c r="IGG108" s="36"/>
      <c r="IGH108" s="38"/>
      <c r="IGI108" s="38"/>
      <c r="IGO108" s="36"/>
      <c r="IGP108" s="38"/>
      <c r="IGQ108" s="38"/>
      <c r="IGW108" s="36"/>
      <c r="IGX108" s="38"/>
      <c r="IGY108" s="38"/>
      <c r="IHE108" s="36"/>
      <c r="IHF108" s="38"/>
      <c r="IHG108" s="38"/>
      <c r="IHM108" s="36"/>
      <c r="IHN108" s="38"/>
      <c r="IHO108" s="38"/>
      <c r="IHU108" s="36"/>
      <c r="IHV108" s="38"/>
      <c r="IHW108" s="38"/>
      <c r="IIC108" s="36"/>
      <c r="IID108" s="38"/>
      <c r="IIE108" s="38"/>
      <c r="IIK108" s="36"/>
      <c r="IIL108" s="38"/>
      <c r="IIM108" s="38"/>
      <c r="IIS108" s="36"/>
      <c r="IIT108" s="38"/>
      <c r="IIU108" s="38"/>
      <c r="IJA108" s="36"/>
      <c r="IJB108" s="38"/>
      <c r="IJC108" s="38"/>
      <c r="IJI108" s="36"/>
      <c r="IJJ108" s="38"/>
      <c r="IJK108" s="38"/>
      <c r="IJQ108" s="36"/>
      <c r="IJR108" s="38"/>
      <c r="IJS108" s="38"/>
      <c r="IJY108" s="36"/>
      <c r="IJZ108" s="38"/>
      <c r="IKA108" s="38"/>
      <c r="IKG108" s="36"/>
      <c r="IKH108" s="38"/>
      <c r="IKI108" s="38"/>
      <c r="IKO108" s="36"/>
      <c r="IKP108" s="38"/>
      <c r="IKQ108" s="38"/>
      <c r="IKW108" s="36"/>
      <c r="IKX108" s="38"/>
      <c r="IKY108" s="38"/>
      <c r="ILE108" s="36"/>
      <c r="ILF108" s="38"/>
      <c r="ILG108" s="38"/>
      <c r="ILM108" s="36"/>
      <c r="ILN108" s="38"/>
      <c r="ILO108" s="38"/>
      <c r="ILU108" s="36"/>
      <c r="ILV108" s="38"/>
      <c r="ILW108" s="38"/>
      <c r="IMC108" s="36"/>
      <c r="IMD108" s="38"/>
      <c r="IME108" s="38"/>
      <c r="IMK108" s="36"/>
      <c r="IML108" s="38"/>
      <c r="IMM108" s="38"/>
      <c r="IMS108" s="36"/>
      <c r="IMT108" s="38"/>
      <c r="IMU108" s="38"/>
      <c r="INA108" s="36"/>
      <c r="INB108" s="38"/>
      <c r="INC108" s="38"/>
      <c r="INI108" s="36"/>
      <c r="INJ108" s="38"/>
      <c r="INK108" s="38"/>
      <c r="INQ108" s="36"/>
      <c r="INR108" s="38"/>
      <c r="INS108" s="38"/>
      <c r="INY108" s="36"/>
      <c r="INZ108" s="38"/>
      <c r="IOA108" s="38"/>
      <c r="IOG108" s="36"/>
      <c r="IOH108" s="38"/>
      <c r="IOI108" s="38"/>
      <c r="IOO108" s="36"/>
      <c r="IOP108" s="38"/>
      <c r="IOQ108" s="38"/>
      <c r="IOW108" s="36"/>
      <c r="IOX108" s="38"/>
      <c r="IOY108" s="38"/>
      <c r="IPE108" s="36"/>
      <c r="IPF108" s="38"/>
      <c r="IPG108" s="38"/>
      <c r="IPM108" s="36"/>
      <c r="IPN108" s="38"/>
      <c r="IPO108" s="38"/>
      <c r="IPU108" s="36"/>
      <c r="IPV108" s="38"/>
      <c r="IPW108" s="38"/>
      <c r="IQC108" s="36"/>
      <c r="IQD108" s="38"/>
      <c r="IQE108" s="38"/>
      <c r="IQK108" s="36"/>
      <c r="IQL108" s="38"/>
      <c r="IQM108" s="38"/>
      <c r="IQS108" s="36"/>
      <c r="IQT108" s="38"/>
      <c r="IQU108" s="38"/>
      <c r="IRA108" s="36"/>
      <c r="IRB108" s="38"/>
      <c r="IRC108" s="38"/>
      <c r="IRI108" s="36"/>
      <c r="IRJ108" s="38"/>
      <c r="IRK108" s="38"/>
      <c r="IRQ108" s="36"/>
      <c r="IRR108" s="38"/>
      <c r="IRS108" s="38"/>
      <c r="IRY108" s="36"/>
      <c r="IRZ108" s="38"/>
      <c r="ISA108" s="38"/>
      <c r="ISG108" s="36"/>
      <c r="ISH108" s="38"/>
      <c r="ISI108" s="38"/>
      <c r="ISO108" s="36"/>
      <c r="ISP108" s="38"/>
      <c r="ISQ108" s="38"/>
      <c r="ISW108" s="36"/>
      <c r="ISX108" s="38"/>
      <c r="ISY108" s="38"/>
      <c r="ITE108" s="36"/>
      <c r="ITF108" s="38"/>
      <c r="ITG108" s="38"/>
      <c r="ITM108" s="36"/>
      <c r="ITN108" s="38"/>
      <c r="ITO108" s="38"/>
      <c r="ITU108" s="36"/>
      <c r="ITV108" s="38"/>
      <c r="ITW108" s="38"/>
      <c r="IUC108" s="36"/>
      <c r="IUD108" s="38"/>
      <c r="IUE108" s="38"/>
      <c r="IUK108" s="36"/>
      <c r="IUL108" s="38"/>
      <c r="IUM108" s="38"/>
      <c r="IUS108" s="36"/>
      <c r="IUT108" s="38"/>
      <c r="IUU108" s="38"/>
      <c r="IVA108" s="36"/>
      <c r="IVB108" s="38"/>
      <c r="IVC108" s="38"/>
      <c r="IVI108" s="36"/>
      <c r="IVJ108" s="38"/>
      <c r="IVK108" s="38"/>
      <c r="IVQ108" s="36"/>
      <c r="IVR108" s="38"/>
      <c r="IVS108" s="38"/>
      <c r="IVY108" s="36"/>
      <c r="IVZ108" s="38"/>
      <c r="IWA108" s="38"/>
      <c r="IWG108" s="36"/>
      <c r="IWH108" s="38"/>
      <c r="IWI108" s="38"/>
      <c r="IWO108" s="36"/>
      <c r="IWP108" s="38"/>
      <c r="IWQ108" s="38"/>
      <c r="IWW108" s="36"/>
      <c r="IWX108" s="38"/>
      <c r="IWY108" s="38"/>
      <c r="IXE108" s="36"/>
      <c r="IXF108" s="38"/>
      <c r="IXG108" s="38"/>
      <c r="IXM108" s="36"/>
      <c r="IXN108" s="38"/>
      <c r="IXO108" s="38"/>
      <c r="IXU108" s="36"/>
      <c r="IXV108" s="38"/>
      <c r="IXW108" s="38"/>
      <c r="IYC108" s="36"/>
      <c r="IYD108" s="38"/>
      <c r="IYE108" s="38"/>
      <c r="IYK108" s="36"/>
      <c r="IYL108" s="38"/>
      <c r="IYM108" s="38"/>
      <c r="IYS108" s="36"/>
      <c r="IYT108" s="38"/>
      <c r="IYU108" s="38"/>
      <c r="IZA108" s="36"/>
      <c r="IZB108" s="38"/>
      <c r="IZC108" s="38"/>
      <c r="IZI108" s="36"/>
      <c r="IZJ108" s="38"/>
      <c r="IZK108" s="38"/>
      <c r="IZQ108" s="36"/>
      <c r="IZR108" s="38"/>
      <c r="IZS108" s="38"/>
      <c r="IZY108" s="36"/>
      <c r="IZZ108" s="38"/>
      <c r="JAA108" s="38"/>
      <c r="JAG108" s="36"/>
      <c r="JAH108" s="38"/>
      <c r="JAI108" s="38"/>
      <c r="JAO108" s="36"/>
      <c r="JAP108" s="38"/>
      <c r="JAQ108" s="38"/>
      <c r="JAW108" s="36"/>
      <c r="JAX108" s="38"/>
      <c r="JAY108" s="38"/>
      <c r="JBE108" s="36"/>
      <c r="JBF108" s="38"/>
      <c r="JBG108" s="38"/>
      <c r="JBM108" s="36"/>
      <c r="JBN108" s="38"/>
      <c r="JBO108" s="38"/>
      <c r="JBU108" s="36"/>
      <c r="JBV108" s="38"/>
      <c r="JBW108" s="38"/>
      <c r="JCC108" s="36"/>
      <c r="JCD108" s="38"/>
      <c r="JCE108" s="38"/>
      <c r="JCK108" s="36"/>
      <c r="JCL108" s="38"/>
      <c r="JCM108" s="38"/>
      <c r="JCS108" s="36"/>
      <c r="JCT108" s="38"/>
      <c r="JCU108" s="38"/>
      <c r="JDA108" s="36"/>
      <c r="JDB108" s="38"/>
      <c r="JDC108" s="38"/>
      <c r="JDI108" s="36"/>
      <c r="JDJ108" s="38"/>
      <c r="JDK108" s="38"/>
      <c r="JDQ108" s="36"/>
      <c r="JDR108" s="38"/>
      <c r="JDS108" s="38"/>
      <c r="JDY108" s="36"/>
      <c r="JDZ108" s="38"/>
      <c r="JEA108" s="38"/>
      <c r="JEG108" s="36"/>
      <c r="JEH108" s="38"/>
      <c r="JEI108" s="38"/>
      <c r="JEO108" s="36"/>
      <c r="JEP108" s="38"/>
      <c r="JEQ108" s="38"/>
      <c r="JEW108" s="36"/>
      <c r="JEX108" s="38"/>
      <c r="JEY108" s="38"/>
      <c r="JFE108" s="36"/>
      <c r="JFF108" s="38"/>
      <c r="JFG108" s="38"/>
      <c r="JFM108" s="36"/>
      <c r="JFN108" s="38"/>
      <c r="JFO108" s="38"/>
      <c r="JFU108" s="36"/>
      <c r="JFV108" s="38"/>
      <c r="JFW108" s="38"/>
      <c r="JGC108" s="36"/>
      <c r="JGD108" s="38"/>
      <c r="JGE108" s="38"/>
      <c r="JGK108" s="36"/>
      <c r="JGL108" s="38"/>
      <c r="JGM108" s="38"/>
      <c r="JGS108" s="36"/>
      <c r="JGT108" s="38"/>
      <c r="JGU108" s="38"/>
      <c r="JHA108" s="36"/>
      <c r="JHB108" s="38"/>
      <c r="JHC108" s="38"/>
      <c r="JHI108" s="36"/>
      <c r="JHJ108" s="38"/>
      <c r="JHK108" s="38"/>
      <c r="JHQ108" s="36"/>
      <c r="JHR108" s="38"/>
      <c r="JHS108" s="38"/>
      <c r="JHY108" s="36"/>
      <c r="JHZ108" s="38"/>
      <c r="JIA108" s="38"/>
      <c r="JIG108" s="36"/>
      <c r="JIH108" s="38"/>
      <c r="JII108" s="38"/>
      <c r="JIO108" s="36"/>
      <c r="JIP108" s="38"/>
      <c r="JIQ108" s="38"/>
      <c r="JIW108" s="36"/>
      <c r="JIX108" s="38"/>
      <c r="JIY108" s="38"/>
      <c r="JJE108" s="36"/>
      <c r="JJF108" s="38"/>
      <c r="JJG108" s="38"/>
      <c r="JJM108" s="36"/>
      <c r="JJN108" s="38"/>
      <c r="JJO108" s="38"/>
      <c r="JJU108" s="36"/>
      <c r="JJV108" s="38"/>
      <c r="JJW108" s="38"/>
      <c r="JKC108" s="36"/>
      <c r="JKD108" s="38"/>
      <c r="JKE108" s="38"/>
      <c r="JKK108" s="36"/>
      <c r="JKL108" s="38"/>
      <c r="JKM108" s="38"/>
      <c r="JKS108" s="36"/>
      <c r="JKT108" s="38"/>
      <c r="JKU108" s="38"/>
      <c r="JLA108" s="36"/>
      <c r="JLB108" s="38"/>
      <c r="JLC108" s="38"/>
      <c r="JLI108" s="36"/>
      <c r="JLJ108" s="38"/>
      <c r="JLK108" s="38"/>
      <c r="JLQ108" s="36"/>
      <c r="JLR108" s="38"/>
      <c r="JLS108" s="38"/>
      <c r="JLY108" s="36"/>
      <c r="JLZ108" s="38"/>
      <c r="JMA108" s="38"/>
      <c r="JMG108" s="36"/>
      <c r="JMH108" s="38"/>
      <c r="JMI108" s="38"/>
      <c r="JMO108" s="36"/>
      <c r="JMP108" s="38"/>
      <c r="JMQ108" s="38"/>
      <c r="JMW108" s="36"/>
      <c r="JMX108" s="38"/>
      <c r="JMY108" s="38"/>
      <c r="JNE108" s="36"/>
      <c r="JNF108" s="38"/>
      <c r="JNG108" s="38"/>
      <c r="JNM108" s="36"/>
      <c r="JNN108" s="38"/>
      <c r="JNO108" s="38"/>
      <c r="JNU108" s="36"/>
      <c r="JNV108" s="38"/>
      <c r="JNW108" s="38"/>
      <c r="JOC108" s="36"/>
      <c r="JOD108" s="38"/>
      <c r="JOE108" s="38"/>
      <c r="JOK108" s="36"/>
      <c r="JOL108" s="38"/>
      <c r="JOM108" s="38"/>
      <c r="JOS108" s="36"/>
      <c r="JOT108" s="38"/>
      <c r="JOU108" s="38"/>
      <c r="JPA108" s="36"/>
      <c r="JPB108" s="38"/>
      <c r="JPC108" s="38"/>
      <c r="JPI108" s="36"/>
      <c r="JPJ108" s="38"/>
      <c r="JPK108" s="38"/>
      <c r="JPQ108" s="36"/>
      <c r="JPR108" s="38"/>
      <c r="JPS108" s="38"/>
      <c r="JPY108" s="36"/>
      <c r="JPZ108" s="38"/>
      <c r="JQA108" s="38"/>
      <c r="JQG108" s="36"/>
      <c r="JQH108" s="38"/>
      <c r="JQI108" s="38"/>
      <c r="JQO108" s="36"/>
      <c r="JQP108" s="38"/>
      <c r="JQQ108" s="38"/>
      <c r="JQW108" s="36"/>
      <c r="JQX108" s="38"/>
      <c r="JQY108" s="38"/>
      <c r="JRE108" s="36"/>
      <c r="JRF108" s="38"/>
      <c r="JRG108" s="38"/>
      <c r="JRM108" s="36"/>
      <c r="JRN108" s="38"/>
      <c r="JRO108" s="38"/>
      <c r="JRU108" s="36"/>
      <c r="JRV108" s="38"/>
      <c r="JRW108" s="38"/>
      <c r="JSC108" s="36"/>
      <c r="JSD108" s="38"/>
      <c r="JSE108" s="38"/>
      <c r="JSK108" s="36"/>
      <c r="JSL108" s="38"/>
      <c r="JSM108" s="38"/>
      <c r="JSS108" s="36"/>
      <c r="JST108" s="38"/>
      <c r="JSU108" s="38"/>
      <c r="JTA108" s="36"/>
      <c r="JTB108" s="38"/>
      <c r="JTC108" s="38"/>
      <c r="JTI108" s="36"/>
      <c r="JTJ108" s="38"/>
      <c r="JTK108" s="38"/>
      <c r="JTQ108" s="36"/>
      <c r="JTR108" s="38"/>
      <c r="JTS108" s="38"/>
      <c r="JTY108" s="36"/>
      <c r="JTZ108" s="38"/>
      <c r="JUA108" s="38"/>
      <c r="JUG108" s="36"/>
      <c r="JUH108" s="38"/>
      <c r="JUI108" s="38"/>
      <c r="JUO108" s="36"/>
      <c r="JUP108" s="38"/>
      <c r="JUQ108" s="38"/>
      <c r="JUW108" s="36"/>
      <c r="JUX108" s="38"/>
      <c r="JUY108" s="38"/>
      <c r="JVE108" s="36"/>
      <c r="JVF108" s="38"/>
      <c r="JVG108" s="38"/>
      <c r="JVM108" s="36"/>
      <c r="JVN108" s="38"/>
      <c r="JVO108" s="38"/>
      <c r="JVU108" s="36"/>
      <c r="JVV108" s="38"/>
      <c r="JVW108" s="38"/>
      <c r="JWC108" s="36"/>
      <c r="JWD108" s="38"/>
      <c r="JWE108" s="38"/>
      <c r="JWK108" s="36"/>
      <c r="JWL108" s="38"/>
      <c r="JWM108" s="38"/>
      <c r="JWS108" s="36"/>
      <c r="JWT108" s="38"/>
      <c r="JWU108" s="38"/>
      <c r="JXA108" s="36"/>
      <c r="JXB108" s="38"/>
      <c r="JXC108" s="38"/>
      <c r="JXI108" s="36"/>
      <c r="JXJ108" s="38"/>
      <c r="JXK108" s="38"/>
      <c r="JXQ108" s="36"/>
      <c r="JXR108" s="38"/>
      <c r="JXS108" s="38"/>
      <c r="JXY108" s="36"/>
      <c r="JXZ108" s="38"/>
      <c r="JYA108" s="38"/>
      <c r="JYG108" s="36"/>
      <c r="JYH108" s="38"/>
      <c r="JYI108" s="38"/>
      <c r="JYO108" s="36"/>
      <c r="JYP108" s="38"/>
      <c r="JYQ108" s="38"/>
      <c r="JYW108" s="36"/>
      <c r="JYX108" s="38"/>
      <c r="JYY108" s="38"/>
      <c r="JZE108" s="36"/>
      <c r="JZF108" s="38"/>
      <c r="JZG108" s="38"/>
      <c r="JZM108" s="36"/>
      <c r="JZN108" s="38"/>
      <c r="JZO108" s="38"/>
      <c r="JZU108" s="36"/>
      <c r="JZV108" s="38"/>
      <c r="JZW108" s="38"/>
      <c r="KAC108" s="36"/>
      <c r="KAD108" s="38"/>
      <c r="KAE108" s="38"/>
      <c r="KAK108" s="36"/>
      <c r="KAL108" s="38"/>
      <c r="KAM108" s="38"/>
      <c r="KAS108" s="36"/>
      <c r="KAT108" s="38"/>
      <c r="KAU108" s="38"/>
      <c r="KBA108" s="36"/>
      <c r="KBB108" s="38"/>
      <c r="KBC108" s="38"/>
      <c r="KBI108" s="36"/>
      <c r="KBJ108" s="38"/>
      <c r="KBK108" s="38"/>
      <c r="KBQ108" s="36"/>
      <c r="KBR108" s="38"/>
      <c r="KBS108" s="38"/>
      <c r="KBY108" s="36"/>
      <c r="KBZ108" s="38"/>
      <c r="KCA108" s="38"/>
      <c r="KCG108" s="36"/>
      <c r="KCH108" s="38"/>
      <c r="KCI108" s="38"/>
      <c r="KCO108" s="36"/>
      <c r="KCP108" s="38"/>
      <c r="KCQ108" s="38"/>
      <c r="KCW108" s="36"/>
      <c r="KCX108" s="38"/>
      <c r="KCY108" s="38"/>
      <c r="KDE108" s="36"/>
      <c r="KDF108" s="38"/>
      <c r="KDG108" s="38"/>
      <c r="KDM108" s="36"/>
      <c r="KDN108" s="38"/>
      <c r="KDO108" s="38"/>
      <c r="KDU108" s="36"/>
      <c r="KDV108" s="38"/>
      <c r="KDW108" s="38"/>
      <c r="KEC108" s="36"/>
      <c r="KED108" s="38"/>
      <c r="KEE108" s="38"/>
      <c r="KEK108" s="36"/>
      <c r="KEL108" s="38"/>
      <c r="KEM108" s="38"/>
      <c r="KES108" s="36"/>
      <c r="KET108" s="38"/>
      <c r="KEU108" s="38"/>
      <c r="KFA108" s="36"/>
      <c r="KFB108" s="38"/>
      <c r="KFC108" s="38"/>
      <c r="KFI108" s="36"/>
      <c r="KFJ108" s="38"/>
      <c r="KFK108" s="38"/>
      <c r="KFQ108" s="36"/>
      <c r="KFR108" s="38"/>
      <c r="KFS108" s="38"/>
      <c r="KFY108" s="36"/>
      <c r="KFZ108" s="38"/>
      <c r="KGA108" s="38"/>
      <c r="KGG108" s="36"/>
      <c r="KGH108" s="38"/>
      <c r="KGI108" s="38"/>
      <c r="KGO108" s="36"/>
      <c r="KGP108" s="38"/>
      <c r="KGQ108" s="38"/>
      <c r="KGW108" s="36"/>
      <c r="KGX108" s="38"/>
      <c r="KGY108" s="38"/>
      <c r="KHE108" s="36"/>
      <c r="KHF108" s="38"/>
      <c r="KHG108" s="38"/>
      <c r="KHM108" s="36"/>
      <c r="KHN108" s="38"/>
      <c r="KHO108" s="38"/>
      <c r="KHU108" s="36"/>
      <c r="KHV108" s="38"/>
      <c r="KHW108" s="38"/>
      <c r="KIC108" s="36"/>
      <c r="KID108" s="38"/>
      <c r="KIE108" s="38"/>
      <c r="KIK108" s="36"/>
      <c r="KIL108" s="38"/>
      <c r="KIM108" s="38"/>
      <c r="KIS108" s="36"/>
      <c r="KIT108" s="38"/>
      <c r="KIU108" s="38"/>
      <c r="KJA108" s="36"/>
      <c r="KJB108" s="38"/>
      <c r="KJC108" s="38"/>
      <c r="KJI108" s="36"/>
      <c r="KJJ108" s="38"/>
      <c r="KJK108" s="38"/>
      <c r="KJQ108" s="36"/>
      <c r="KJR108" s="38"/>
      <c r="KJS108" s="38"/>
      <c r="KJY108" s="36"/>
      <c r="KJZ108" s="38"/>
      <c r="KKA108" s="38"/>
      <c r="KKG108" s="36"/>
      <c r="KKH108" s="38"/>
      <c r="KKI108" s="38"/>
      <c r="KKO108" s="36"/>
      <c r="KKP108" s="38"/>
      <c r="KKQ108" s="38"/>
      <c r="KKW108" s="36"/>
      <c r="KKX108" s="38"/>
      <c r="KKY108" s="38"/>
      <c r="KLE108" s="36"/>
      <c r="KLF108" s="38"/>
      <c r="KLG108" s="38"/>
      <c r="KLM108" s="36"/>
      <c r="KLN108" s="38"/>
      <c r="KLO108" s="38"/>
      <c r="KLU108" s="36"/>
      <c r="KLV108" s="38"/>
      <c r="KLW108" s="38"/>
      <c r="KMC108" s="36"/>
      <c r="KMD108" s="38"/>
      <c r="KME108" s="38"/>
      <c r="KMK108" s="36"/>
      <c r="KML108" s="38"/>
      <c r="KMM108" s="38"/>
      <c r="KMS108" s="36"/>
      <c r="KMT108" s="38"/>
      <c r="KMU108" s="38"/>
      <c r="KNA108" s="36"/>
      <c r="KNB108" s="38"/>
      <c r="KNC108" s="38"/>
      <c r="KNI108" s="36"/>
      <c r="KNJ108" s="38"/>
      <c r="KNK108" s="38"/>
      <c r="KNQ108" s="36"/>
      <c r="KNR108" s="38"/>
      <c r="KNS108" s="38"/>
      <c r="KNY108" s="36"/>
      <c r="KNZ108" s="38"/>
      <c r="KOA108" s="38"/>
      <c r="KOG108" s="36"/>
      <c r="KOH108" s="38"/>
      <c r="KOI108" s="38"/>
      <c r="KOO108" s="36"/>
      <c r="KOP108" s="38"/>
      <c r="KOQ108" s="38"/>
      <c r="KOW108" s="36"/>
      <c r="KOX108" s="38"/>
      <c r="KOY108" s="38"/>
      <c r="KPE108" s="36"/>
      <c r="KPF108" s="38"/>
      <c r="KPG108" s="38"/>
      <c r="KPM108" s="36"/>
      <c r="KPN108" s="38"/>
      <c r="KPO108" s="38"/>
      <c r="KPU108" s="36"/>
      <c r="KPV108" s="38"/>
      <c r="KPW108" s="38"/>
      <c r="KQC108" s="36"/>
      <c r="KQD108" s="38"/>
      <c r="KQE108" s="38"/>
      <c r="KQK108" s="36"/>
      <c r="KQL108" s="38"/>
      <c r="KQM108" s="38"/>
      <c r="KQS108" s="36"/>
      <c r="KQT108" s="38"/>
      <c r="KQU108" s="38"/>
      <c r="KRA108" s="36"/>
      <c r="KRB108" s="38"/>
      <c r="KRC108" s="38"/>
      <c r="KRI108" s="36"/>
      <c r="KRJ108" s="38"/>
      <c r="KRK108" s="38"/>
      <c r="KRQ108" s="36"/>
      <c r="KRR108" s="38"/>
      <c r="KRS108" s="38"/>
      <c r="KRY108" s="36"/>
      <c r="KRZ108" s="38"/>
      <c r="KSA108" s="38"/>
      <c r="KSG108" s="36"/>
      <c r="KSH108" s="38"/>
      <c r="KSI108" s="38"/>
      <c r="KSO108" s="36"/>
      <c r="KSP108" s="38"/>
      <c r="KSQ108" s="38"/>
      <c r="KSW108" s="36"/>
      <c r="KSX108" s="38"/>
      <c r="KSY108" s="38"/>
      <c r="KTE108" s="36"/>
      <c r="KTF108" s="38"/>
      <c r="KTG108" s="38"/>
      <c r="KTM108" s="36"/>
      <c r="KTN108" s="38"/>
      <c r="KTO108" s="38"/>
      <c r="KTU108" s="36"/>
      <c r="KTV108" s="38"/>
      <c r="KTW108" s="38"/>
      <c r="KUC108" s="36"/>
      <c r="KUD108" s="38"/>
      <c r="KUE108" s="38"/>
      <c r="KUK108" s="36"/>
      <c r="KUL108" s="38"/>
      <c r="KUM108" s="38"/>
      <c r="KUS108" s="36"/>
      <c r="KUT108" s="38"/>
      <c r="KUU108" s="38"/>
      <c r="KVA108" s="36"/>
      <c r="KVB108" s="38"/>
      <c r="KVC108" s="38"/>
      <c r="KVI108" s="36"/>
      <c r="KVJ108" s="38"/>
      <c r="KVK108" s="38"/>
      <c r="KVQ108" s="36"/>
      <c r="KVR108" s="38"/>
      <c r="KVS108" s="38"/>
      <c r="KVY108" s="36"/>
      <c r="KVZ108" s="38"/>
      <c r="KWA108" s="38"/>
      <c r="KWG108" s="36"/>
      <c r="KWH108" s="38"/>
      <c r="KWI108" s="38"/>
      <c r="KWO108" s="36"/>
      <c r="KWP108" s="38"/>
      <c r="KWQ108" s="38"/>
      <c r="KWW108" s="36"/>
      <c r="KWX108" s="38"/>
      <c r="KWY108" s="38"/>
      <c r="KXE108" s="36"/>
      <c r="KXF108" s="38"/>
      <c r="KXG108" s="38"/>
      <c r="KXM108" s="36"/>
      <c r="KXN108" s="38"/>
      <c r="KXO108" s="38"/>
      <c r="KXU108" s="36"/>
      <c r="KXV108" s="38"/>
      <c r="KXW108" s="38"/>
      <c r="KYC108" s="36"/>
      <c r="KYD108" s="38"/>
      <c r="KYE108" s="38"/>
      <c r="KYK108" s="36"/>
      <c r="KYL108" s="38"/>
      <c r="KYM108" s="38"/>
      <c r="KYS108" s="36"/>
      <c r="KYT108" s="38"/>
      <c r="KYU108" s="38"/>
      <c r="KZA108" s="36"/>
      <c r="KZB108" s="38"/>
      <c r="KZC108" s="38"/>
      <c r="KZI108" s="36"/>
      <c r="KZJ108" s="38"/>
      <c r="KZK108" s="38"/>
      <c r="KZQ108" s="36"/>
      <c r="KZR108" s="38"/>
      <c r="KZS108" s="38"/>
      <c r="KZY108" s="36"/>
      <c r="KZZ108" s="38"/>
      <c r="LAA108" s="38"/>
      <c r="LAG108" s="36"/>
      <c r="LAH108" s="38"/>
      <c r="LAI108" s="38"/>
      <c r="LAO108" s="36"/>
      <c r="LAP108" s="38"/>
      <c r="LAQ108" s="38"/>
      <c r="LAW108" s="36"/>
      <c r="LAX108" s="38"/>
      <c r="LAY108" s="38"/>
      <c r="LBE108" s="36"/>
      <c r="LBF108" s="38"/>
      <c r="LBG108" s="38"/>
      <c r="LBM108" s="36"/>
      <c r="LBN108" s="38"/>
      <c r="LBO108" s="38"/>
      <c r="LBU108" s="36"/>
      <c r="LBV108" s="38"/>
      <c r="LBW108" s="38"/>
      <c r="LCC108" s="36"/>
      <c r="LCD108" s="38"/>
      <c r="LCE108" s="38"/>
      <c r="LCK108" s="36"/>
      <c r="LCL108" s="38"/>
      <c r="LCM108" s="38"/>
      <c r="LCS108" s="36"/>
      <c r="LCT108" s="38"/>
      <c r="LCU108" s="38"/>
      <c r="LDA108" s="36"/>
      <c r="LDB108" s="38"/>
      <c r="LDC108" s="38"/>
      <c r="LDI108" s="36"/>
      <c r="LDJ108" s="38"/>
      <c r="LDK108" s="38"/>
      <c r="LDQ108" s="36"/>
      <c r="LDR108" s="38"/>
      <c r="LDS108" s="38"/>
      <c r="LDY108" s="36"/>
      <c r="LDZ108" s="38"/>
      <c r="LEA108" s="38"/>
      <c r="LEG108" s="36"/>
      <c r="LEH108" s="38"/>
      <c r="LEI108" s="38"/>
      <c r="LEO108" s="36"/>
      <c r="LEP108" s="38"/>
      <c r="LEQ108" s="38"/>
      <c r="LEW108" s="36"/>
      <c r="LEX108" s="38"/>
      <c r="LEY108" s="38"/>
      <c r="LFE108" s="36"/>
      <c r="LFF108" s="38"/>
      <c r="LFG108" s="38"/>
      <c r="LFM108" s="36"/>
      <c r="LFN108" s="38"/>
      <c r="LFO108" s="38"/>
      <c r="LFU108" s="36"/>
      <c r="LFV108" s="38"/>
      <c r="LFW108" s="38"/>
      <c r="LGC108" s="36"/>
      <c r="LGD108" s="38"/>
      <c r="LGE108" s="38"/>
      <c r="LGK108" s="36"/>
      <c r="LGL108" s="38"/>
      <c r="LGM108" s="38"/>
      <c r="LGS108" s="36"/>
      <c r="LGT108" s="38"/>
      <c r="LGU108" s="38"/>
      <c r="LHA108" s="36"/>
      <c r="LHB108" s="38"/>
      <c r="LHC108" s="38"/>
      <c r="LHI108" s="36"/>
      <c r="LHJ108" s="38"/>
      <c r="LHK108" s="38"/>
      <c r="LHQ108" s="36"/>
      <c r="LHR108" s="38"/>
      <c r="LHS108" s="38"/>
      <c r="LHY108" s="36"/>
      <c r="LHZ108" s="38"/>
      <c r="LIA108" s="38"/>
      <c r="LIG108" s="36"/>
      <c r="LIH108" s="38"/>
      <c r="LII108" s="38"/>
      <c r="LIO108" s="36"/>
      <c r="LIP108" s="38"/>
      <c r="LIQ108" s="38"/>
      <c r="LIW108" s="36"/>
      <c r="LIX108" s="38"/>
      <c r="LIY108" s="38"/>
      <c r="LJE108" s="36"/>
      <c r="LJF108" s="38"/>
      <c r="LJG108" s="38"/>
      <c r="LJM108" s="36"/>
      <c r="LJN108" s="38"/>
      <c r="LJO108" s="38"/>
      <c r="LJU108" s="36"/>
      <c r="LJV108" s="38"/>
      <c r="LJW108" s="38"/>
      <c r="LKC108" s="36"/>
      <c r="LKD108" s="38"/>
      <c r="LKE108" s="38"/>
      <c r="LKK108" s="36"/>
      <c r="LKL108" s="38"/>
      <c r="LKM108" s="38"/>
      <c r="LKS108" s="36"/>
      <c r="LKT108" s="38"/>
      <c r="LKU108" s="38"/>
      <c r="LLA108" s="36"/>
      <c r="LLB108" s="38"/>
      <c r="LLC108" s="38"/>
      <c r="LLI108" s="36"/>
      <c r="LLJ108" s="38"/>
      <c r="LLK108" s="38"/>
      <c r="LLQ108" s="36"/>
      <c r="LLR108" s="38"/>
      <c r="LLS108" s="38"/>
      <c r="LLY108" s="36"/>
      <c r="LLZ108" s="38"/>
      <c r="LMA108" s="38"/>
      <c r="LMG108" s="36"/>
      <c r="LMH108" s="38"/>
      <c r="LMI108" s="38"/>
      <c r="LMO108" s="36"/>
      <c r="LMP108" s="38"/>
      <c r="LMQ108" s="38"/>
      <c r="LMW108" s="36"/>
      <c r="LMX108" s="38"/>
      <c r="LMY108" s="38"/>
      <c r="LNE108" s="36"/>
      <c r="LNF108" s="38"/>
      <c r="LNG108" s="38"/>
      <c r="LNM108" s="36"/>
      <c r="LNN108" s="38"/>
      <c r="LNO108" s="38"/>
      <c r="LNU108" s="36"/>
      <c r="LNV108" s="38"/>
      <c r="LNW108" s="38"/>
      <c r="LOC108" s="36"/>
      <c r="LOD108" s="38"/>
      <c r="LOE108" s="38"/>
      <c r="LOK108" s="36"/>
      <c r="LOL108" s="38"/>
      <c r="LOM108" s="38"/>
      <c r="LOS108" s="36"/>
      <c r="LOT108" s="38"/>
      <c r="LOU108" s="38"/>
      <c r="LPA108" s="36"/>
      <c r="LPB108" s="38"/>
      <c r="LPC108" s="38"/>
      <c r="LPI108" s="36"/>
      <c r="LPJ108" s="38"/>
      <c r="LPK108" s="38"/>
      <c r="LPQ108" s="36"/>
      <c r="LPR108" s="38"/>
      <c r="LPS108" s="38"/>
      <c r="LPY108" s="36"/>
      <c r="LPZ108" s="38"/>
      <c r="LQA108" s="38"/>
      <c r="LQG108" s="36"/>
      <c r="LQH108" s="38"/>
      <c r="LQI108" s="38"/>
      <c r="LQO108" s="36"/>
      <c r="LQP108" s="38"/>
      <c r="LQQ108" s="38"/>
      <c r="LQW108" s="36"/>
      <c r="LQX108" s="38"/>
      <c r="LQY108" s="38"/>
      <c r="LRE108" s="36"/>
      <c r="LRF108" s="38"/>
      <c r="LRG108" s="38"/>
      <c r="LRM108" s="36"/>
      <c r="LRN108" s="38"/>
      <c r="LRO108" s="38"/>
      <c r="LRU108" s="36"/>
      <c r="LRV108" s="38"/>
      <c r="LRW108" s="38"/>
      <c r="LSC108" s="36"/>
      <c r="LSD108" s="38"/>
      <c r="LSE108" s="38"/>
      <c r="LSK108" s="36"/>
      <c r="LSL108" s="38"/>
      <c r="LSM108" s="38"/>
      <c r="LSS108" s="36"/>
      <c r="LST108" s="38"/>
      <c r="LSU108" s="38"/>
      <c r="LTA108" s="36"/>
      <c r="LTB108" s="38"/>
      <c r="LTC108" s="38"/>
      <c r="LTI108" s="36"/>
      <c r="LTJ108" s="38"/>
      <c r="LTK108" s="38"/>
      <c r="LTQ108" s="36"/>
      <c r="LTR108" s="38"/>
      <c r="LTS108" s="38"/>
      <c r="LTY108" s="36"/>
      <c r="LTZ108" s="38"/>
      <c r="LUA108" s="38"/>
      <c r="LUG108" s="36"/>
      <c r="LUH108" s="38"/>
      <c r="LUI108" s="38"/>
      <c r="LUO108" s="36"/>
      <c r="LUP108" s="38"/>
      <c r="LUQ108" s="38"/>
      <c r="LUW108" s="36"/>
      <c r="LUX108" s="38"/>
      <c r="LUY108" s="38"/>
      <c r="LVE108" s="36"/>
      <c r="LVF108" s="38"/>
      <c r="LVG108" s="38"/>
      <c r="LVM108" s="36"/>
      <c r="LVN108" s="38"/>
      <c r="LVO108" s="38"/>
      <c r="LVU108" s="36"/>
      <c r="LVV108" s="38"/>
      <c r="LVW108" s="38"/>
      <c r="LWC108" s="36"/>
      <c r="LWD108" s="38"/>
      <c r="LWE108" s="38"/>
      <c r="LWK108" s="36"/>
      <c r="LWL108" s="38"/>
      <c r="LWM108" s="38"/>
      <c r="LWS108" s="36"/>
      <c r="LWT108" s="38"/>
      <c r="LWU108" s="38"/>
      <c r="LXA108" s="36"/>
      <c r="LXB108" s="38"/>
      <c r="LXC108" s="38"/>
      <c r="LXI108" s="36"/>
      <c r="LXJ108" s="38"/>
      <c r="LXK108" s="38"/>
      <c r="LXQ108" s="36"/>
      <c r="LXR108" s="38"/>
      <c r="LXS108" s="38"/>
      <c r="LXY108" s="36"/>
      <c r="LXZ108" s="38"/>
      <c r="LYA108" s="38"/>
      <c r="LYG108" s="36"/>
      <c r="LYH108" s="38"/>
      <c r="LYI108" s="38"/>
      <c r="LYO108" s="36"/>
      <c r="LYP108" s="38"/>
      <c r="LYQ108" s="38"/>
      <c r="LYW108" s="36"/>
      <c r="LYX108" s="38"/>
      <c r="LYY108" s="38"/>
      <c r="LZE108" s="36"/>
      <c r="LZF108" s="38"/>
      <c r="LZG108" s="38"/>
      <c r="LZM108" s="36"/>
      <c r="LZN108" s="38"/>
      <c r="LZO108" s="38"/>
      <c r="LZU108" s="36"/>
      <c r="LZV108" s="38"/>
      <c r="LZW108" s="38"/>
      <c r="MAC108" s="36"/>
      <c r="MAD108" s="38"/>
      <c r="MAE108" s="38"/>
      <c r="MAK108" s="36"/>
      <c r="MAL108" s="38"/>
      <c r="MAM108" s="38"/>
      <c r="MAS108" s="36"/>
      <c r="MAT108" s="38"/>
      <c r="MAU108" s="38"/>
      <c r="MBA108" s="36"/>
      <c r="MBB108" s="38"/>
      <c r="MBC108" s="38"/>
      <c r="MBI108" s="36"/>
      <c r="MBJ108" s="38"/>
      <c r="MBK108" s="38"/>
      <c r="MBQ108" s="36"/>
      <c r="MBR108" s="38"/>
      <c r="MBS108" s="38"/>
      <c r="MBY108" s="36"/>
      <c r="MBZ108" s="38"/>
      <c r="MCA108" s="38"/>
      <c r="MCG108" s="36"/>
      <c r="MCH108" s="38"/>
      <c r="MCI108" s="38"/>
      <c r="MCO108" s="36"/>
      <c r="MCP108" s="38"/>
      <c r="MCQ108" s="38"/>
      <c r="MCW108" s="36"/>
      <c r="MCX108" s="38"/>
      <c r="MCY108" s="38"/>
      <c r="MDE108" s="36"/>
      <c r="MDF108" s="38"/>
      <c r="MDG108" s="38"/>
      <c r="MDM108" s="36"/>
      <c r="MDN108" s="38"/>
      <c r="MDO108" s="38"/>
      <c r="MDU108" s="36"/>
      <c r="MDV108" s="38"/>
      <c r="MDW108" s="38"/>
      <c r="MEC108" s="36"/>
      <c r="MED108" s="38"/>
      <c r="MEE108" s="38"/>
      <c r="MEK108" s="36"/>
      <c r="MEL108" s="38"/>
      <c r="MEM108" s="38"/>
      <c r="MES108" s="36"/>
      <c r="MET108" s="38"/>
      <c r="MEU108" s="38"/>
      <c r="MFA108" s="36"/>
      <c r="MFB108" s="38"/>
      <c r="MFC108" s="38"/>
      <c r="MFI108" s="36"/>
      <c r="MFJ108" s="38"/>
      <c r="MFK108" s="38"/>
      <c r="MFQ108" s="36"/>
      <c r="MFR108" s="38"/>
      <c r="MFS108" s="38"/>
      <c r="MFY108" s="36"/>
      <c r="MFZ108" s="38"/>
      <c r="MGA108" s="38"/>
      <c r="MGG108" s="36"/>
      <c r="MGH108" s="38"/>
      <c r="MGI108" s="38"/>
      <c r="MGO108" s="36"/>
      <c r="MGP108" s="38"/>
      <c r="MGQ108" s="38"/>
      <c r="MGW108" s="36"/>
      <c r="MGX108" s="38"/>
      <c r="MGY108" s="38"/>
      <c r="MHE108" s="36"/>
      <c r="MHF108" s="38"/>
      <c r="MHG108" s="38"/>
      <c r="MHM108" s="36"/>
      <c r="MHN108" s="38"/>
      <c r="MHO108" s="38"/>
      <c r="MHU108" s="36"/>
      <c r="MHV108" s="38"/>
      <c r="MHW108" s="38"/>
      <c r="MIC108" s="36"/>
      <c r="MID108" s="38"/>
      <c r="MIE108" s="38"/>
      <c r="MIK108" s="36"/>
      <c r="MIL108" s="38"/>
      <c r="MIM108" s="38"/>
      <c r="MIS108" s="36"/>
      <c r="MIT108" s="38"/>
      <c r="MIU108" s="38"/>
      <c r="MJA108" s="36"/>
      <c r="MJB108" s="38"/>
      <c r="MJC108" s="38"/>
      <c r="MJI108" s="36"/>
      <c r="MJJ108" s="38"/>
      <c r="MJK108" s="38"/>
      <c r="MJQ108" s="36"/>
      <c r="MJR108" s="38"/>
      <c r="MJS108" s="38"/>
      <c r="MJY108" s="36"/>
      <c r="MJZ108" s="38"/>
      <c r="MKA108" s="38"/>
      <c r="MKG108" s="36"/>
      <c r="MKH108" s="38"/>
      <c r="MKI108" s="38"/>
      <c r="MKO108" s="36"/>
      <c r="MKP108" s="38"/>
      <c r="MKQ108" s="38"/>
      <c r="MKW108" s="36"/>
      <c r="MKX108" s="38"/>
      <c r="MKY108" s="38"/>
      <c r="MLE108" s="36"/>
      <c r="MLF108" s="38"/>
      <c r="MLG108" s="38"/>
      <c r="MLM108" s="36"/>
      <c r="MLN108" s="38"/>
      <c r="MLO108" s="38"/>
      <c r="MLU108" s="36"/>
      <c r="MLV108" s="38"/>
      <c r="MLW108" s="38"/>
      <c r="MMC108" s="36"/>
      <c r="MMD108" s="38"/>
      <c r="MME108" s="38"/>
      <c r="MMK108" s="36"/>
      <c r="MML108" s="38"/>
      <c r="MMM108" s="38"/>
      <c r="MMS108" s="36"/>
      <c r="MMT108" s="38"/>
      <c r="MMU108" s="38"/>
      <c r="MNA108" s="36"/>
      <c r="MNB108" s="38"/>
      <c r="MNC108" s="38"/>
      <c r="MNI108" s="36"/>
      <c r="MNJ108" s="38"/>
      <c r="MNK108" s="38"/>
      <c r="MNQ108" s="36"/>
      <c r="MNR108" s="38"/>
      <c r="MNS108" s="38"/>
      <c r="MNY108" s="36"/>
      <c r="MNZ108" s="38"/>
      <c r="MOA108" s="38"/>
      <c r="MOG108" s="36"/>
      <c r="MOH108" s="38"/>
      <c r="MOI108" s="38"/>
      <c r="MOO108" s="36"/>
      <c r="MOP108" s="38"/>
      <c r="MOQ108" s="38"/>
      <c r="MOW108" s="36"/>
      <c r="MOX108" s="38"/>
      <c r="MOY108" s="38"/>
      <c r="MPE108" s="36"/>
      <c r="MPF108" s="38"/>
      <c r="MPG108" s="38"/>
      <c r="MPM108" s="36"/>
      <c r="MPN108" s="38"/>
      <c r="MPO108" s="38"/>
      <c r="MPU108" s="36"/>
      <c r="MPV108" s="38"/>
      <c r="MPW108" s="38"/>
      <c r="MQC108" s="36"/>
      <c r="MQD108" s="38"/>
      <c r="MQE108" s="38"/>
      <c r="MQK108" s="36"/>
      <c r="MQL108" s="38"/>
      <c r="MQM108" s="38"/>
      <c r="MQS108" s="36"/>
      <c r="MQT108" s="38"/>
      <c r="MQU108" s="38"/>
      <c r="MRA108" s="36"/>
      <c r="MRB108" s="38"/>
      <c r="MRC108" s="38"/>
      <c r="MRI108" s="36"/>
      <c r="MRJ108" s="38"/>
      <c r="MRK108" s="38"/>
      <c r="MRQ108" s="36"/>
      <c r="MRR108" s="38"/>
      <c r="MRS108" s="38"/>
      <c r="MRY108" s="36"/>
      <c r="MRZ108" s="38"/>
      <c r="MSA108" s="38"/>
      <c r="MSG108" s="36"/>
      <c r="MSH108" s="38"/>
      <c r="MSI108" s="38"/>
      <c r="MSO108" s="36"/>
      <c r="MSP108" s="38"/>
      <c r="MSQ108" s="38"/>
      <c r="MSW108" s="36"/>
      <c r="MSX108" s="38"/>
      <c r="MSY108" s="38"/>
      <c r="MTE108" s="36"/>
      <c r="MTF108" s="38"/>
      <c r="MTG108" s="38"/>
      <c r="MTM108" s="36"/>
      <c r="MTN108" s="38"/>
      <c r="MTO108" s="38"/>
      <c r="MTU108" s="36"/>
      <c r="MTV108" s="38"/>
      <c r="MTW108" s="38"/>
      <c r="MUC108" s="36"/>
      <c r="MUD108" s="38"/>
      <c r="MUE108" s="38"/>
      <c r="MUK108" s="36"/>
      <c r="MUL108" s="38"/>
      <c r="MUM108" s="38"/>
      <c r="MUS108" s="36"/>
      <c r="MUT108" s="38"/>
      <c r="MUU108" s="38"/>
      <c r="MVA108" s="36"/>
      <c r="MVB108" s="38"/>
      <c r="MVC108" s="38"/>
      <c r="MVI108" s="36"/>
      <c r="MVJ108" s="38"/>
      <c r="MVK108" s="38"/>
      <c r="MVQ108" s="36"/>
      <c r="MVR108" s="38"/>
      <c r="MVS108" s="38"/>
      <c r="MVY108" s="36"/>
      <c r="MVZ108" s="38"/>
      <c r="MWA108" s="38"/>
      <c r="MWG108" s="36"/>
      <c r="MWH108" s="38"/>
      <c r="MWI108" s="38"/>
      <c r="MWO108" s="36"/>
      <c r="MWP108" s="38"/>
      <c r="MWQ108" s="38"/>
      <c r="MWW108" s="36"/>
      <c r="MWX108" s="38"/>
      <c r="MWY108" s="38"/>
      <c r="MXE108" s="36"/>
      <c r="MXF108" s="38"/>
      <c r="MXG108" s="38"/>
      <c r="MXM108" s="36"/>
      <c r="MXN108" s="38"/>
      <c r="MXO108" s="38"/>
      <c r="MXU108" s="36"/>
      <c r="MXV108" s="38"/>
      <c r="MXW108" s="38"/>
      <c r="MYC108" s="36"/>
      <c r="MYD108" s="38"/>
      <c r="MYE108" s="38"/>
      <c r="MYK108" s="36"/>
      <c r="MYL108" s="38"/>
      <c r="MYM108" s="38"/>
      <c r="MYS108" s="36"/>
      <c r="MYT108" s="38"/>
      <c r="MYU108" s="38"/>
      <c r="MZA108" s="36"/>
      <c r="MZB108" s="38"/>
      <c r="MZC108" s="38"/>
      <c r="MZI108" s="36"/>
      <c r="MZJ108" s="38"/>
      <c r="MZK108" s="38"/>
      <c r="MZQ108" s="36"/>
      <c r="MZR108" s="38"/>
      <c r="MZS108" s="38"/>
      <c r="MZY108" s="36"/>
      <c r="MZZ108" s="38"/>
      <c r="NAA108" s="38"/>
      <c r="NAG108" s="36"/>
      <c r="NAH108" s="38"/>
      <c r="NAI108" s="38"/>
      <c r="NAO108" s="36"/>
      <c r="NAP108" s="38"/>
      <c r="NAQ108" s="38"/>
      <c r="NAW108" s="36"/>
      <c r="NAX108" s="38"/>
      <c r="NAY108" s="38"/>
      <c r="NBE108" s="36"/>
      <c r="NBF108" s="38"/>
      <c r="NBG108" s="38"/>
      <c r="NBM108" s="36"/>
      <c r="NBN108" s="38"/>
      <c r="NBO108" s="38"/>
      <c r="NBU108" s="36"/>
      <c r="NBV108" s="38"/>
      <c r="NBW108" s="38"/>
      <c r="NCC108" s="36"/>
      <c r="NCD108" s="38"/>
      <c r="NCE108" s="38"/>
      <c r="NCK108" s="36"/>
      <c r="NCL108" s="38"/>
      <c r="NCM108" s="38"/>
      <c r="NCS108" s="36"/>
      <c r="NCT108" s="38"/>
      <c r="NCU108" s="38"/>
      <c r="NDA108" s="36"/>
      <c r="NDB108" s="38"/>
      <c r="NDC108" s="38"/>
      <c r="NDI108" s="36"/>
      <c r="NDJ108" s="38"/>
      <c r="NDK108" s="38"/>
      <c r="NDQ108" s="36"/>
      <c r="NDR108" s="38"/>
      <c r="NDS108" s="38"/>
      <c r="NDY108" s="36"/>
      <c r="NDZ108" s="38"/>
      <c r="NEA108" s="38"/>
      <c r="NEG108" s="36"/>
      <c r="NEH108" s="38"/>
      <c r="NEI108" s="38"/>
      <c r="NEO108" s="36"/>
      <c r="NEP108" s="38"/>
      <c r="NEQ108" s="38"/>
      <c r="NEW108" s="36"/>
      <c r="NEX108" s="38"/>
      <c r="NEY108" s="38"/>
      <c r="NFE108" s="36"/>
      <c r="NFF108" s="38"/>
      <c r="NFG108" s="38"/>
      <c r="NFM108" s="36"/>
      <c r="NFN108" s="38"/>
      <c r="NFO108" s="38"/>
      <c r="NFU108" s="36"/>
      <c r="NFV108" s="38"/>
      <c r="NFW108" s="38"/>
      <c r="NGC108" s="36"/>
      <c r="NGD108" s="38"/>
      <c r="NGE108" s="38"/>
      <c r="NGK108" s="36"/>
      <c r="NGL108" s="38"/>
      <c r="NGM108" s="38"/>
      <c r="NGS108" s="36"/>
      <c r="NGT108" s="38"/>
      <c r="NGU108" s="38"/>
      <c r="NHA108" s="36"/>
      <c r="NHB108" s="38"/>
      <c r="NHC108" s="38"/>
      <c r="NHI108" s="36"/>
      <c r="NHJ108" s="38"/>
      <c r="NHK108" s="38"/>
      <c r="NHQ108" s="36"/>
      <c r="NHR108" s="38"/>
      <c r="NHS108" s="38"/>
      <c r="NHY108" s="36"/>
      <c r="NHZ108" s="38"/>
      <c r="NIA108" s="38"/>
      <c r="NIG108" s="36"/>
      <c r="NIH108" s="38"/>
      <c r="NII108" s="38"/>
      <c r="NIO108" s="36"/>
      <c r="NIP108" s="38"/>
      <c r="NIQ108" s="38"/>
      <c r="NIW108" s="36"/>
      <c r="NIX108" s="38"/>
      <c r="NIY108" s="38"/>
      <c r="NJE108" s="36"/>
      <c r="NJF108" s="38"/>
      <c r="NJG108" s="38"/>
      <c r="NJM108" s="36"/>
      <c r="NJN108" s="38"/>
      <c r="NJO108" s="38"/>
      <c r="NJU108" s="36"/>
      <c r="NJV108" s="38"/>
      <c r="NJW108" s="38"/>
      <c r="NKC108" s="36"/>
      <c r="NKD108" s="38"/>
      <c r="NKE108" s="38"/>
      <c r="NKK108" s="36"/>
      <c r="NKL108" s="38"/>
      <c r="NKM108" s="38"/>
      <c r="NKS108" s="36"/>
      <c r="NKT108" s="38"/>
      <c r="NKU108" s="38"/>
      <c r="NLA108" s="36"/>
      <c r="NLB108" s="38"/>
      <c r="NLC108" s="38"/>
      <c r="NLI108" s="36"/>
      <c r="NLJ108" s="38"/>
      <c r="NLK108" s="38"/>
      <c r="NLQ108" s="36"/>
      <c r="NLR108" s="38"/>
      <c r="NLS108" s="38"/>
      <c r="NLY108" s="36"/>
      <c r="NLZ108" s="38"/>
      <c r="NMA108" s="38"/>
      <c r="NMG108" s="36"/>
      <c r="NMH108" s="38"/>
      <c r="NMI108" s="38"/>
      <c r="NMO108" s="36"/>
      <c r="NMP108" s="38"/>
      <c r="NMQ108" s="38"/>
      <c r="NMW108" s="36"/>
      <c r="NMX108" s="38"/>
      <c r="NMY108" s="38"/>
      <c r="NNE108" s="36"/>
      <c r="NNF108" s="38"/>
      <c r="NNG108" s="38"/>
      <c r="NNM108" s="36"/>
      <c r="NNN108" s="38"/>
      <c r="NNO108" s="38"/>
      <c r="NNU108" s="36"/>
      <c r="NNV108" s="38"/>
      <c r="NNW108" s="38"/>
      <c r="NOC108" s="36"/>
      <c r="NOD108" s="38"/>
      <c r="NOE108" s="38"/>
      <c r="NOK108" s="36"/>
      <c r="NOL108" s="38"/>
      <c r="NOM108" s="38"/>
      <c r="NOS108" s="36"/>
      <c r="NOT108" s="38"/>
      <c r="NOU108" s="38"/>
      <c r="NPA108" s="36"/>
      <c r="NPB108" s="38"/>
      <c r="NPC108" s="38"/>
      <c r="NPI108" s="36"/>
      <c r="NPJ108" s="38"/>
      <c r="NPK108" s="38"/>
      <c r="NPQ108" s="36"/>
      <c r="NPR108" s="38"/>
      <c r="NPS108" s="38"/>
      <c r="NPY108" s="36"/>
      <c r="NPZ108" s="38"/>
      <c r="NQA108" s="38"/>
      <c r="NQG108" s="36"/>
      <c r="NQH108" s="38"/>
      <c r="NQI108" s="38"/>
      <c r="NQO108" s="36"/>
      <c r="NQP108" s="38"/>
      <c r="NQQ108" s="38"/>
      <c r="NQW108" s="36"/>
      <c r="NQX108" s="38"/>
      <c r="NQY108" s="38"/>
      <c r="NRE108" s="36"/>
      <c r="NRF108" s="38"/>
      <c r="NRG108" s="38"/>
      <c r="NRM108" s="36"/>
      <c r="NRN108" s="38"/>
      <c r="NRO108" s="38"/>
      <c r="NRU108" s="36"/>
      <c r="NRV108" s="38"/>
      <c r="NRW108" s="38"/>
      <c r="NSC108" s="36"/>
      <c r="NSD108" s="38"/>
      <c r="NSE108" s="38"/>
      <c r="NSK108" s="36"/>
      <c r="NSL108" s="38"/>
      <c r="NSM108" s="38"/>
      <c r="NSS108" s="36"/>
      <c r="NST108" s="38"/>
      <c r="NSU108" s="38"/>
      <c r="NTA108" s="36"/>
      <c r="NTB108" s="38"/>
      <c r="NTC108" s="38"/>
      <c r="NTI108" s="36"/>
      <c r="NTJ108" s="38"/>
      <c r="NTK108" s="38"/>
      <c r="NTQ108" s="36"/>
      <c r="NTR108" s="38"/>
      <c r="NTS108" s="38"/>
      <c r="NTY108" s="36"/>
      <c r="NTZ108" s="38"/>
      <c r="NUA108" s="38"/>
      <c r="NUG108" s="36"/>
      <c r="NUH108" s="38"/>
      <c r="NUI108" s="38"/>
      <c r="NUO108" s="36"/>
      <c r="NUP108" s="38"/>
      <c r="NUQ108" s="38"/>
      <c r="NUW108" s="36"/>
      <c r="NUX108" s="38"/>
      <c r="NUY108" s="38"/>
      <c r="NVE108" s="36"/>
      <c r="NVF108" s="38"/>
      <c r="NVG108" s="38"/>
      <c r="NVM108" s="36"/>
      <c r="NVN108" s="38"/>
      <c r="NVO108" s="38"/>
      <c r="NVU108" s="36"/>
      <c r="NVV108" s="38"/>
      <c r="NVW108" s="38"/>
      <c r="NWC108" s="36"/>
      <c r="NWD108" s="38"/>
      <c r="NWE108" s="38"/>
      <c r="NWK108" s="36"/>
      <c r="NWL108" s="38"/>
      <c r="NWM108" s="38"/>
      <c r="NWS108" s="36"/>
      <c r="NWT108" s="38"/>
      <c r="NWU108" s="38"/>
      <c r="NXA108" s="36"/>
      <c r="NXB108" s="38"/>
      <c r="NXC108" s="38"/>
      <c r="NXI108" s="36"/>
      <c r="NXJ108" s="38"/>
      <c r="NXK108" s="38"/>
      <c r="NXQ108" s="36"/>
      <c r="NXR108" s="38"/>
      <c r="NXS108" s="38"/>
      <c r="NXY108" s="36"/>
      <c r="NXZ108" s="38"/>
      <c r="NYA108" s="38"/>
      <c r="NYG108" s="36"/>
      <c r="NYH108" s="38"/>
      <c r="NYI108" s="38"/>
      <c r="NYO108" s="36"/>
      <c r="NYP108" s="38"/>
      <c r="NYQ108" s="38"/>
      <c r="NYW108" s="36"/>
      <c r="NYX108" s="38"/>
      <c r="NYY108" s="38"/>
      <c r="NZE108" s="36"/>
      <c r="NZF108" s="38"/>
      <c r="NZG108" s="38"/>
      <c r="NZM108" s="36"/>
      <c r="NZN108" s="38"/>
      <c r="NZO108" s="38"/>
      <c r="NZU108" s="36"/>
      <c r="NZV108" s="38"/>
      <c r="NZW108" s="38"/>
      <c r="OAC108" s="36"/>
      <c r="OAD108" s="38"/>
      <c r="OAE108" s="38"/>
      <c r="OAK108" s="36"/>
      <c r="OAL108" s="38"/>
      <c r="OAM108" s="38"/>
      <c r="OAS108" s="36"/>
      <c r="OAT108" s="38"/>
      <c r="OAU108" s="38"/>
      <c r="OBA108" s="36"/>
      <c r="OBB108" s="38"/>
      <c r="OBC108" s="38"/>
      <c r="OBI108" s="36"/>
      <c r="OBJ108" s="38"/>
      <c r="OBK108" s="38"/>
      <c r="OBQ108" s="36"/>
      <c r="OBR108" s="38"/>
      <c r="OBS108" s="38"/>
      <c r="OBY108" s="36"/>
      <c r="OBZ108" s="38"/>
      <c r="OCA108" s="38"/>
      <c r="OCG108" s="36"/>
      <c r="OCH108" s="38"/>
      <c r="OCI108" s="38"/>
      <c r="OCO108" s="36"/>
      <c r="OCP108" s="38"/>
      <c r="OCQ108" s="38"/>
      <c r="OCW108" s="36"/>
      <c r="OCX108" s="38"/>
      <c r="OCY108" s="38"/>
      <c r="ODE108" s="36"/>
      <c r="ODF108" s="38"/>
      <c r="ODG108" s="38"/>
      <c r="ODM108" s="36"/>
      <c r="ODN108" s="38"/>
      <c r="ODO108" s="38"/>
      <c r="ODU108" s="36"/>
      <c r="ODV108" s="38"/>
      <c r="ODW108" s="38"/>
      <c r="OEC108" s="36"/>
      <c r="OED108" s="38"/>
      <c r="OEE108" s="38"/>
      <c r="OEK108" s="36"/>
      <c r="OEL108" s="38"/>
      <c r="OEM108" s="38"/>
      <c r="OES108" s="36"/>
      <c r="OET108" s="38"/>
      <c r="OEU108" s="38"/>
      <c r="OFA108" s="36"/>
      <c r="OFB108" s="38"/>
      <c r="OFC108" s="38"/>
      <c r="OFI108" s="36"/>
      <c r="OFJ108" s="38"/>
      <c r="OFK108" s="38"/>
      <c r="OFQ108" s="36"/>
      <c r="OFR108" s="38"/>
      <c r="OFS108" s="38"/>
      <c r="OFY108" s="36"/>
      <c r="OFZ108" s="38"/>
      <c r="OGA108" s="38"/>
      <c r="OGG108" s="36"/>
      <c r="OGH108" s="38"/>
      <c r="OGI108" s="38"/>
      <c r="OGO108" s="36"/>
      <c r="OGP108" s="38"/>
      <c r="OGQ108" s="38"/>
      <c r="OGW108" s="36"/>
      <c r="OGX108" s="38"/>
      <c r="OGY108" s="38"/>
      <c r="OHE108" s="36"/>
      <c r="OHF108" s="38"/>
      <c r="OHG108" s="38"/>
      <c r="OHM108" s="36"/>
      <c r="OHN108" s="38"/>
      <c r="OHO108" s="38"/>
      <c r="OHU108" s="36"/>
      <c r="OHV108" s="38"/>
      <c r="OHW108" s="38"/>
      <c r="OIC108" s="36"/>
      <c r="OID108" s="38"/>
      <c r="OIE108" s="38"/>
      <c r="OIK108" s="36"/>
      <c r="OIL108" s="38"/>
      <c r="OIM108" s="38"/>
      <c r="OIS108" s="36"/>
      <c r="OIT108" s="38"/>
      <c r="OIU108" s="38"/>
      <c r="OJA108" s="36"/>
      <c r="OJB108" s="38"/>
      <c r="OJC108" s="38"/>
      <c r="OJI108" s="36"/>
      <c r="OJJ108" s="38"/>
      <c r="OJK108" s="38"/>
      <c r="OJQ108" s="36"/>
      <c r="OJR108" s="38"/>
      <c r="OJS108" s="38"/>
      <c r="OJY108" s="36"/>
      <c r="OJZ108" s="38"/>
      <c r="OKA108" s="38"/>
      <c r="OKG108" s="36"/>
      <c r="OKH108" s="38"/>
      <c r="OKI108" s="38"/>
      <c r="OKO108" s="36"/>
      <c r="OKP108" s="38"/>
      <c r="OKQ108" s="38"/>
      <c r="OKW108" s="36"/>
      <c r="OKX108" s="38"/>
      <c r="OKY108" s="38"/>
      <c r="OLE108" s="36"/>
      <c r="OLF108" s="38"/>
      <c r="OLG108" s="38"/>
      <c r="OLM108" s="36"/>
      <c r="OLN108" s="38"/>
      <c r="OLO108" s="38"/>
      <c r="OLU108" s="36"/>
      <c r="OLV108" s="38"/>
      <c r="OLW108" s="38"/>
      <c r="OMC108" s="36"/>
      <c r="OMD108" s="38"/>
      <c r="OME108" s="38"/>
      <c r="OMK108" s="36"/>
      <c r="OML108" s="38"/>
      <c r="OMM108" s="38"/>
      <c r="OMS108" s="36"/>
      <c r="OMT108" s="38"/>
      <c r="OMU108" s="38"/>
      <c r="ONA108" s="36"/>
      <c r="ONB108" s="38"/>
      <c r="ONC108" s="38"/>
      <c r="ONI108" s="36"/>
      <c r="ONJ108" s="38"/>
      <c r="ONK108" s="38"/>
      <c r="ONQ108" s="36"/>
      <c r="ONR108" s="38"/>
      <c r="ONS108" s="38"/>
      <c r="ONY108" s="36"/>
      <c r="ONZ108" s="38"/>
      <c r="OOA108" s="38"/>
      <c r="OOG108" s="36"/>
      <c r="OOH108" s="38"/>
      <c r="OOI108" s="38"/>
      <c r="OOO108" s="36"/>
      <c r="OOP108" s="38"/>
      <c r="OOQ108" s="38"/>
      <c r="OOW108" s="36"/>
      <c r="OOX108" s="38"/>
      <c r="OOY108" s="38"/>
      <c r="OPE108" s="36"/>
      <c r="OPF108" s="38"/>
      <c r="OPG108" s="38"/>
      <c r="OPM108" s="36"/>
      <c r="OPN108" s="38"/>
      <c r="OPO108" s="38"/>
      <c r="OPU108" s="36"/>
      <c r="OPV108" s="38"/>
      <c r="OPW108" s="38"/>
      <c r="OQC108" s="36"/>
      <c r="OQD108" s="38"/>
      <c r="OQE108" s="38"/>
      <c r="OQK108" s="36"/>
      <c r="OQL108" s="38"/>
      <c r="OQM108" s="38"/>
      <c r="OQS108" s="36"/>
      <c r="OQT108" s="38"/>
      <c r="OQU108" s="38"/>
      <c r="ORA108" s="36"/>
      <c r="ORB108" s="38"/>
      <c r="ORC108" s="38"/>
      <c r="ORI108" s="36"/>
      <c r="ORJ108" s="38"/>
      <c r="ORK108" s="38"/>
      <c r="ORQ108" s="36"/>
      <c r="ORR108" s="38"/>
      <c r="ORS108" s="38"/>
      <c r="ORY108" s="36"/>
      <c r="ORZ108" s="38"/>
      <c r="OSA108" s="38"/>
      <c r="OSG108" s="36"/>
      <c r="OSH108" s="38"/>
      <c r="OSI108" s="38"/>
      <c r="OSO108" s="36"/>
      <c r="OSP108" s="38"/>
      <c r="OSQ108" s="38"/>
      <c r="OSW108" s="36"/>
      <c r="OSX108" s="38"/>
      <c r="OSY108" s="38"/>
      <c r="OTE108" s="36"/>
      <c r="OTF108" s="38"/>
      <c r="OTG108" s="38"/>
      <c r="OTM108" s="36"/>
      <c r="OTN108" s="38"/>
      <c r="OTO108" s="38"/>
      <c r="OTU108" s="36"/>
      <c r="OTV108" s="38"/>
      <c r="OTW108" s="38"/>
      <c r="OUC108" s="36"/>
      <c r="OUD108" s="38"/>
      <c r="OUE108" s="38"/>
      <c r="OUK108" s="36"/>
      <c r="OUL108" s="38"/>
      <c r="OUM108" s="38"/>
      <c r="OUS108" s="36"/>
      <c r="OUT108" s="38"/>
      <c r="OUU108" s="38"/>
      <c r="OVA108" s="36"/>
      <c r="OVB108" s="38"/>
      <c r="OVC108" s="38"/>
      <c r="OVI108" s="36"/>
      <c r="OVJ108" s="38"/>
      <c r="OVK108" s="38"/>
      <c r="OVQ108" s="36"/>
      <c r="OVR108" s="38"/>
      <c r="OVS108" s="38"/>
      <c r="OVY108" s="36"/>
      <c r="OVZ108" s="38"/>
      <c r="OWA108" s="38"/>
      <c r="OWG108" s="36"/>
      <c r="OWH108" s="38"/>
      <c r="OWI108" s="38"/>
      <c r="OWO108" s="36"/>
      <c r="OWP108" s="38"/>
      <c r="OWQ108" s="38"/>
      <c r="OWW108" s="36"/>
      <c r="OWX108" s="38"/>
      <c r="OWY108" s="38"/>
      <c r="OXE108" s="36"/>
      <c r="OXF108" s="38"/>
      <c r="OXG108" s="38"/>
      <c r="OXM108" s="36"/>
      <c r="OXN108" s="38"/>
      <c r="OXO108" s="38"/>
      <c r="OXU108" s="36"/>
      <c r="OXV108" s="38"/>
      <c r="OXW108" s="38"/>
      <c r="OYC108" s="36"/>
      <c r="OYD108" s="38"/>
      <c r="OYE108" s="38"/>
      <c r="OYK108" s="36"/>
      <c r="OYL108" s="38"/>
      <c r="OYM108" s="38"/>
      <c r="OYS108" s="36"/>
      <c r="OYT108" s="38"/>
      <c r="OYU108" s="38"/>
      <c r="OZA108" s="36"/>
      <c r="OZB108" s="38"/>
      <c r="OZC108" s="38"/>
      <c r="OZI108" s="36"/>
      <c r="OZJ108" s="38"/>
      <c r="OZK108" s="38"/>
      <c r="OZQ108" s="36"/>
      <c r="OZR108" s="38"/>
      <c r="OZS108" s="38"/>
      <c r="OZY108" s="36"/>
      <c r="OZZ108" s="38"/>
      <c r="PAA108" s="38"/>
      <c r="PAG108" s="36"/>
      <c r="PAH108" s="38"/>
      <c r="PAI108" s="38"/>
      <c r="PAO108" s="36"/>
      <c r="PAP108" s="38"/>
      <c r="PAQ108" s="38"/>
      <c r="PAW108" s="36"/>
      <c r="PAX108" s="38"/>
      <c r="PAY108" s="38"/>
      <c r="PBE108" s="36"/>
      <c r="PBF108" s="38"/>
      <c r="PBG108" s="38"/>
      <c r="PBM108" s="36"/>
      <c r="PBN108" s="38"/>
      <c r="PBO108" s="38"/>
      <c r="PBU108" s="36"/>
      <c r="PBV108" s="38"/>
      <c r="PBW108" s="38"/>
      <c r="PCC108" s="36"/>
      <c r="PCD108" s="38"/>
      <c r="PCE108" s="38"/>
      <c r="PCK108" s="36"/>
      <c r="PCL108" s="38"/>
      <c r="PCM108" s="38"/>
      <c r="PCS108" s="36"/>
      <c r="PCT108" s="38"/>
      <c r="PCU108" s="38"/>
      <c r="PDA108" s="36"/>
      <c r="PDB108" s="38"/>
      <c r="PDC108" s="38"/>
      <c r="PDI108" s="36"/>
      <c r="PDJ108" s="38"/>
      <c r="PDK108" s="38"/>
      <c r="PDQ108" s="36"/>
      <c r="PDR108" s="38"/>
      <c r="PDS108" s="38"/>
      <c r="PDY108" s="36"/>
      <c r="PDZ108" s="38"/>
      <c r="PEA108" s="38"/>
      <c r="PEG108" s="36"/>
      <c r="PEH108" s="38"/>
      <c r="PEI108" s="38"/>
      <c r="PEO108" s="36"/>
      <c r="PEP108" s="38"/>
      <c r="PEQ108" s="38"/>
      <c r="PEW108" s="36"/>
      <c r="PEX108" s="38"/>
      <c r="PEY108" s="38"/>
      <c r="PFE108" s="36"/>
      <c r="PFF108" s="38"/>
      <c r="PFG108" s="38"/>
      <c r="PFM108" s="36"/>
      <c r="PFN108" s="38"/>
      <c r="PFO108" s="38"/>
      <c r="PFU108" s="36"/>
      <c r="PFV108" s="38"/>
      <c r="PFW108" s="38"/>
      <c r="PGC108" s="36"/>
      <c r="PGD108" s="38"/>
      <c r="PGE108" s="38"/>
      <c r="PGK108" s="36"/>
      <c r="PGL108" s="38"/>
      <c r="PGM108" s="38"/>
      <c r="PGS108" s="36"/>
      <c r="PGT108" s="38"/>
      <c r="PGU108" s="38"/>
      <c r="PHA108" s="36"/>
      <c r="PHB108" s="38"/>
      <c r="PHC108" s="38"/>
      <c r="PHI108" s="36"/>
      <c r="PHJ108" s="38"/>
      <c r="PHK108" s="38"/>
      <c r="PHQ108" s="36"/>
      <c r="PHR108" s="38"/>
      <c r="PHS108" s="38"/>
      <c r="PHY108" s="36"/>
      <c r="PHZ108" s="38"/>
      <c r="PIA108" s="38"/>
      <c r="PIG108" s="36"/>
      <c r="PIH108" s="38"/>
      <c r="PII108" s="38"/>
      <c r="PIO108" s="36"/>
      <c r="PIP108" s="38"/>
      <c r="PIQ108" s="38"/>
      <c r="PIW108" s="36"/>
      <c r="PIX108" s="38"/>
      <c r="PIY108" s="38"/>
      <c r="PJE108" s="36"/>
      <c r="PJF108" s="38"/>
      <c r="PJG108" s="38"/>
      <c r="PJM108" s="36"/>
      <c r="PJN108" s="38"/>
      <c r="PJO108" s="38"/>
      <c r="PJU108" s="36"/>
      <c r="PJV108" s="38"/>
      <c r="PJW108" s="38"/>
      <c r="PKC108" s="36"/>
      <c r="PKD108" s="38"/>
      <c r="PKE108" s="38"/>
      <c r="PKK108" s="36"/>
      <c r="PKL108" s="38"/>
      <c r="PKM108" s="38"/>
      <c r="PKS108" s="36"/>
      <c r="PKT108" s="38"/>
      <c r="PKU108" s="38"/>
      <c r="PLA108" s="36"/>
      <c r="PLB108" s="38"/>
      <c r="PLC108" s="38"/>
      <c r="PLI108" s="36"/>
      <c r="PLJ108" s="38"/>
      <c r="PLK108" s="38"/>
      <c r="PLQ108" s="36"/>
      <c r="PLR108" s="38"/>
      <c r="PLS108" s="38"/>
      <c r="PLY108" s="36"/>
      <c r="PLZ108" s="38"/>
      <c r="PMA108" s="38"/>
      <c r="PMG108" s="36"/>
      <c r="PMH108" s="38"/>
      <c r="PMI108" s="38"/>
      <c r="PMO108" s="36"/>
      <c r="PMP108" s="38"/>
      <c r="PMQ108" s="38"/>
      <c r="PMW108" s="36"/>
      <c r="PMX108" s="38"/>
      <c r="PMY108" s="38"/>
      <c r="PNE108" s="36"/>
      <c r="PNF108" s="38"/>
      <c r="PNG108" s="38"/>
      <c r="PNM108" s="36"/>
      <c r="PNN108" s="38"/>
      <c r="PNO108" s="38"/>
      <c r="PNU108" s="36"/>
      <c r="PNV108" s="38"/>
      <c r="PNW108" s="38"/>
      <c r="POC108" s="36"/>
      <c r="POD108" s="38"/>
      <c r="POE108" s="38"/>
      <c r="POK108" s="36"/>
      <c r="POL108" s="38"/>
      <c r="POM108" s="38"/>
      <c r="POS108" s="36"/>
      <c r="POT108" s="38"/>
      <c r="POU108" s="38"/>
      <c r="PPA108" s="36"/>
      <c r="PPB108" s="38"/>
      <c r="PPC108" s="38"/>
      <c r="PPI108" s="36"/>
      <c r="PPJ108" s="38"/>
      <c r="PPK108" s="38"/>
      <c r="PPQ108" s="36"/>
      <c r="PPR108" s="38"/>
      <c r="PPS108" s="38"/>
      <c r="PPY108" s="36"/>
      <c r="PPZ108" s="38"/>
      <c r="PQA108" s="38"/>
      <c r="PQG108" s="36"/>
      <c r="PQH108" s="38"/>
      <c r="PQI108" s="38"/>
      <c r="PQO108" s="36"/>
      <c r="PQP108" s="38"/>
      <c r="PQQ108" s="38"/>
      <c r="PQW108" s="36"/>
      <c r="PQX108" s="38"/>
      <c r="PQY108" s="38"/>
      <c r="PRE108" s="36"/>
      <c r="PRF108" s="38"/>
      <c r="PRG108" s="38"/>
      <c r="PRM108" s="36"/>
      <c r="PRN108" s="38"/>
      <c r="PRO108" s="38"/>
      <c r="PRU108" s="36"/>
      <c r="PRV108" s="38"/>
      <c r="PRW108" s="38"/>
      <c r="PSC108" s="36"/>
      <c r="PSD108" s="38"/>
      <c r="PSE108" s="38"/>
      <c r="PSK108" s="36"/>
      <c r="PSL108" s="38"/>
      <c r="PSM108" s="38"/>
      <c r="PSS108" s="36"/>
      <c r="PST108" s="38"/>
      <c r="PSU108" s="38"/>
      <c r="PTA108" s="36"/>
      <c r="PTB108" s="38"/>
      <c r="PTC108" s="38"/>
      <c r="PTI108" s="36"/>
      <c r="PTJ108" s="38"/>
      <c r="PTK108" s="38"/>
      <c r="PTQ108" s="36"/>
      <c r="PTR108" s="38"/>
      <c r="PTS108" s="38"/>
      <c r="PTY108" s="36"/>
      <c r="PTZ108" s="38"/>
      <c r="PUA108" s="38"/>
      <c r="PUG108" s="36"/>
      <c r="PUH108" s="38"/>
      <c r="PUI108" s="38"/>
      <c r="PUO108" s="36"/>
      <c r="PUP108" s="38"/>
      <c r="PUQ108" s="38"/>
      <c r="PUW108" s="36"/>
      <c r="PUX108" s="38"/>
      <c r="PUY108" s="38"/>
      <c r="PVE108" s="36"/>
      <c r="PVF108" s="38"/>
      <c r="PVG108" s="38"/>
      <c r="PVM108" s="36"/>
      <c r="PVN108" s="38"/>
      <c r="PVO108" s="38"/>
      <c r="PVU108" s="36"/>
      <c r="PVV108" s="38"/>
      <c r="PVW108" s="38"/>
      <c r="PWC108" s="36"/>
      <c r="PWD108" s="38"/>
      <c r="PWE108" s="38"/>
      <c r="PWK108" s="36"/>
      <c r="PWL108" s="38"/>
      <c r="PWM108" s="38"/>
      <c r="PWS108" s="36"/>
      <c r="PWT108" s="38"/>
      <c r="PWU108" s="38"/>
      <c r="PXA108" s="36"/>
      <c r="PXB108" s="38"/>
      <c r="PXC108" s="38"/>
      <c r="PXI108" s="36"/>
      <c r="PXJ108" s="38"/>
      <c r="PXK108" s="38"/>
      <c r="PXQ108" s="36"/>
      <c r="PXR108" s="38"/>
      <c r="PXS108" s="38"/>
      <c r="PXY108" s="36"/>
      <c r="PXZ108" s="38"/>
      <c r="PYA108" s="38"/>
      <c r="PYG108" s="36"/>
      <c r="PYH108" s="38"/>
      <c r="PYI108" s="38"/>
      <c r="PYO108" s="36"/>
      <c r="PYP108" s="38"/>
      <c r="PYQ108" s="38"/>
      <c r="PYW108" s="36"/>
      <c r="PYX108" s="38"/>
      <c r="PYY108" s="38"/>
      <c r="PZE108" s="36"/>
      <c r="PZF108" s="38"/>
      <c r="PZG108" s="38"/>
      <c r="PZM108" s="36"/>
      <c r="PZN108" s="38"/>
      <c r="PZO108" s="38"/>
      <c r="PZU108" s="36"/>
      <c r="PZV108" s="38"/>
      <c r="PZW108" s="38"/>
      <c r="QAC108" s="36"/>
      <c r="QAD108" s="38"/>
      <c r="QAE108" s="38"/>
      <c r="QAK108" s="36"/>
      <c r="QAL108" s="38"/>
      <c r="QAM108" s="38"/>
      <c r="QAS108" s="36"/>
      <c r="QAT108" s="38"/>
      <c r="QAU108" s="38"/>
      <c r="QBA108" s="36"/>
      <c r="QBB108" s="38"/>
      <c r="QBC108" s="38"/>
      <c r="QBI108" s="36"/>
      <c r="QBJ108" s="38"/>
      <c r="QBK108" s="38"/>
      <c r="QBQ108" s="36"/>
      <c r="QBR108" s="38"/>
      <c r="QBS108" s="38"/>
      <c r="QBY108" s="36"/>
      <c r="QBZ108" s="38"/>
      <c r="QCA108" s="38"/>
      <c r="QCG108" s="36"/>
      <c r="QCH108" s="38"/>
      <c r="QCI108" s="38"/>
      <c r="QCO108" s="36"/>
      <c r="QCP108" s="38"/>
      <c r="QCQ108" s="38"/>
      <c r="QCW108" s="36"/>
      <c r="QCX108" s="38"/>
      <c r="QCY108" s="38"/>
      <c r="QDE108" s="36"/>
      <c r="QDF108" s="38"/>
      <c r="QDG108" s="38"/>
      <c r="QDM108" s="36"/>
      <c r="QDN108" s="38"/>
      <c r="QDO108" s="38"/>
      <c r="QDU108" s="36"/>
      <c r="QDV108" s="38"/>
      <c r="QDW108" s="38"/>
      <c r="QEC108" s="36"/>
      <c r="QED108" s="38"/>
      <c r="QEE108" s="38"/>
      <c r="QEK108" s="36"/>
      <c r="QEL108" s="38"/>
      <c r="QEM108" s="38"/>
      <c r="QES108" s="36"/>
      <c r="QET108" s="38"/>
      <c r="QEU108" s="38"/>
      <c r="QFA108" s="36"/>
      <c r="QFB108" s="38"/>
      <c r="QFC108" s="38"/>
      <c r="QFI108" s="36"/>
      <c r="QFJ108" s="38"/>
      <c r="QFK108" s="38"/>
      <c r="QFQ108" s="36"/>
      <c r="QFR108" s="38"/>
      <c r="QFS108" s="38"/>
      <c r="QFY108" s="36"/>
      <c r="QFZ108" s="38"/>
      <c r="QGA108" s="38"/>
      <c r="QGG108" s="36"/>
      <c r="QGH108" s="38"/>
      <c r="QGI108" s="38"/>
      <c r="QGO108" s="36"/>
      <c r="QGP108" s="38"/>
      <c r="QGQ108" s="38"/>
      <c r="QGW108" s="36"/>
      <c r="QGX108" s="38"/>
      <c r="QGY108" s="38"/>
      <c r="QHE108" s="36"/>
      <c r="QHF108" s="38"/>
      <c r="QHG108" s="38"/>
      <c r="QHM108" s="36"/>
      <c r="QHN108" s="38"/>
      <c r="QHO108" s="38"/>
      <c r="QHU108" s="36"/>
      <c r="QHV108" s="38"/>
      <c r="QHW108" s="38"/>
      <c r="QIC108" s="36"/>
      <c r="QID108" s="38"/>
      <c r="QIE108" s="38"/>
      <c r="QIK108" s="36"/>
      <c r="QIL108" s="38"/>
      <c r="QIM108" s="38"/>
      <c r="QIS108" s="36"/>
      <c r="QIT108" s="38"/>
      <c r="QIU108" s="38"/>
      <c r="QJA108" s="36"/>
      <c r="QJB108" s="38"/>
      <c r="QJC108" s="38"/>
      <c r="QJI108" s="36"/>
      <c r="QJJ108" s="38"/>
      <c r="QJK108" s="38"/>
      <c r="QJQ108" s="36"/>
      <c r="QJR108" s="38"/>
      <c r="QJS108" s="38"/>
      <c r="QJY108" s="36"/>
      <c r="QJZ108" s="38"/>
      <c r="QKA108" s="38"/>
      <c r="QKG108" s="36"/>
      <c r="QKH108" s="38"/>
      <c r="QKI108" s="38"/>
      <c r="QKO108" s="36"/>
      <c r="QKP108" s="38"/>
      <c r="QKQ108" s="38"/>
      <c r="QKW108" s="36"/>
      <c r="QKX108" s="38"/>
      <c r="QKY108" s="38"/>
      <c r="QLE108" s="36"/>
      <c r="QLF108" s="38"/>
      <c r="QLG108" s="38"/>
      <c r="QLM108" s="36"/>
      <c r="QLN108" s="38"/>
      <c r="QLO108" s="38"/>
      <c r="QLU108" s="36"/>
      <c r="QLV108" s="38"/>
      <c r="QLW108" s="38"/>
      <c r="QMC108" s="36"/>
      <c r="QMD108" s="38"/>
      <c r="QME108" s="38"/>
      <c r="QMK108" s="36"/>
      <c r="QML108" s="38"/>
      <c r="QMM108" s="38"/>
      <c r="QMS108" s="36"/>
      <c r="QMT108" s="38"/>
      <c r="QMU108" s="38"/>
      <c r="QNA108" s="36"/>
      <c r="QNB108" s="38"/>
      <c r="QNC108" s="38"/>
      <c r="QNI108" s="36"/>
      <c r="QNJ108" s="38"/>
      <c r="QNK108" s="38"/>
      <c r="QNQ108" s="36"/>
      <c r="QNR108" s="38"/>
      <c r="QNS108" s="38"/>
      <c r="QNY108" s="36"/>
      <c r="QNZ108" s="38"/>
      <c r="QOA108" s="38"/>
      <c r="QOG108" s="36"/>
      <c r="QOH108" s="38"/>
      <c r="QOI108" s="38"/>
      <c r="QOO108" s="36"/>
      <c r="QOP108" s="38"/>
      <c r="QOQ108" s="38"/>
      <c r="QOW108" s="36"/>
      <c r="QOX108" s="38"/>
      <c r="QOY108" s="38"/>
      <c r="QPE108" s="36"/>
      <c r="QPF108" s="38"/>
      <c r="QPG108" s="38"/>
      <c r="QPM108" s="36"/>
      <c r="QPN108" s="38"/>
      <c r="QPO108" s="38"/>
      <c r="QPU108" s="36"/>
      <c r="QPV108" s="38"/>
      <c r="QPW108" s="38"/>
      <c r="QQC108" s="36"/>
      <c r="QQD108" s="38"/>
      <c r="QQE108" s="38"/>
      <c r="QQK108" s="36"/>
      <c r="QQL108" s="38"/>
      <c r="QQM108" s="38"/>
      <c r="QQS108" s="36"/>
      <c r="QQT108" s="38"/>
      <c r="QQU108" s="38"/>
      <c r="QRA108" s="36"/>
      <c r="QRB108" s="38"/>
      <c r="QRC108" s="38"/>
      <c r="QRI108" s="36"/>
      <c r="QRJ108" s="38"/>
      <c r="QRK108" s="38"/>
      <c r="QRQ108" s="36"/>
      <c r="QRR108" s="38"/>
      <c r="QRS108" s="38"/>
      <c r="QRY108" s="36"/>
      <c r="QRZ108" s="38"/>
      <c r="QSA108" s="38"/>
      <c r="QSG108" s="36"/>
      <c r="QSH108" s="38"/>
      <c r="QSI108" s="38"/>
      <c r="QSO108" s="36"/>
      <c r="QSP108" s="38"/>
      <c r="QSQ108" s="38"/>
      <c r="QSW108" s="36"/>
      <c r="QSX108" s="38"/>
      <c r="QSY108" s="38"/>
      <c r="QTE108" s="36"/>
      <c r="QTF108" s="38"/>
      <c r="QTG108" s="38"/>
      <c r="QTM108" s="36"/>
      <c r="QTN108" s="38"/>
      <c r="QTO108" s="38"/>
      <c r="QTU108" s="36"/>
      <c r="QTV108" s="38"/>
      <c r="QTW108" s="38"/>
      <c r="QUC108" s="36"/>
      <c r="QUD108" s="38"/>
      <c r="QUE108" s="38"/>
      <c r="QUK108" s="36"/>
      <c r="QUL108" s="38"/>
      <c r="QUM108" s="38"/>
      <c r="QUS108" s="36"/>
      <c r="QUT108" s="38"/>
      <c r="QUU108" s="38"/>
      <c r="QVA108" s="36"/>
      <c r="QVB108" s="38"/>
      <c r="QVC108" s="38"/>
      <c r="QVI108" s="36"/>
      <c r="QVJ108" s="38"/>
      <c r="QVK108" s="38"/>
      <c r="QVQ108" s="36"/>
      <c r="QVR108" s="38"/>
      <c r="QVS108" s="38"/>
      <c r="QVY108" s="36"/>
      <c r="QVZ108" s="38"/>
      <c r="QWA108" s="38"/>
      <c r="QWG108" s="36"/>
      <c r="QWH108" s="38"/>
      <c r="QWI108" s="38"/>
      <c r="QWO108" s="36"/>
      <c r="QWP108" s="38"/>
      <c r="QWQ108" s="38"/>
      <c r="QWW108" s="36"/>
      <c r="QWX108" s="38"/>
      <c r="QWY108" s="38"/>
      <c r="QXE108" s="36"/>
      <c r="QXF108" s="38"/>
      <c r="QXG108" s="38"/>
      <c r="QXM108" s="36"/>
      <c r="QXN108" s="38"/>
      <c r="QXO108" s="38"/>
      <c r="QXU108" s="36"/>
      <c r="QXV108" s="38"/>
      <c r="QXW108" s="38"/>
      <c r="QYC108" s="36"/>
      <c r="QYD108" s="38"/>
      <c r="QYE108" s="38"/>
      <c r="QYK108" s="36"/>
      <c r="QYL108" s="38"/>
      <c r="QYM108" s="38"/>
      <c r="QYS108" s="36"/>
      <c r="QYT108" s="38"/>
      <c r="QYU108" s="38"/>
      <c r="QZA108" s="36"/>
      <c r="QZB108" s="38"/>
      <c r="QZC108" s="38"/>
      <c r="QZI108" s="36"/>
      <c r="QZJ108" s="38"/>
      <c r="QZK108" s="38"/>
      <c r="QZQ108" s="36"/>
      <c r="QZR108" s="38"/>
      <c r="QZS108" s="38"/>
      <c r="QZY108" s="36"/>
      <c r="QZZ108" s="38"/>
      <c r="RAA108" s="38"/>
      <c r="RAG108" s="36"/>
      <c r="RAH108" s="38"/>
      <c r="RAI108" s="38"/>
      <c r="RAO108" s="36"/>
      <c r="RAP108" s="38"/>
      <c r="RAQ108" s="38"/>
      <c r="RAW108" s="36"/>
      <c r="RAX108" s="38"/>
      <c r="RAY108" s="38"/>
      <c r="RBE108" s="36"/>
      <c r="RBF108" s="38"/>
      <c r="RBG108" s="38"/>
      <c r="RBM108" s="36"/>
      <c r="RBN108" s="38"/>
      <c r="RBO108" s="38"/>
      <c r="RBU108" s="36"/>
      <c r="RBV108" s="38"/>
      <c r="RBW108" s="38"/>
      <c r="RCC108" s="36"/>
      <c r="RCD108" s="38"/>
      <c r="RCE108" s="38"/>
      <c r="RCK108" s="36"/>
      <c r="RCL108" s="38"/>
      <c r="RCM108" s="38"/>
      <c r="RCS108" s="36"/>
      <c r="RCT108" s="38"/>
      <c r="RCU108" s="38"/>
      <c r="RDA108" s="36"/>
      <c r="RDB108" s="38"/>
      <c r="RDC108" s="38"/>
      <c r="RDI108" s="36"/>
      <c r="RDJ108" s="38"/>
      <c r="RDK108" s="38"/>
      <c r="RDQ108" s="36"/>
      <c r="RDR108" s="38"/>
      <c r="RDS108" s="38"/>
      <c r="RDY108" s="36"/>
      <c r="RDZ108" s="38"/>
      <c r="REA108" s="38"/>
      <c r="REG108" s="36"/>
      <c r="REH108" s="38"/>
      <c r="REI108" s="38"/>
      <c r="REO108" s="36"/>
      <c r="REP108" s="38"/>
      <c r="REQ108" s="38"/>
      <c r="REW108" s="36"/>
      <c r="REX108" s="38"/>
      <c r="REY108" s="38"/>
      <c r="RFE108" s="36"/>
      <c r="RFF108" s="38"/>
      <c r="RFG108" s="38"/>
      <c r="RFM108" s="36"/>
      <c r="RFN108" s="38"/>
      <c r="RFO108" s="38"/>
      <c r="RFU108" s="36"/>
      <c r="RFV108" s="38"/>
      <c r="RFW108" s="38"/>
      <c r="RGC108" s="36"/>
      <c r="RGD108" s="38"/>
      <c r="RGE108" s="38"/>
      <c r="RGK108" s="36"/>
      <c r="RGL108" s="38"/>
      <c r="RGM108" s="38"/>
      <c r="RGS108" s="36"/>
      <c r="RGT108" s="38"/>
      <c r="RGU108" s="38"/>
      <c r="RHA108" s="36"/>
      <c r="RHB108" s="38"/>
      <c r="RHC108" s="38"/>
      <c r="RHI108" s="36"/>
      <c r="RHJ108" s="38"/>
      <c r="RHK108" s="38"/>
      <c r="RHQ108" s="36"/>
      <c r="RHR108" s="38"/>
      <c r="RHS108" s="38"/>
      <c r="RHY108" s="36"/>
      <c r="RHZ108" s="38"/>
      <c r="RIA108" s="38"/>
      <c r="RIG108" s="36"/>
      <c r="RIH108" s="38"/>
      <c r="RII108" s="38"/>
      <c r="RIO108" s="36"/>
      <c r="RIP108" s="38"/>
      <c r="RIQ108" s="38"/>
      <c r="RIW108" s="36"/>
      <c r="RIX108" s="38"/>
      <c r="RIY108" s="38"/>
      <c r="RJE108" s="36"/>
      <c r="RJF108" s="38"/>
      <c r="RJG108" s="38"/>
      <c r="RJM108" s="36"/>
      <c r="RJN108" s="38"/>
      <c r="RJO108" s="38"/>
      <c r="RJU108" s="36"/>
      <c r="RJV108" s="38"/>
      <c r="RJW108" s="38"/>
      <c r="RKC108" s="36"/>
      <c r="RKD108" s="38"/>
      <c r="RKE108" s="38"/>
      <c r="RKK108" s="36"/>
      <c r="RKL108" s="38"/>
      <c r="RKM108" s="38"/>
      <c r="RKS108" s="36"/>
      <c r="RKT108" s="38"/>
      <c r="RKU108" s="38"/>
      <c r="RLA108" s="36"/>
      <c r="RLB108" s="38"/>
      <c r="RLC108" s="38"/>
      <c r="RLI108" s="36"/>
      <c r="RLJ108" s="38"/>
      <c r="RLK108" s="38"/>
      <c r="RLQ108" s="36"/>
      <c r="RLR108" s="38"/>
      <c r="RLS108" s="38"/>
      <c r="RLY108" s="36"/>
      <c r="RLZ108" s="38"/>
      <c r="RMA108" s="38"/>
      <c r="RMG108" s="36"/>
      <c r="RMH108" s="38"/>
      <c r="RMI108" s="38"/>
      <c r="RMO108" s="36"/>
      <c r="RMP108" s="38"/>
      <c r="RMQ108" s="38"/>
      <c r="RMW108" s="36"/>
      <c r="RMX108" s="38"/>
      <c r="RMY108" s="38"/>
      <c r="RNE108" s="36"/>
      <c r="RNF108" s="38"/>
      <c r="RNG108" s="38"/>
      <c r="RNM108" s="36"/>
      <c r="RNN108" s="38"/>
      <c r="RNO108" s="38"/>
      <c r="RNU108" s="36"/>
      <c r="RNV108" s="38"/>
      <c r="RNW108" s="38"/>
      <c r="ROC108" s="36"/>
      <c r="ROD108" s="38"/>
      <c r="ROE108" s="38"/>
      <c r="ROK108" s="36"/>
      <c r="ROL108" s="38"/>
      <c r="ROM108" s="38"/>
      <c r="ROS108" s="36"/>
      <c r="ROT108" s="38"/>
      <c r="ROU108" s="38"/>
      <c r="RPA108" s="36"/>
      <c r="RPB108" s="38"/>
      <c r="RPC108" s="38"/>
      <c r="RPI108" s="36"/>
      <c r="RPJ108" s="38"/>
      <c r="RPK108" s="38"/>
      <c r="RPQ108" s="36"/>
      <c r="RPR108" s="38"/>
      <c r="RPS108" s="38"/>
      <c r="RPY108" s="36"/>
      <c r="RPZ108" s="38"/>
      <c r="RQA108" s="38"/>
      <c r="RQG108" s="36"/>
      <c r="RQH108" s="38"/>
      <c r="RQI108" s="38"/>
      <c r="RQO108" s="36"/>
      <c r="RQP108" s="38"/>
      <c r="RQQ108" s="38"/>
      <c r="RQW108" s="36"/>
      <c r="RQX108" s="38"/>
      <c r="RQY108" s="38"/>
      <c r="RRE108" s="36"/>
      <c r="RRF108" s="38"/>
      <c r="RRG108" s="38"/>
      <c r="RRM108" s="36"/>
      <c r="RRN108" s="38"/>
      <c r="RRO108" s="38"/>
      <c r="RRU108" s="36"/>
      <c r="RRV108" s="38"/>
      <c r="RRW108" s="38"/>
      <c r="RSC108" s="36"/>
      <c r="RSD108" s="38"/>
      <c r="RSE108" s="38"/>
      <c r="RSK108" s="36"/>
      <c r="RSL108" s="38"/>
      <c r="RSM108" s="38"/>
      <c r="RSS108" s="36"/>
      <c r="RST108" s="38"/>
      <c r="RSU108" s="38"/>
      <c r="RTA108" s="36"/>
      <c r="RTB108" s="38"/>
      <c r="RTC108" s="38"/>
      <c r="RTI108" s="36"/>
      <c r="RTJ108" s="38"/>
      <c r="RTK108" s="38"/>
      <c r="RTQ108" s="36"/>
      <c r="RTR108" s="38"/>
      <c r="RTS108" s="38"/>
      <c r="RTY108" s="36"/>
      <c r="RTZ108" s="38"/>
      <c r="RUA108" s="38"/>
      <c r="RUG108" s="36"/>
      <c r="RUH108" s="38"/>
      <c r="RUI108" s="38"/>
      <c r="RUO108" s="36"/>
      <c r="RUP108" s="38"/>
      <c r="RUQ108" s="38"/>
      <c r="RUW108" s="36"/>
      <c r="RUX108" s="38"/>
      <c r="RUY108" s="38"/>
      <c r="RVE108" s="36"/>
      <c r="RVF108" s="38"/>
      <c r="RVG108" s="38"/>
      <c r="RVM108" s="36"/>
      <c r="RVN108" s="38"/>
      <c r="RVO108" s="38"/>
      <c r="RVU108" s="36"/>
      <c r="RVV108" s="38"/>
      <c r="RVW108" s="38"/>
      <c r="RWC108" s="36"/>
      <c r="RWD108" s="38"/>
      <c r="RWE108" s="38"/>
      <c r="RWK108" s="36"/>
      <c r="RWL108" s="38"/>
      <c r="RWM108" s="38"/>
      <c r="RWS108" s="36"/>
      <c r="RWT108" s="38"/>
      <c r="RWU108" s="38"/>
      <c r="RXA108" s="36"/>
      <c r="RXB108" s="38"/>
      <c r="RXC108" s="38"/>
      <c r="RXI108" s="36"/>
      <c r="RXJ108" s="38"/>
      <c r="RXK108" s="38"/>
      <c r="RXQ108" s="36"/>
      <c r="RXR108" s="38"/>
      <c r="RXS108" s="38"/>
      <c r="RXY108" s="36"/>
      <c r="RXZ108" s="38"/>
      <c r="RYA108" s="38"/>
      <c r="RYG108" s="36"/>
      <c r="RYH108" s="38"/>
      <c r="RYI108" s="38"/>
      <c r="RYO108" s="36"/>
      <c r="RYP108" s="38"/>
      <c r="RYQ108" s="38"/>
      <c r="RYW108" s="36"/>
      <c r="RYX108" s="38"/>
      <c r="RYY108" s="38"/>
      <c r="RZE108" s="36"/>
      <c r="RZF108" s="38"/>
      <c r="RZG108" s="38"/>
      <c r="RZM108" s="36"/>
      <c r="RZN108" s="38"/>
      <c r="RZO108" s="38"/>
      <c r="RZU108" s="36"/>
      <c r="RZV108" s="38"/>
      <c r="RZW108" s="38"/>
      <c r="SAC108" s="36"/>
      <c r="SAD108" s="38"/>
      <c r="SAE108" s="38"/>
      <c r="SAK108" s="36"/>
      <c r="SAL108" s="38"/>
      <c r="SAM108" s="38"/>
      <c r="SAS108" s="36"/>
      <c r="SAT108" s="38"/>
      <c r="SAU108" s="38"/>
      <c r="SBA108" s="36"/>
      <c r="SBB108" s="38"/>
      <c r="SBC108" s="38"/>
      <c r="SBI108" s="36"/>
      <c r="SBJ108" s="38"/>
      <c r="SBK108" s="38"/>
      <c r="SBQ108" s="36"/>
      <c r="SBR108" s="38"/>
      <c r="SBS108" s="38"/>
      <c r="SBY108" s="36"/>
      <c r="SBZ108" s="38"/>
      <c r="SCA108" s="38"/>
      <c r="SCG108" s="36"/>
      <c r="SCH108" s="38"/>
      <c r="SCI108" s="38"/>
      <c r="SCO108" s="36"/>
      <c r="SCP108" s="38"/>
      <c r="SCQ108" s="38"/>
      <c r="SCW108" s="36"/>
      <c r="SCX108" s="38"/>
      <c r="SCY108" s="38"/>
      <c r="SDE108" s="36"/>
      <c r="SDF108" s="38"/>
      <c r="SDG108" s="38"/>
      <c r="SDM108" s="36"/>
      <c r="SDN108" s="38"/>
      <c r="SDO108" s="38"/>
      <c r="SDU108" s="36"/>
      <c r="SDV108" s="38"/>
      <c r="SDW108" s="38"/>
      <c r="SEC108" s="36"/>
      <c r="SED108" s="38"/>
      <c r="SEE108" s="38"/>
      <c r="SEK108" s="36"/>
      <c r="SEL108" s="38"/>
      <c r="SEM108" s="38"/>
      <c r="SES108" s="36"/>
      <c r="SET108" s="38"/>
      <c r="SEU108" s="38"/>
      <c r="SFA108" s="36"/>
      <c r="SFB108" s="38"/>
      <c r="SFC108" s="38"/>
      <c r="SFI108" s="36"/>
      <c r="SFJ108" s="38"/>
      <c r="SFK108" s="38"/>
      <c r="SFQ108" s="36"/>
      <c r="SFR108" s="38"/>
      <c r="SFS108" s="38"/>
      <c r="SFY108" s="36"/>
      <c r="SFZ108" s="38"/>
      <c r="SGA108" s="38"/>
      <c r="SGG108" s="36"/>
      <c r="SGH108" s="38"/>
      <c r="SGI108" s="38"/>
      <c r="SGO108" s="36"/>
      <c r="SGP108" s="38"/>
      <c r="SGQ108" s="38"/>
      <c r="SGW108" s="36"/>
      <c r="SGX108" s="38"/>
      <c r="SGY108" s="38"/>
      <c r="SHE108" s="36"/>
      <c r="SHF108" s="38"/>
      <c r="SHG108" s="38"/>
      <c r="SHM108" s="36"/>
      <c r="SHN108" s="38"/>
      <c r="SHO108" s="38"/>
      <c r="SHU108" s="36"/>
      <c r="SHV108" s="38"/>
      <c r="SHW108" s="38"/>
      <c r="SIC108" s="36"/>
      <c r="SID108" s="38"/>
      <c r="SIE108" s="38"/>
      <c r="SIK108" s="36"/>
      <c r="SIL108" s="38"/>
      <c r="SIM108" s="38"/>
      <c r="SIS108" s="36"/>
      <c r="SIT108" s="38"/>
      <c r="SIU108" s="38"/>
      <c r="SJA108" s="36"/>
      <c r="SJB108" s="38"/>
      <c r="SJC108" s="38"/>
      <c r="SJI108" s="36"/>
      <c r="SJJ108" s="38"/>
      <c r="SJK108" s="38"/>
      <c r="SJQ108" s="36"/>
      <c r="SJR108" s="38"/>
      <c r="SJS108" s="38"/>
      <c r="SJY108" s="36"/>
      <c r="SJZ108" s="38"/>
      <c r="SKA108" s="38"/>
      <c r="SKG108" s="36"/>
      <c r="SKH108" s="38"/>
      <c r="SKI108" s="38"/>
      <c r="SKO108" s="36"/>
      <c r="SKP108" s="38"/>
      <c r="SKQ108" s="38"/>
      <c r="SKW108" s="36"/>
      <c r="SKX108" s="38"/>
      <c r="SKY108" s="38"/>
      <c r="SLE108" s="36"/>
      <c r="SLF108" s="38"/>
      <c r="SLG108" s="38"/>
      <c r="SLM108" s="36"/>
      <c r="SLN108" s="38"/>
      <c r="SLO108" s="38"/>
      <c r="SLU108" s="36"/>
      <c r="SLV108" s="38"/>
      <c r="SLW108" s="38"/>
      <c r="SMC108" s="36"/>
      <c r="SMD108" s="38"/>
      <c r="SME108" s="38"/>
      <c r="SMK108" s="36"/>
      <c r="SML108" s="38"/>
      <c r="SMM108" s="38"/>
      <c r="SMS108" s="36"/>
      <c r="SMT108" s="38"/>
      <c r="SMU108" s="38"/>
      <c r="SNA108" s="36"/>
      <c r="SNB108" s="38"/>
      <c r="SNC108" s="38"/>
      <c r="SNI108" s="36"/>
      <c r="SNJ108" s="38"/>
      <c r="SNK108" s="38"/>
      <c r="SNQ108" s="36"/>
      <c r="SNR108" s="38"/>
      <c r="SNS108" s="38"/>
      <c r="SNY108" s="36"/>
      <c r="SNZ108" s="38"/>
      <c r="SOA108" s="38"/>
      <c r="SOG108" s="36"/>
      <c r="SOH108" s="38"/>
      <c r="SOI108" s="38"/>
      <c r="SOO108" s="36"/>
      <c r="SOP108" s="38"/>
      <c r="SOQ108" s="38"/>
      <c r="SOW108" s="36"/>
      <c r="SOX108" s="38"/>
      <c r="SOY108" s="38"/>
      <c r="SPE108" s="36"/>
      <c r="SPF108" s="38"/>
      <c r="SPG108" s="38"/>
      <c r="SPM108" s="36"/>
      <c r="SPN108" s="38"/>
      <c r="SPO108" s="38"/>
      <c r="SPU108" s="36"/>
      <c r="SPV108" s="38"/>
      <c r="SPW108" s="38"/>
      <c r="SQC108" s="36"/>
      <c r="SQD108" s="38"/>
      <c r="SQE108" s="38"/>
      <c r="SQK108" s="36"/>
      <c r="SQL108" s="38"/>
      <c r="SQM108" s="38"/>
      <c r="SQS108" s="36"/>
      <c r="SQT108" s="38"/>
      <c r="SQU108" s="38"/>
      <c r="SRA108" s="36"/>
      <c r="SRB108" s="38"/>
      <c r="SRC108" s="38"/>
      <c r="SRI108" s="36"/>
      <c r="SRJ108" s="38"/>
      <c r="SRK108" s="38"/>
      <c r="SRQ108" s="36"/>
      <c r="SRR108" s="38"/>
      <c r="SRS108" s="38"/>
      <c r="SRY108" s="36"/>
      <c r="SRZ108" s="38"/>
      <c r="SSA108" s="38"/>
      <c r="SSG108" s="36"/>
      <c r="SSH108" s="38"/>
      <c r="SSI108" s="38"/>
      <c r="SSO108" s="36"/>
      <c r="SSP108" s="38"/>
      <c r="SSQ108" s="38"/>
      <c r="SSW108" s="36"/>
      <c r="SSX108" s="38"/>
      <c r="SSY108" s="38"/>
      <c r="STE108" s="36"/>
      <c r="STF108" s="38"/>
      <c r="STG108" s="38"/>
      <c r="STM108" s="36"/>
      <c r="STN108" s="38"/>
      <c r="STO108" s="38"/>
      <c r="STU108" s="36"/>
      <c r="STV108" s="38"/>
      <c r="STW108" s="38"/>
      <c r="SUC108" s="36"/>
      <c r="SUD108" s="38"/>
      <c r="SUE108" s="38"/>
      <c r="SUK108" s="36"/>
      <c r="SUL108" s="38"/>
      <c r="SUM108" s="38"/>
      <c r="SUS108" s="36"/>
      <c r="SUT108" s="38"/>
      <c r="SUU108" s="38"/>
      <c r="SVA108" s="36"/>
      <c r="SVB108" s="38"/>
      <c r="SVC108" s="38"/>
      <c r="SVI108" s="36"/>
      <c r="SVJ108" s="38"/>
      <c r="SVK108" s="38"/>
      <c r="SVQ108" s="36"/>
      <c r="SVR108" s="38"/>
      <c r="SVS108" s="38"/>
      <c r="SVY108" s="36"/>
      <c r="SVZ108" s="38"/>
      <c r="SWA108" s="38"/>
      <c r="SWG108" s="36"/>
      <c r="SWH108" s="38"/>
      <c r="SWI108" s="38"/>
      <c r="SWO108" s="36"/>
      <c r="SWP108" s="38"/>
      <c r="SWQ108" s="38"/>
      <c r="SWW108" s="36"/>
      <c r="SWX108" s="38"/>
      <c r="SWY108" s="38"/>
      <c r="SXE108" s="36"/>
      <c r="SXF108" s="38"/>
      <c r="SXG108" s="38"/>
      <c r="SXM108" s="36"/>
      <c r="SXN108" s="38"/>
      <c r="SXO108" s="38"/>
      <c r="SXU108" s="36"/>
      <c r="SXV108" s="38"/>
      <c r="SXW108" s="38"/>
      <c r="SYC108" s="36"/>
      <c r="SYD108" s="38"/>
      <c r="SYE108" s="38"/>
      <c r="SYK108" s="36"/>
      <c r="SYL108" s="38"/>
      <c r="SYM108" s="38"/>
      <c r="SYS108" s="36"/>
      <c r="SYT108" s="38"/>
      <c r="SYU108" s="38"/>
      <c r="SZA108" s="36"/>
      <c r="SZB108" s="38"/>
      <c r="SZC108" s="38"/>
      <c r="SZI108" s="36"/>
      <c r="SZJ108" s="38"/>
      <c r="SZK108" s="38"/>
      <c r="SZQ108" s="36"/>
      <c r="SZR108" s="38"/>
      <c r="SZS108" s="38"/>
      <c r="SZY108" s="36"/>
      <c r="SZZ108" s="38"/>
      <c r="TAA108" s="38"/>
      <c r="TAG108" s="36"/>
      <c r="TAH108" s="38"/>
      <c r="TAI108" s="38"/>
      <c r="TAO108" s="36"/>
      <c r="TAP108" s="38"/>
      <c r="TAQ108" s="38"/>
      <c r="TAW108" s="36"/>
      <c r="TAX108" s="38"/>
      <c r="TAY108" s="38"/>
      <c r="TBE108" s="36"/>
      <c r="TBF108" s="38"/>
      <c r="TBG108" s="38"/>
      <c r="TBM108" s="36"/>
      <c r="TBN108" s="38"/>
      <c r="TBO108" s="38"/>
      <c r="TBU108" s="36"/>
      <c r="TBV108" s="38"/>
      <c r="TBW108" s="38"/>
      <c r="TCC108" s="36"/>
      <c r="TCD108" s="38"/>
      <c r="TCE108" s="38"/>
      <c r="TCK108" s="36"/>
      <c r="TCL108" s="38"/>
      <c r="TCM108" s="38"/>
      <c r="TCS108" s="36"/>
      <c r="TCT108" s="38"/>
      <c r="TCU108" s="38"/>
      <c r="TDA108" s="36"/>
      <c r="TDB108" s="38"/>
      <c r="TDC108" s="38"/>
      <c r="TDI108" s="36"/>
      <c r="TDJ108" s="38"/>
      <c r="TDK108" s="38"/>
      <c r="TDQ108" s="36"/>
      <c r="TDR108" s="38"/>
      <c r="TDS108" s="38"/>
      <c r="TDY108" s="36"/>
      <c r="TDZ108" s="38"/>
      <c r="TEA108" s="38"/>
      <c r="TEG108" s="36"/>
      <c r="TEH108" s="38"/>
      <c r="TEI108" s="38"/>
      <c r="TEO108" s="36"/>
      <c r="TEP108" s="38"/>
      <c r="TEQ108" s="38"/>
      <c r="TEW108" s="36"/>
      <c r="TEX108" s="38"/>
      <c r="TEY108" s="38"/>
      <c r="TFE108" s="36"/>
      <c r="TFF108" s="38"/>
      <c r="TFG108" s="38"/>
      <c r="TFM108" s="36"/>
      <c r="TFN108" s="38"/>
      <c r="TFO108" s="38"/>
      <c r="TFU108" s="36"/>
      <c r="TFV108" s="38"/>
      <c r="TFW108" s="38"/>
      <c r="TGC108" s="36"/>
      <c r="TGD108" s="38"/>
      <c r="TGE108" s="38"/>
      <c r="TGK108" s="36"/>
      <c r="TGL108" s="38"/>
      <c r="TGM108" s="38"/>
      <c r="TGS108" s="36"/>
      <c r="TGT108" s="38"/>
      <c r="TGU108" s="38"/>
      <c r="THA108" s="36"/>
      <c r="THB108" s="38"/>
      <c r="THC108" s="38"/>
      <c r="THI108" s="36"/>
      <c r="THJ108" s="38"/>
      <c r="THK108" s="38"/>
      <c r="THQ108" s="36"/>
      <c r="THR108" s="38"/>
      <c r="THS108" s="38"/>
      <c r="THY108" s="36"/>
      <c r="THZ108" s="38"/>
      <c r="TIA108" s="38"/>
      <c r="TIG108" s="36"/>
      <c r="TIH108" s="38"/>
      <c r="TII108" s="38"/>
      <c r="TIO108" s="36"/>
      <c r="TIP108" s="38"/>
      <c r="TIQ108" s="38"/>
      <c r="TIW108" s="36"/>
      <c r="TIX108" s="38"/>
      <c r="TIY108" s="38"/>
      <c r="TJE108" s="36"/>
      <c r="TJF108" s="38"/>
      <c r="TJG108" s="38"/>
      <c r="TJM108" s="36"/>
      <c r="TJN108" s="38"/>
      <c r="TJO108" s="38"/>
      <c r="TJU108" s="36"/>
      <c r="TJV108" s="38"/>
      <c r="TJW108" s="38"/>
      <c r="TKC108" s="36"/>
      <c r="TKD108" s="38"/>
      <c r="TKE108" s="38"/>
      <c r="TKK108" s="36"/>
      <c r="TKL108" s="38"/>
      <c r="TKM108" s="38"/>
      <c r="TKS108" s="36"/>
      <c r="TKT108" s="38"/>
      <c r="TKU108" s="38"/>
      <c r="TLA108" s="36"/>
      <c r="TLB108" s="38"/>
      <c r="TLC108" s="38"/>
      <c r="TLI108" s="36"/>
      <c r="TLJ108" s="38"/>
      <c r="TLK108" s="38"/>
      <c r="TLQ108" s="36"/>
      <c r="TLR108" s="38"/>
      <c r="TLS108" s="38"/>
      <c r="TLY108" s="36"/>
      <c r="TLZ108" s="38"/>
      <c r="TMA108" s="38"/>
      <c r="TMG108" s="36"/>
      <c r="TMH108" s="38"/>
      <c r="TMI108" s="38"/>
      <c r="TMO108" s="36"/>
      <c r="TMP108" s="38"/>
      <c r="TMQ108" s="38"/>
      <c r="TMW108" s="36"/>
      <c r="TMX108" s="38"/>
      <c r="TMY108" s="38"/>
      <c r="TNE108" s="36"/>
      <c r="TNF108" s="38"/>
      <c r="TNG108" s="38"/>
      <c r="TNM108" s="36"/>
      <c r="TNN108" s="38"/>
      <c r="TNO108" s="38"/>
      <c r="TNU108" s="36"/>
      <c r="TNV108" s="38"/>
      <c r="TNW108" s="38"/>
      <c r="TOC108" s="36"/>
      <c r="TOD108" s="38"/>
      <c r="TOE108" s="38"/>
      <c r="TOK108" s="36"/>
      <c r="TOL108" s="38"/>
      <c r="TOM108" s="38"/>
      <c r="TOS108" s="36"/>
      <c r="TOT108" s="38"/>
      <c r="TOU108" s="38"/>
      <c r="TPA108" s="36"/>
      <c r="TPB108" s="38"/>
      <c r="TPC108" s="38"/>
      <c r="TPI108" s="36"/>
      <c r="TPJ108" s="38"/>
      <c r="TPK108" s="38"/>
      <c r="TPQ108" s="36"/>
      <c r="TPR108" s="38"/>
      <c r="TPS108" s="38"/>
      <c r="TPY108" s="36"/>
      <c r="TPZ108" s="38"/>
      <c r="TQA108" s="38"/>
      <c r="TQG108" s="36"/>
      <c r="TQH108" s="38"/>
      <c r="TQI108" s="38"/>
      <c r="TQO108" s="36"/>
      <c r="TQP108" s="38"/>
      <c r="TQQ108" s="38"/>
      <c r="TQW108" s="36"/>
      <c r="TQX108" s="38"/>
      <c r="TQY108" s="38"/>
      <c r="TRE108" s="36"/>
      <c r="TRF108" s="38"/>
      <c r="TRG108" s="38"/>
      <c r="TRM108" s="36"/>
      <c r="TRN108" s="38"/>
      <c r="TRO108" s="38"/>
      <c r="TRU108" s="36"/>
      <c r="TRV108" s="38"/>
      <c r="TRW108" s="38"/>
      <c r="TSC108" s="36"/>
      <c r="TSD108" s="38"/>
      <c r="TSE108" s="38"/>
      <c r="TSK108" s="36"/>
      <c r="TSL108" s="38"/>
      <c r="TSM108" s="38"/>
      <c r="TSS108" s="36"/>
      <c r="TST108" s="38"/>
      <c r="TSU108" s="38"/>
      <c r="TTA108" s="36"/>
      <c r="TTB108" s="38"/>
      <c r="TTC108" s="38"/>
      <c r="TTI108" s="36"/>
      <c r="TTJ108" s="38"/>
      <c r="TTK108" s="38"/>
      <c r="TTQ108" s="36"/>
      <c r="TTR108" s="38"/>
      <c r="TTS108" s="38"/>
      <c r="TTY108" s="36"/>
      <c r="TTZ108" s="38"/>
      <c r="TUA108" s="38"/>
      <c r="TUG108" s="36"/>
      <c r="TUH108" s="38"/>
      <c r="TUI108" s="38"/>
      <c r="TUO108" s="36"/>
      <c r="TUP108" s="38"/>
      <c r="TUQ108" s="38"/>
      <c r="TUW108" s="36"/>
      <c r="TUX108" s="38"/>
      <c r="TUY108" s="38"/>
      <c r="TVE108" s="36"/>
      <c r="TVF108" s="38"/>
      <c r="TVG108" s="38"/>
      <c r="TVM108" s="36"/>
      <c r="TVN108" s="38"/>
      <c r="TVO108" s="38"/>
      <c r="TVU108" s="36"/>
      <c r="TVV108" s="38"/>
      <c r="TVW108" s="38"/>
      <c r="TWC108" s="36"/>
      <c r="TWD108" s="38"/>
      <c r="TWE108" s="38"/>
      <c r="TWK108" s="36"/>
      <c r="TWL108" s="38"/>
      <c r="TWM108" s="38"/>
      <c r="TWS108" s="36"/>
      <c r="TWT108" s="38"/>
      <c r="TWU108" s="38"/>
      <c r="TXA108" s="36"/>
      <c r="TXB108" s="38"/>
      <c r="TXC108" s="38"/>
      <c r="TXI108" s="36"/>
      <c r="TXJ108" s="38"/>
      <c r="TXK108" s="38"/>
      <c r="TXQ108" s="36"/>
      <c r="TXR108" s="38"/>
      <c r="TXS108" s="38"/>
      <c r="TXY108" s="36"/>
      <c r="TXZ108" s="38"/>
      <c r="TYA108" s="38"/>
      <c r="TYG108" s="36"/>
      <c r="TYH108" s="38"/>
      <c r="TYI108" s="38"/>
      <c r="TYO108" s="36"/>
      <c r="TYP108" s="38"/>
      <c r="TYQ108" s="38"/>
      <c r="TYW108" s="36"/>
      <c r="TYX108" s="38"/>
      <c r="TYY108" s="38"/>
      <c r="TZE108" s="36"/>
      <c r="TZF108" s="38"/>
      <c r="TZG108" s="38"/>
      <c r="TZM108" s="36"/>
      <c r="TZN108" s="38"/>
      <c r="TZO108" s="38"/>
      <c r="TZU108" s="36"/>
      <c r="TZV108" s="38"/>
      <c r="TZW108" s="38"/>
      <c r="UAC108" s="36"/>
      <c r="UAD108" s="38"/>
      <c r="UAE108" s="38"/>
      <c r="UAK108" s="36"/>
      <c r="UAL108" s="38"/>
      <c r="UAM108" s="38"/>
      <c r="UAS108" s="36"/>
      <c r="UAT108" s="38"/>
      <c r="UAU108" s="38"/>
      <c r="UBA108" s="36"/>
      <c r="UBB108" s="38"/>
      <c r="UBC108" s="38"/>
      <c r="UBI108" s="36"/>
      <c r="UBJ108" s="38"/>
      <c r="UBK108" s="38"/>
      <c r="UBQ108" s="36"/>
      <c r="UBR108" s="38"/>
      <c r="UBS108" s="38"/>
      <c r="UBY108" s="36"/>
      <c r="UBZ108" s="38"/>
      <c r="UCA108" s="38"/>
      <c r="UCG108" s="36"/>
      <c r="UCH108" s="38"/>
      <c r="UCI108" s="38"/>
      <c r="UCO108" s="36"/>
      <c r="UCP108" s="38"/>
      <c r="UCQ108" s="38"/>
      <c r="UCW108" s="36"/>
      <c r="UCX108" s="38"/>
      <c r="UCY108" s="38"/>
      <c r="UDE108" s="36"/>
      <c r="UDF108" s="38"/>
      <c r="UDG108" s="38"/>
      <c r="UDM108" s="36"/>
      <c r="UDN108" s="38"/>
      <c r="UDO108" s="38"/>
      <c r="UDU108" s="36"/>
      <c r="UDV108" s="38"/>
      <c r="UDW108" s="38"/>
      <c r="UEC108" s="36"/>
      <c r="UED108" s="38"/>
      <c r="UEE108" s="38"/>
      <c r="UEK108" s="36"/>
      <c r="UEL108" s="38"/>
      <c r="UEM108" s="38"/>
      <c r="UES108" s="36"/>
      <c r="UET108" s="38"/>
      <c r="UEU108" s="38"/>
      <c r="UFA108" s="36"/>
      <c r="UFB108" s="38"/>
      <c r="UFC108" s="38"/>
      <c r="UFI108" s="36"/>
      <c r="UFJ108" s="38"/>
      <c r="UFK108" s="38"/>
      <c r="UFQ108" s="36"/>
      <c r="UFR108" s="38"/>
      <c r="UFS108" s="38"/>
      <c r="UFY108" s="36"/>
      <c r="UFZ108" s="38"/>
      <c r="UGA108" s="38"/>
      <c r="UGG108" s="36"/>
      <c r="UGH108" s="38"/>
      <c r="UGI108" s="38"/>
      <c r="UGO108" s="36"/>
      <c r="UGP108" s="38"/>
      <c r="UGQ108" s="38"/>
      <c r="UGW108" s="36"/>
      <c r="UGX108" s="38"/>
      <c r="UGY108" s="38"/>
      <c r="UHE108" s="36"/>
      <c r="UHF108" s="38"/>
      <c r="UHG108" s="38"/>
      <c r="UHM108" s="36"/>
      <c r="UHN108" s="38"/>
      <c r="UHO108" s="38"/>
      <c r="UHU108" s="36"/>
      <c r="UHV108" s="38"/>
      <c r="UHW108" s="38"/>
      <c r="UIC108" s="36"/>
      <c r="UID108" s="38"/>
      <c r="UIE108" s="38"/>
      <c r="UIK108" s="36"/>
      <c r="UIL108" s="38"/>
      <c r="UIM108" s="38"/>
      <c r="UIS108" s="36"/>
      <c r="UIT108" s="38"/>
      <c r="UIU108" s="38"/>
      <c r="UJA108" s="36"/>
      <c r="UJB108" s="38"/>
      <c r="UJC108" s="38"/>
      <c r="UJI108" s="36"/>
      <c r="UJJ108" s="38"/>
      <c r="UJK108" s="38"/>
      <c r="UJQ108" s="36"/>
      <c r="UJR108" s="38"/>
      <c r="UJS108" s="38"/>
      <c r="UJY108" s="36"/>
      <c r="UJZ108" s="38"/>
      <c r="UKA108" s="38"/>
      <c r="UKG108" s="36"/>
      <c r="UKH108" s="38"/>
      <c r="UKI108" s="38"/>
      <c r="UKO108" s="36"/>
      <c r="UKP108" s="38"/>
      <c r="UKQ108" s="38"/>
      <c r="UKW108" s="36"/>
      <c r="UKX108" s="38"/>
      <c r="UKY108" s="38"/>
      <c r="ULE108" s="36"/>
      <c r="ULF108" s="38"/>
      <c r="ULG108" s="38"/>
      <c r="ULM108" s="36"/>
      <c r="ULN108" s="38"/>
      <c r="ULO108" s="38"/>
      <c r="ULU108" s="36"/>
      <c r="ULV108" s="38"/>
      <c r="ULW108" s="38"/>
      <c r="UMC108" s="36"/>
      <c r="UMD108" s="38"/>
      <c r="UME108" s="38"/>
      <c r="UMK108" s="36"/>
      <c r="UML108" s="38"/>
      <c r="UMM108" s="38"/>
      <c r="UMS108" s="36"/>
      <c r="UMT108" s="38"/>
      <c r="UMU108" s="38"/>
      <c r="UNA108" s="36"/>
      <c r="UNB108" s="38"/>
      <c r="UNC108" s="38"/>
      <c r="UNI108" s="36"/>
      <c r="UNJ108" s="38"/>
      <c r="UNK108" s="38"/>
      <c r="UNQ108" s="36"/>
      <c r="UNR108" s="38"/>
      <c r="UNS108" s="38"/>
      <c r="UNY108" s="36"/>
      <c r="UNZ108" s="38"/>
      <c r="UOA108" s="38"/>
      <c r="UOG108" s="36"/>
      <c r="UOH108" s="38"/>
      <c r="UOI108" s="38"/>
      <c r="UOO108" s="36"/>
      <c r="UOP108" s="38"/>
      <c r="UOQ108" s="38"/>
      <c r="UOW108" s="36"/>
      <c r="UOX108" s="38"/>
      <c r="UOY108" s="38"/>
      <c r="UPE108" s="36"/>
      <c r="UPF108" s="38"/>
      <c r="UPG108" s="38"/>
      <c r="UPM108" s="36"/>
      <c r="UPN108" s="38"/>
      <c r="UPO108" s="38"/>
      <c r="UPU108" s="36"/>
      <c r="UPV108" s="38"/>
      <c r="UPW108" s="38"/>
      <c r="UQC108" s="36"/>
      <c r="UQD108" s="38"/>
      <c r="UQE108" s="38"/>
      <c r="UQK108" s="36"/>
      <c r="UQL108" s="38"/>
      <c r="UQM108" s="38"/>
      <c r="UQS108" s="36"/>
      <c r="UQT108" s="38"/>
      <c r="UQU108" s="38"/>
      <c r="URA108" s="36"/>
      <c r="URB108" s="38"/>
      <c r="URC108" s="38"/>
      <c r="URI108" s="36"/>
      <c r="URJ108" s="38"/>
      <c r="URK108" s="38"/>
      <c r="URQ108" s="36"/>
      <c r="URR108" s="38"/>
      <c r="URS108" s="38"/>
      <c r="URY108" s="36"/>
      <c r="URZ108" s="38"/>
      <c r="USA108" s="38"/>
      <c r="USG108" s="36"/>
      <c r="USH108" s="38"/>
      <c r="USI108" s="38"/>
      <c r="USO108" s="36"/>
      <c r="USP108" s="38"/>
      <c r="USQ108" s="38"/>
      <c r="USW108" s="36"/>
      <c r="USX108" s="38"/>
      <c r="USY108" s="38"/>
      <c r="UTE108" s="36"/>
      <c r="UTF108" s="38"/>
      <c r="UTG108" s="38"/>
      <c r="UTM108" s="36"/>
      <c r="UTN108" s="38"/>
      <c r="UTO108" s="38"/>
      <c r="UTU108" s="36"/>
      <c r="UTV108" s="38"/>
      <c r="UTW108" s="38"/>
      <c r="UUC108" s="36"/>
      <c r="UUD108" s="38"/>
      <c r="UUE108" s="38"/>
      <c r="UUK108" s="36"/>
      <c r="UUL108" s="38"/>
      <c r="UUM108" s="38"/>
      <c r="UUS108" s="36"/>
      <c r="UUT108" s="38"/>
      <c r="UUU108" s="38"/>
      <c r="UVA108" s="36"/>
      <c r="UVB108" s="38"/>
      <c r="UVC108" s="38"/>
      <c r="UVI108" s="36"/>
      <c r="UVJ108" s="38"/>
      <c r="UVK108" s="38"/>
      <c r="UVQ108" s="36"/>
      <c r="UVR108" s="38"/>
      <c r="UVS108" s="38"/>
      <c r="UVY108" s="36"/>
      <c r="UVZ108" s="38"/>
      <c r="UWA108" s="38"/>
      <c r="UWG108" s="36"/>
      <c r="UWH108" s="38"/>
      <c r="UWI108" s="38"/>
      <c r="UWO108" s="36"/>
      <c r="UWP108" s="38"/>
      <c r="UWQ108" s="38"/>
      <c r="UWW108" s="36"/>
      <c r="UWX108" s="38"/>
      <c r="UWY108" s="38"/>
      <c r="UXE108" s="36"/>
      <c r="UXF108" s="38"/>
      <c r="UXG108" s="38"/>
      <c r="UXM108" s="36"/>
      <c r="UXN108" s="38"/>
      <c r="UXO108" s="38"/>
      <c r="UXU108" s="36"/>
      <c r="UXV108" s="38"/>
      <c r="UXW108" s="38"/>
      <c r="UYC108" s="36"/>
      <c r="UYD108" s="38"/>
      <c r="UYE108" s="38"/>
      <c r="UYK108" s="36"/>
      <c r="UYL108" s="38"/>
      <c r="UYM108" s="38"/>
      <c r="UYS108" s="36"/>
      <c r="UYT108" s="38"/>
      <c r="UYU108" s="38"/>
      <c r="UZA108" s="36"/>
      <c r="UZB108" s="38"/>
      <c r="UZC108" s="38"/>
      <c r="UZI108" s="36"/>
      <c r="UZJ108" s="38"/>
      <c r="UZK108" s="38"/>
      <c r="UZQ108" s="36"/>
      <c r="UZR108" s="38"/>
      <c r="UZS108" s="38"/>
      <c r="UZY108" s="36"/>
      <c r="UZZ108" s="38"/>
      <c r="VAA108" s="38"/>
      <c r="VAG108" s="36"/>
      <c r="VAH108" s="38"/>
      <c r="VAI108" s="38"/>
      <c r="VAO108" s="36"/>
      <c r="VAP108" s="38"/>
      <c r="VAQ108" s="38"/>
      <c r="VAW108" s="36"/>
      <c r="VAX108" s="38"/>
      <c r="VAY108" s="38"/>
      <c r="VBE108" s="36"/>
      <c r="VBF108" s="38"/>
      <c r="VBG108" s="38"/>
      <c r="VBM108" s="36"/>
      <c r="VBN108" s="38"/>
      <c r="VBO108" s="38"/>
      <c r="VBU108" s="36"/>
      <c r="VBV108" s="38"/>
      <c r="VBW108" s="38"/>
      <c r="VCC108" s="36"/>
      <c r="VCD108" s="38"/>
      <c r="VCE108" s="38"/>
      <c r="VCK108" s="36"/>
      <c r="VCL108" s="38"/>
      <c r="VCM108" s="38"/>
      <c r="VCS108" s="36"/>
      <c r="VCT108" s="38"/>
      <c r="VCU108" s="38"/>
      <c r="VDA108" s="36"/>
      <c r="VDB108" s="38"/>
      <c r="VDC108" s="38"/>
      <c r="VDI108" s="36"/>
      <c r="VDJ108" s="38"/>
      <c r="VDK108" s="38"/>
      <c r="VDQ108" s="36"/>
      <c r="VDR108" s="38"/>
      <c r="VDS108" s="38"/>
      <c r="VDY108" s="36"/>
      <c r="VDZ108" s="38"/>
      <c r="VEA108" s="38"/>
      <c r="VEG108" s="36"/>
      <c r="VEH108" s="38"/>
      <c r="VEI108" s="38"/>
      <c r="VEO108" s="36"/>
      <c r="VEP108" s="38"/>
      <c r="VEQ108" s="38"/>
      <c r="VEW108" s="36"/>
      <c r="VEX108" s="38"/>
      <c r="VEY108" s="38"/>
      <c r="VFE108" s="36"/>
      <c r="VFF108" s="38"/>
      <c r="VFG108" s="38"/>
      <c r="VFM108" s="36"/>
      <c r="VFN108" s="38"/>
      <c r="VFO108" s="38"/>
      <c r="VFU108" s="36"/>
      <c r="VFV108" s="38"/>
      <c r="VFW108" s="38"/>
      <c r="VGC108" s="36"/>
      <c r="VGD108" s="38"/>
      <c r="VGE108" s="38"/>
      <c r="VGK108" s="36"/>
      <c r="VGL108" s="38"/>
      <c r="VGM108" s="38"/>
      <c r="VGS108" s="36"/>
      <c r="VGT108" s="38"/>
      <c r="VGU108" s="38"/>
      <c r="VHA108" s="36"/>
      <c r="VHB108" s="38"/>
      <c r="VHC108" s="38"/>
      <c r="VHI108" s="36"/>
      <c r="VHJ108" s="38"/>
      <c r="VHK108" s="38"/>
      <c r="VHQ108" s="36"/>
      <c r="VHR108" s="38"/>
      <c r="VHS108" s="38"/>
      <c r="VHY108" s="36"/>
      <c r="VHZ108" s="38"/>
      <c r="VIA108" s="38"/>
      <c r="VIG108" s="36"/>
      <c r="VIH108" s="38"/>
      <c r="VII108" s="38"/>
      <c r="VIO108" s="36"/>
      <c r="VIP108" s="38"/>
      <c r="VIQ108" s="38"/>
      <c r="VIW108" s="36"/>
      <c r="VIX108" s="38"/>
      <c r="VIY108" s="38"/>
      <c r="VJE108" s="36"/>
      <c r="VJF108" s="38"/>
      <c r="VJG108" s="38"/>
      <c r="VJM108" s="36"/>
      <c r="VJN108" s="38"/>
      <c r="VJO108" s="38"/>
      <c r="VJU108" s="36"/>
      <c r="VJV108" s="38"/>
      <c r="VJW108" s="38"/>
      <c r="VKC108" s="36"/>
      <c r="VKD108" s="38"/>
      <c r="VKE108" s="38"/>
      <c r="VKK108" s="36"/>
      <c r="VKL108" s="38"/>
      <c r="VKM108" s="38"/>
      <c r="VKS108" s="36"/>
      <c r="VKT108" s="38"/>
      <c r="VKU108" s="38"/>
      <c r="VLA108" s="36"/>
      <c r="VLB108" s="38"/>
      <c r="VLC108" s="38"/>
      <c r="VLI108" s="36"/>
      <c r="VLJ108" s="38"/>
      <c r="VLK108" s="38"/>
      <c r="VLQ108" s="36"/>
      <c r="VLR108" s="38"/>
      <c r="VLS108" s="38"/>
      <c r="VLY108" s="36"/>
      <c r="VLZ108" s="38"/>
      <c r="VMA108" s="38"/>
      <c r="VMG108" s="36"/>
      <c r="VMH108" s="38"/>
      <c r="VMI108" s="38"/>
      <c r="VMO108" s="36"/>
      <c r="VMP108" s="38"/>
      <c r="VMQ108" s="38"/>
      <c r="VMW108" s="36"/>
      <c r="VMX108" s="38"/>
      <c r="VMY108" s="38"/>
      <c r="VNE108" s="36"/>
      <c r="VNF108" s="38"/>
      <c r="VNG108" s="38"/>
      <c r="VNM108" s="36"/>
      <c r="VNN108" s="38"/>
      <c r="VNO108" s="38"/>
      <c r="VNU108" s="36"/>
      <c r="VNV108" s="38"/>
      <c r="VNW108" s="38"/>
      <c r="VOC108" s="36"/>
      <c r="VOD108" s="38"/>
      <c r="VOE108" s="38"/>
      <c r="VOK108" s="36"/>
      <c r="VOL108" s="38"/>
      <c r="VOM108" s="38"/>
      <c r="VOS108" s="36"/>
      <c r="VOT108" s="38"/>
      <c r="VOU108" s="38"/>
      <c r="VPA108" s="36"/>
      <c r="VPB108" s="38"/>
      <c r="VPC108" s="38"/>
      <c r="VPI108" s="36"/>
      <c r="VPJ108" s="38"/>
      <c r="VPK108" s="38"/>
      <c r="VPQ108" s="36"/>
      <c r="VPR108" s="38"/>
      <c r="VPS108" s="38"/>
      <c r="VPY108" s="36"/>
      <c r="VPZ108" s="38"/>
      <c r="VQA108" s="38"/>
      <c r="VQG108" s="36"/>
      <c r="VQH108" s="38"/>
      <c r="VQI108" s="38"/>
      <c r="VQO108" s="36"/>
      <c r="VQP108" s="38"/>
      <c r="VQQ108" s="38"/>
      <c r="VQW108" s="36"/>
      <c r="VQX108" s="38"/>
      <c r="VQY108" s="38"/>
      <c r="VRE108" s="36"/>
      <c r="VRF108" s="38"/>
      <c r="VRG108" s="38"/>
      <c r="VRM108" s="36"/>
      <c r="VRN108" s="38"/>
      <c r="VRO108" s="38"/>
      <c r="VRU108" s="36"/>
      <c r="VRV108" s="38"/>
      <c r="VRW108" s="38"/>
      <c r="VSC108" s="36"/>
      <c r="VSD108" s="38"/>
      <c r="VSE108" s="38"/>
      <c r="VSK108" s="36"/>
      <c r="VSL108" s="38"/>
      <c r="VSM108" s="38"/>
      <c r="VSS108" s="36"/>
      <c r="VST108" s="38"/>
      <c r="VSU108" s="38"/>
      <c r="VTA108" s="36"/>
      <c r="VTB108" s="38"/>
      <c r="VTC108" s="38"/>
      <c r="VTI108" s="36"/>
      <c r="VTJ108" s="38"/>
      <c r="VTK108" s="38"/>
      <c r="VTQ108" s="36"/>
      <c r="VTR108" s="38"/>
      <c r="VTS108" s="38"/>
      <c r="VTY108" s="36"/>
      <c r="VTZ108" s="38"/>
      <c r="VUA108" s="38"/>
      <c r="VUG108" s="36"/>
      <c r="VUH108" s="38"/>
      <c r="VUI108" s="38"/>
      <c r="VUO108" s="36"/>
      <c r="VUP108" s="38"/>
      <c r="VUQ108" s="38"/>
      <c r="VUW108" s="36"/>
      <c r="VUX108" s="38"/>
      <c r="VUY108" s="38"/>
      <c r="VVE108" s="36"/>
      <c r="VVF108" s="38"/>
      <c r="VVG108" s="38"/>
      <c r="VVM108" s="36"/>
      <c r="VVN108" s="38"/>
      <c r="VVO108" s="38"/>
      <c r="VVU108" s="36"/>
      <c r="VVV108" s="38"/>
      <c r="VVW108" s="38"/>
      <c r="VWC108" s="36"/>
      <c r="VWD108" s="38"/>
      <c r="VWE108" s="38"/>
      <c r="VWK108" s="36"/>
      <c r="VWL108" s="38"/>
      <c r="VWM108" s="38"/>
      <c r="VWS108" s="36"/>
      <c r="VWT108" s="38"/>
      <c r="VWU108" s="38"/>
      <c r="VXA108" s="36"/>
      <c r="VXB108" s="38"/>
      <c r="VXC108" s="38"/>
      <c r="VXI108" s="36"/>
      <c r="VXJ108" s="38"/>
      <c r="VXK108" s="38"/>
      <c r="VXQ108" s="36"/>
      <c r="VXR108" s="38"/>
      <c r="VXS108" s="38"/>
      <c r="VXY108" s="36"/>
      <c r="VXZ108" s="38"/>
      <c r="VYA108" s="38"/>
      <c r="VYG108" s="36"/>
      <c r="VYH108" s="38"/>
      <c r="VYI108" s="38"/>
      <c r="VYO108" s="36"/>
      <c r="VYP108" s="38"/>
      <c r="VYQ108" s="38"/>
      <c r="VYW108" s="36"/>
      <c r="VYX108" s="38"/>
      <c r="VYY108" s="38"/>
      <c r="VZE108" s="36"/>
      <c r="VZF108" s="38"/>
      <c r="VZG108" s="38"/>
      <c r="VZM108" s="36"/>
      <c r="VZN108" s="38"/>
      <c r="VZO108" s="38"/>
      <c r="VZU108" s="36"/>
      <c r="VZV108" s="38"/>
      <c r="VZW108" s="38"/>
      <c r="WAC108" s="36"/>
      <c r="WAD108" s="38"/>
      <c r="WAE108" s="38"/>
      <c r="WAK108" s="36"/>
      <c r="WAL108" s="38"/>
      <c r="WAM108" s="38"/>
      <c r="WAS108" s="36"/>
      <c r="WAT108" s="38"/>
      <c r="WAU108" s="38"/>
      <c r="WBA108" s="36"/>
      <c r="WBB108" s="38"/>
      <c r="WBC108" s="38"/>
      <c r="WBI108" s="36"/>
      <c r="WBJ108" s="38"/>
      <c r="WBK108" s="38"/>
      <c r="WBQ108" s="36"/>
      <c r="WBR108" s="38"/>
      <c r="WBS108" s="38"/>
      <c r="WBY108" s="36"/>
      <c r="WBZ108" s="38"/>
      <c r="WCA108" s="38"/>
      <c r="WCG108" s="36"/>
      <c r="WCH108" s="38"/>
      <c r="WCI108" s="38"/>
      <c r="WCO108" s="36"/>
      <c r="WCP108" s="38"/>
      <c r="WCQ108" s="38"/>
      <c r="WCW108" s="36"/>
      <c r="WCX108" s="38"/>
      <c r="WCY108" s="38"/>
      <c r="WDE108" s="36"/>
      <c r="WDF108" s="38"/>
      <c r="WDG108" s="38"/>
      <c r="WDM108" s="36"/>
      <c r="WDN108" s="38"/>
      <c r="WDO108" s="38"/>
      <c r="WDU108" s="36"/>
      <c r="WDV108" s="38"/>
      <c r="WDW108" s="38"/>
      <c r="WEC108" s="36"/>
      <c r="WED108" s="38"/>
      <c r="WEE108" s="38"/>
      <c r="WEK108" s="36"/>
      <c r="WEL108" s="38"/>
      <c r="WEM108" s="38"/>
      <c r="WES108" s="36"/>
      <c r="WET108" s="38"/>
      <c r="WEU108" s="38"/>
      <c r="WFA108" s="36"/>
      <c r="WFB108" s="38"/>
      <c r="WFC108" s="38"/>
      <c r="WFI108" s="36"/>
      <c r="WFJ108" s="38"/>
      <c r="WFK108" s="38"/>
      <c r="WFQ108" s="36"/>
      <c r="WFR108" s="38"/>
      <c r="WFS108" s="38"/>
      <c r="WFY108" s="36"/>
      <c r="WFZ108" s="38"/>
      <c r="WGA108" s="38"/>
      <c r="WGG108" s="36"/>
      <c r="WGH108" s="38"/>
      <c r="WGI108" s="38"/>
      <c r="WGO108" s="36"/>
      <c r="WGP108" s="38"/>
      <c r="WGQ108" s="38"/>
      <c r="WGW108" s="36"/>
      <c r="WGX108" s="38"/>
      <c r="WGY108" s="38"/>
      <c r="WHE108" s="36"/>
      <c r="WHF108" s="38"/>
      <c r="WHG108" s="38"/>
      <c r="WHM108" s="36"/>
      <c r="WHN108" s="38"/>
      <c r="WHO108" s="38"/>
      <c r="WHU108" s="36"/>
      <c r="WHV108" s="38"/>
      <c r="WHW108" s="38"/>
      <c r="WIC108" s="36"/>
      <c r="WID108" s="38"/>
      <c r="WIE108" s="38"/>
      <c r="WIK108" s="36"/>
      <c r="WIL108" s="38"/>
      <c r="WIM108" s="38"/>
      <c r="WIS108" s="36"/>
      <c r="WIT108" s="38"/>
      <c r="WIU108" s="38"/>
      <c r="WJA108" s="36"/>
      <c r="WJB108" s="38"/>
      <c r="WJC108" s="38"/>
      <c r="WJI108" s="36"/>
      <c r="WJJ108" s="38"/>
      <c r="WJK108" s="38"/>
      <c r="WJQ108" s="36"/>
      <c r="WJR108" s="38"/>
      <c r="WJS108" s="38"/>
      <c r="WJY108" s="36"/>
      <c r="WJZ108" s="38"/>
      <c r="WKA108" s="38"/>
      <c r="WKG108" s="36"/>
      <c r="WKH108" s="38"/>
      <c r="WKI108" s="38"/>
      <c r="WKO108" s="36"/>
      <c r="WKP108" s="38"/>
      <c r="WKQ108" s="38"/>
      <c r="WKW108" s="36"/>
      <c r="WKX108" s="38"/>
      <c r="WKY108" s="38"/>
      <c r="WLE108" s="36"/>
      <c r="WLF108" s="38"/>
      <c r="WLG108" s="38"/>
      <c r="WLM108" s="36"/>
      <c r="WLN108" s="38"/>
      <c r="WLO108" s="38"/>
      <c r="WLU108" s="36"/>
      <c r="WLV108" s="38"/>
      <c r="WLW108" s="38"/>
      <c r="WMC108" s="36"/>
      <c r="WMD108" s="38"/>
      <c r="WME108" s="38"/>
      <c r="WMK108" s="36"/>
      <c r="WML108" s="38"/>
      <c r="WMM108" s="38"/>
      <c r="WMS108" s="36"/>
      <c r="WMT108" s="38"/>
      <c r="WMU108" s="38"/>
      <c r="WNA108" s="36"/>
      <c r="WNB108" s="38"/>
      <c r="WNC108" s="38"/>
      <c r="WNI108" s="36"/>
      <c r="WNJ108" s="38"/>
      <c r="WNK108" s="38"/>
      <c r="WNQ108" s="36"/>
      <c r="WNR108" s="38"/>
      <c r="WNS108" s="38"/>
      <c r="WNY108" s="36"/>
      <c r="WNZ108" s="38"/>
      <c r="WOA108" s="38"/>
      <c r="WOG108" s="36"/>
      <c r="WOH108" s="38"/>
      <c r="WOI108" s="38"/>
      <c r="WOO108" s="36"/>
      <c r="WOP108" s="38"/>
      <c r="WOQ108" s="38"/>
      <c r="WOW108" s="36"/>
      <c r="WOX108" s="38"/>
      <c r="WOY108" s="38"/>
      <c r="WPE108" s="36"/>
      <c r="WPF108" s="38"/>
      <c r="WPG108" s="38"/>
      <c r="WPM108" s="36"/>
      <c r="WPN108" s="38"/>
      <c r="WPO108" s="38"/>
      <c r="WPU108" s="36"/>
      <c r="WPV108" s="38"/>
      <c r="WPW108" s="38"/>
      <c r="WQC108" s="36"/>
      <c r="WQD108" s="38"/>
      <c r="WQE108" s="38"/>
      <c r="WQK108" s="36"/>
      <c r="WQL108" s="38"/>
      <c r="WQM108" s="38"/>
      <c r="WQS108" s="36"/>
      <c r="WQT108" s="38"/>
      <c r="WQU108" s="38"/>
      <c r="WRA108" s="36"/>
      <c r="WRB108" s="38"/>
      <c r="WRC108" s="38"/>
      <c r="WRI108" s="36"/>
      <c r="WRJ108" s="38"/>
      <c r="WRK108" s="38"/>
      <c r="WRQ108" s="36"/>
      <c r="WRR108" s="38"/>
      <c r="WRS108" s="38"/>
      <c r="WRY108" s="36"/>
      <c r="WRZ108" s="38"/>
      <c r="WSA108" s="38"/>
      <c r="WSG108" s="36"/>
      <c r="WSH108" s="38"/>
      <c r="WSI108" s="38"/>
      <c r="WSO108" s="36"/>
      <c r="WSP108" s="38"/>
      <c r="WSQ108" s="38"/>
      <c r="WSW108" s="36"/>
      <c r="WSX108" s="38"/>
      <c r="WSY108" s="38"/>
      <c r="WTE108" s="36"/>
      <c r="WTF108" s="38"/>
      <c r="WTG108" s="38"/>
      <c r="WTM108" s="36"/>
      <c r="WTN108" s="38"/>
      <c r="WTO108" s="38"/>
      <c r="WTU108" s="36"/>
      <c r="WTV108" s="38"/>
      <c r="WTW108" s="38"/>
      <c r="WUC108" s="36"/>
      <c r="WUD108" s="38"/>
      <c r="WUE108" s="38"/>
      <c r="WUK108" s="36"/>
      <c r="WUL108" s="38"/>
      <c r="WUM108" s="38"/>
      <c r="WUS108" s="36"/>
      <c r="WUT108" s="38"/>
      <c r="WUU108" s="38"/>
      <c r="WVA108" s="36"/>
      <c r="WVB108" s="38"/>
      <c r="WVC108" s="38"/>
      <c r="WVI108" s="36"/>
      <c r="WVJ108" s="38"/>
      <c r="WVK108" s="38"/>
      <c r="WVQ108" s="36"/>
      <c r="WVR108" s="38"/>
      <c r="WVS108" s="38"/>
      <c r="WVY108" s="36"/>
      <c r="WVZ108" s="38"/>
      <c r="WWA108" s="38"/>
      <c r="WWG108" s="36"/>
      <c r="WWH108" s="38"/>
      <c r="WWI108" s="38"/>
      <c r="WWO108" s="36"/>
      <c r="WWP108" s="38"/>
      <c r="WWQ108" s="38"/>
      <c r="WWW108" s="36"/>
      <c r="WWX108" s="38"/>
      <c r="WWY108" s="38"/>
      <c r="WXE108" s="36"/>
      <c r="WXF108" s="38"/>
      <c r="WXG108" s="38"/>
      <c r="WXM108" s="36"/>
      <c r="WXN108" s="38"/>
      <c r="WXO108" s="38"/>
      <c r="WXU108" s="36"/>
      <c r="WXV108" s="38"/>
      <c r="WXW108" s="38"/>
      <c r="WYC108" s="36"/>
      <c r="WYD108" s="38"/>
      <c r="WYE108" s="38"/>
      <c r="WYK108" s="36"/>
      <c r="WYL108" s="38"/>
      <c r="WYM108" s="38"/>
      <c r="WYS108" s="36"/>
      <c r="WYT108" s="38"/>
      <c r="WYU108" s="38"/>
      <c r="WZA108" s="36"/>
      <c r="WZB108" s="38"/>
      <c r="WZC108" s="38"/>
      <c r="WZI108" s="36"/>
      <c r="WZJ108" s="38"/>
      <c r="WZK108" s="38"/>
      <c r="WZQ108" s="36"/>
      <c r="WZR108" s="38"/>
      <c r="WZS108" s="38"/>
      <c r="WZY108" s="36"/>
      <c r="WZZ108" s="38"/>
      <c r="XAA108" s="38"/>
      <c r="XAG108" s="36"/>
      <c r="XAH108" s="38"/>
      <c r="XAI108" s="38"/>
      <c r="XAO108" s="36"/>
      <c r="XAP108" s="38"/>
      <c r="XAQ108" s="38"/>
      <c r="XAW108" s="36"/>
      <c r="XAX108" s="38"/>
      <c r="XAY108" s="38"/>
      <c r="XBE108" s="36"/>
      <c r="XBF108" s="38"/>
      <c r="XBG108" s="38"/>
      <c r="XBM108" s="36"/>
      <c r="XBN108" s="38"/>
      <c r="XBO108" s="38"/>
      <c r="XBU108" s="36"/>
      <c r="XBV108" s="38"/>
      <c r="XBW108" s="38"/>
      <c r="XCC108" s="36"/>
      <c r="XCD108" s="38"/>
      <c r="XCE108" s="38"/>
      <c r="XCK108" s="36"/>
      <c r="XCL108" s="38"/>
      <c r="XCM108" s="38"/>
      <c r="XCS108" s="36"/>
      <c r="XCT108" s="38"/>
      <c r="XCU108" s="38"/>
      <c r="XDA108" s="36"/>
      <c r="XDB108" s="38"/>
      <c r="XDC108" s="38"/>
      <c r="XDI108" s="36"/>
      <c r="XDJ108" s="38"/>
      <c r="XDK108" s="38"/>
      <c r="XDQ108" s="36"/>
      <c r="XDR108" s="38"/>
      <c r="XDS108" s="38"/>
      <c r="XDY108" s="36"/>
      <c r="XDZ108" s="38"/>
      <c r="XEA108" s="38"/>
      <c r="XEG108" s="36"/>
      <c r="XEH108" s="38"/>
      <c r="XEI108" s="38"/>
      <c r="XEO108" s="36"/>
      <c r="XEP108" s="38"/>
      <c r="XEQ108" s="38"/>
      <c r="XEW108" s="36"/>
      <c r="XEX108" s="38"/>
      <c r="XEY108" s="38"/>
    </row>
    <row r="109" spans="1:1019 1025:2043 2049:3067 3073:4091 4097:5115 5121:6139 6145:7163 7169:8187 8193:9211 9217:10235 10241:11259 11265:12283 12289:13307 13313:14331 14337:15355 15361:16379" s="24" customFormat="1" ht="15" customHeight="1">
      <c r="A109" s="36"/>
      <c r="B109" s="38" t="s">
        <v>29</v>
      </c>
      <c r="C109" s="38">
        <v>1132490</v>
      </c>
      <c r="D109" s="24">
        <v>297360</v>
      </c>
      <c r="E109" s="24">
        <v>84493</v>
      </c>
      <c r="F109" s="24">
        <v>188951</v>
      </c>
      <c r="G109" s="24">
        <v>558901</v>
      </c>
      <c r="H109" s="24">
        <v>2785</v>
      </c>
      <c r="J109" s="23"/>
      <c r="K109" s="38"/>
      <c r="Q109" s="36"/>
      <c r="R109" s="38"/>
      <c r="S109" s="38"/>
      <c r="Y109" s="36"/>
      <c r="Z109" s="38"/>
      <c r="AA109" s="38"/>
      <c r="AG109" s="36"/>
      <c r="AH109" s="38"/>
      <c r="AI109" s="38"/>
      <c r="AO109" s="36"/>
      <c r="AP109" s="38"/>
      <c r="AQ109" s="38"/>
      <c r="AW109" s="36"/>
      <c r="AX109" s="38"/>
      <c r="AY109" s="38"/>
      <c r="BE109" s="36"/>
      <c r="BF109" s="38"/>
      <c r="BG109" s="38"/>
      <c r="BM109" s="36"/>
      <c r="BN109" s="38"/>
      <c r="BO109" s="38"/>
      <c r="BU109" s="36"/>
      <c r="BV109" s="38"/>
      <c r="BW109" s="38"/>
      <c r="CC109" s="36"/>
      <c r="CD109" s="38"/>
      <c r="CE109" s="38"/>
      <c r="CK109" s="36"/>
      <c r="CL109" s="38"/>
      <c r="CM109" s="38"/>
      <c r="CS109" s="36"/>
      <c r="CT109" s="38"/>
      <c r="CU109" s="38"/>
      <c r="DA109" s="36"/>
      <c r="DB109" s="38"/>
      <c r="DC109" s="38"/>
      <c r="DI109" s="36"/>
      <c r="DJ109" s="38"/>
      <c r="DK109" s="38"/>
      <c r="DQ109" s="36"/>
      <c r="DR109" s="38"/>
      <c r="DS109" s="38"/>
      <c r="DY109" s="36"/>
      <c r="DZ109" s="38"/>
      <c r="EA109" s="38"/>
      <c r="EG109" s="36"/>
      <c r="EH109" s="38"/>
      <c r="EI109" s="38"/>
      <c r="EO109" s="36"/>
      <c r="EP109" s="38"/>
      <c r="EQ109" s="38"/>
      <c r="EW109" s="36"/>
      <c r="EX109" s="38"/>
      <c r="EY109" s="38"/>
      <c r="FE109" s="36"/>
      <c r="FF109" s="38"/>
      <c r="FG109" s="38"/>
      <c r="FM109" s="36"/>
      <c r="FN109" s="38"/>
      <c r="FO109" s="38"/>
      <c r="FU109" s="36"/>
      <c r="FV109" s="38"/>
      <c r="FW109" s="38"/>
      <c r="GC109" s="36"/>
      <c r="GD109" s="38"/>
      <c r="GE109" s="38"/>
      <c r="GK109" s="36"/>
      <c r="GL109" s="38"/>
      <c r="GM109" s="38"/>
      <c r="GS109" s="36"/>
      <c r="GT109" s="38"/>
      <c r="GU109" s="38"/>
      <c r="HA109" s="36"/>
      <c r="HB109" s="38"/>
      <c r="HC109" s="38"/>
      <c r="HI109" s="36"/>
      <c r="HJ109" s="38"/>
      <c r="HK109" s="38"/>
      <c r="HQ109" s="36"/>
      <c r="HR109" s="38"/>
      <c r="HS109" s="38"/>
      <c r="HY109" s="36"/>
      <c r="HZ109" s="38"/>
      <c r="IA109" s="38"/>
      <c r="IG109" s="36"/>
      <c r="IH109" s="38"/>
      <c r="II109" s="38"/>
      <c r="IO109" s="36"/>
      <c r="IP109" s="38"/>
      <c r="IQ109" s="38"/>
      <c r="IW109" s="36"/>
      <c r="IX109" s="38"/>
      <c r="IY109" s="38"/>
      <c r="JE109" s="36"/>
      <c r="JF109" s="38"/>
      <c r="JG109" s="38"/>
      <c r="JM109" s="36"/>
      <c r="JN109" s="38"/>
      <c r="JO109" s="38"/>
      <c r="JU109" s="36"/>
      <c r="JV109" s="38"/>
      <c r="JW109" s="38"/>
      <c r="KC109" s="36"/>
      <c r="KD109" s="38"/>
      <c r="KE109" s="38"/>
      <c r="KK109" s="36"/>
      <c r="KL109" s="38"/>
      <c r="KM109" s="38"/>
      <c r="KS109" s="36"/>
      <c r="KT109" s="38"/>
      <c r="KU109" s="38"/>
      <c r="LA109" s="36"/>
      <c r="LB109" s="38"/>
      <c r="LC109" s="38"/>
      <c r="LI109" s="36"/>
      <c r="LJ109" s="38"/>
      <c r="LK109" s="38"/>
      <c r="LQ109" s="36"/>
      <c r="LR109" s="38"/>
      <c r="LS109" s="38"/>
      <c r="LY109" s="36"/>
      <c r="LZ109" s="38"/>
      <c r="MA109" s="38"/>
      <c r="MG109" s="36"/>
      <c r="MH109" s="38"/>
      <c r="MI109" s="38"/>
      <c r="MO109" s="36"/>
      <c r="MP109" s="38"/>
      <c r="MQ109" s="38"/>
      <c r="MW109" s="36"/>
      <c r="MX109" s="38"/>
      <c r="MY109" s="38"/>
      <c r="NE109" s="36"/>
      <c r="NF109" s="38"/>
      <c r="NG109" s="38"/>
      <c r="NM109" s="36"/>
      <c r="NN109" s="38"/>
      <c r="NO109" s="38"/>
      <c r="NU109" s="36"/>
      <c r="NV109" s="38"/>
      <c r="NW109" s="38"/>
      <c r="OC109" s="36"/>
      <c r="OD109" s="38"/>
      <c r="OE109" s="38"/>
      <c r="OK109" s="36"/>
      <c r="OL109" s="38"/>
      <c r="OM109" s="38"/>
      <c r="OS109" s="36"/>
      <c r="OT109" s="38"/>
      <c r="OU109" s="38"/>
      <c r="PA109" s="36"/>
      <c r="PB109" s="38"/>
      <c r="PC109" s="38"/>
      <c r="PI109" s="36"/>
      <c r="PJ109" s="38"/>
      <c r="PK109" s="38"/>
      <c r="PQ109" s="36"/>
      <c r="PR109" s="38"/>
      <c r="PS109" s="38"/>
      <c r="PY109" s="36"/>
      <c r="PZ109" s="38"/>
      <c r="QA109" s="38"/>
      <c r="QG109" s="36"/>
      <c r="QH109" s="38"/>
      <c r="QI109" s="38"/>
      <c r="QO109" s="36"/>
      <c r="QP109" s="38"/>
      <c r="QQ109" s="38"/>
      <c r="QW109" s="36"/>
      <c r="QX109" s="38"/>
      <c r="QY109" s="38"/>
      <c r="RE109" s="36"/>
      <c r="RF109" s="38"/>
      <c r="RG109" s="38"/>
      <c r="RM109" s="36"/>
      <c r="RN109" s="38"/>
      <c r="RO109" s="38"/>
      <c r="RU109" s="36"/>
      <c r="RV109" s="38"/>
      <c r="RW109" s="38"/>
      <c r="SC109" s="36"/>
      <c r="SD109" s="38"/>
      <c r="SE109" s="38"/>
      <c r="SK109" s="36"/>
      <c r="SL109" s="38"/>
      <c r="SM109" s="38"/>
      <c r="SS109" s="36"/>
      <c r="ST109" s="38"/>
      <c r="SU109" s="38"/>
      <c r="TA109" s="36"/>
      <c r="TB109" s="38"/>
      <c r="TC109" s="38"/>
      <c r="TI109" s="36"/>
      <c r="TJ109" s="38"/>
      <c r="TK109" s="38"/>
      <c r="TQ109" s="36"/>
      <c r="TR109" s="38"/>
      <c r="TS109" s="38"/>
      <c r="TY109" s="36"/>
      <c r="TZ109" s="38"/>
      <c r="UA109" s="38"/>
      <c r="UG109" s="36"/>
      <c r="UH109" s="38"/>
      <c r="UI109" s="38"/>
      <c r="UO109" s="36"/>
      <c r="UP109" s="38"/>
      <c r="UQ109" s="38"/>
      <c r="UW109" s="36"/>
      <c r="UX109" s="38"/>
      <c r="UY109" s="38"/>
      <c r="VE109" s="36"/>
      <c r="VF109" s="38"/>
      <c r="VG109" s="38"/>
      <c r="VM109" s="36"/>
      <c r="VN109" s="38"/>
      <c r="VO109" s="38"/>
      <c r="VU109" s="36"/>
      <c r="VV109" s="38"/>
      <c r="VW109" s="38"/>
      <c r="WC109" s="36"/>
      <c r="WD109" s="38"/>
      <c r="WE109" s="38"/>
      <c r="WK109" s="36"/>
      <c r="WL109" s="38"/>
      <c r="WM109" s="38"/>
      <c r="WS109" s="36"/>
      <c r="WT109" s="38"/>
      <c r="WU109" s="38"/>
      <c r="XA109" s="36"/>
      <c r="XB109" s="38"/>
      <c r="XC109" s="38"/>
      <c r="XI109" s="36"/>
      <c r="XJ109" s="38"/>
      <c r="XK109" s="38"/>
      <c r="XQ109" s="36"/>
      <c r="XR109" s="38"/>
      <c r="XS109" s="38"/>
      <c r="XY109" s="36"/>
      <c r="XZ109" s="38"/>
      <c r="YA109" s="38"/>
      <c r="YG109" s="36"/>
      <c r="YH109" s="38"/>
      <c r="YI109" s="38"/>
      <c r="YO109" s="36"/>
      <c r="YP109" s="38"/>
      <c r="YQ109" s="38"/>
      <c r="YW109" s="36"/>
      <c r="YX109" s="38"/>
      <c r="YY109" s="38"/>
      <c r="ZE109" s="36"/>
      <c r="ZF109" s="38"/>
      <c r="ZG109" s="38"/>
      <c r="ZM109" s="36"/>
      <c r="ZN109" s="38"/>
      <c r="ZO109" s="38"/>
      <c r="ZU109" s="36"/>
      <c r="ZV109" s="38"/>
      <c r="ZW109" s="38"/>
      <c r="AAC109" s="36"/>
      <c r="AAD109" s="38"/>
      <c r="AAE109" s="38"/>
      <c r="AAK109" s="36"/>
      <c r="AAL109" s="38"/>
      <c r="AAM109" s="38"/>
      <c r="AAS109" s="36"/>
      <c r="AAT109" s="38"/>
      <c r="AAU109" s="38"/>
      <c r="ABA109" s="36"/>
      <c r="ABB109" s="38"/>
      <c r="ABC109" s="38"/>
      <c r="ABI109" s="36"/>
      <c r="ABJ109" s="38"/>
      <c r="ABK109" s="38"/>
      <c r="ABQ109" s="36"/>
      <c r="ABR109" s="38"/>
      <c r="ABS109" s="38"/>
      <c r="ABY109" s="36"/>
      <c r="ABZ109" s="38"/>
      <c r="ACA109" s="38"/>
      <c r="ACG109" s="36"/>
      <c r="ACH109" s="38"/>
      <c r="ACI109" s="38"/>
      <c r="ACO109" s="36"/>
      <c r="ACP109" s="38"/>
      <c r="ACQ109" s="38"/>
      <c r="ACW109" s="36"/>
      <c r="ACX109" s="38"/>
      <c r="ACY109" s="38"/>
      <c r="ADE109" s="36"/>
      <c r="ADF109" s="38"/>
      <c r="ADG109" s="38"/>
      <c r="ADM109" s="36"/>
      <c r="ADN109" s="38"/>
      <c r="ADO109" s="38"/>
      <c r="ADU109" s="36"/>
      <c r="ADV109" s="38"/>
      <c r="ADW109" s="38"/>
      <c r="AEC109" s="36"/>
      <c r="AED109" s="38"/>
      <c r="AEE109" s="38"/>
      <c r="AEK109" s="36"/>
      <c r="AEL109" s="38"/>
      <c r="AEM109" s="38"/>
      <c r="AES109" s="36"/>
      <c r="AET109" s="38"/>
      <c r="AEU109" s="38"/>
      <c r="AFA109" s="36"/>
      <c r="AFB109" s="38"/>
      <c r="AFC109" s="38"/>
      <c r="AFI109" s="36"/>
      <c r="AFJ109" s="38"/>
      <c r="AFK109" s="38"/>
      <c r="AFQ109" s="36"/>
      <c r="AFR109" s="38"/>
      <c r="AFS109" s="38"/>
      <c r="AFY109" s="36"/>
      <c r="AFZ109" s="38"/>
      <c r="AGA109" s="38"/>
      <c r="AGG109" s="36"/>
      <c r="AGH109" s="38"/>
      <c r="AGI109" s="38"/>
      <c r="AGO109" s="36"/>
      <c r="AGP109" s="38"/>
      <c r="AGQ109" s="38"/>
      <c r="AGW109" s="36"/>
      <c r="AGX109" s="38"/>
      <c r="AGY109" s="38"/>
      <c r="AHE109" s="36"/>
      <c r="AHF109" s="38"/>
      <c r="AHG109" s="38"/>
      <c r="AHM109" s="36"/>
      <c r="AHN109" s="38"/>
      <c r="AHO109" s="38"/>
      <c r="AHU109" s="36"/>
      <c r="AHV109" s="38"/>
      <c r="AHW109" s="38"/>
      <c r="AIC109" s="36"/>
      <c r="AID109" s="38"/>
      <c r="AIE109" s="38"/>
      <c r="AIK109" s="36"/>
      <c r="AIL109" s="38"/>
      <c r="AIM109" s="38"/>
      <c r="AIS109" s="36"/>
      <c r="AIT109" s="38"/>
      <c r="AIU109" s="38"/>
      <c r="AJA109" s="36"/>
      <c r="AJB109" s="38"/>
      <c r="AJC109" s="38"/>
      <c r="AJI109" s="36"/>
      <c r="AJJ109" s="38"/>
      <c r="AJK109" s="38"/>
      <c r="AJQ109" s="36"/>
      <c r="AJR109" s="38"/>
      <c r="AJS109" s="38"/>
      <c r="AJY109" s="36"/>
      <c r="AJZ109" s="38"/>
      <c r="AKA109" s="38"/>
      <c r="AKG109" s="36"/>
      <c r="AKH109" s="38"/>
      <c r="AKI109" s="38"/>
      <c r="AKO109" s="36"/>
      <c r="AKP109" s="38"/>
      <c r="AKQ109" s="38"/>
      <c r="AKW109" s="36"/>
      <c r="AKX109" s="38"/>
      <c r="AKY109" s="38"/>
      <c r="ALE109" s="36"/>
      <c r="ALF109" s="38"/>
      <c r="ALG109" s="38"/>
      <c r="ALM109" s="36"/>
      <c r="ALN109" s="38"/>
      <c r="ALO109" s="38"/>
      <c r="ALU109" s="36"/>
      <c r="ALV109" s="38"/>
      <c r="ALW109" s="38"/>
      <c r="AMC109" s="36"/>
      <c r="AMD109" s="38"/>
      <c r="AME109" s="38"/>
      <c r="AMK109" s="36"/>
      <c r="AML109" s="38"/>
      <c r="AMM109" s="38"/>
      <c r="AMS109" s="36"/>
      <c r="AMT109" s="38"/>
      <c r="AMU109" s="38"/>
      <c r="ANA109" s="36"/>
      <c r="ANB109" s="38"/>
      <c r="ANC109" s="38"/>
      <c r="ANI109" s="36"/>
      <c r="ANJ109" s="38"/>
      <c r="ANK109" s="38"/>
      <c r="ANQ109" s="36"/>
      <c r="ANR109" s="38"/>
      <c r="ANS109" s="38"/>
      <c r="ANY109" s="36"/>
      <c r="ANZ109" s="38"/>
      <c r="AOA109" s="38"/>
      <c r="AOG109" s="36"/>
      <c r="AOH109" s="38"/>
      <c r="AOI109" s="38"/>
      <c r="AOO109" s="36"/>
      <c r="AOP109" s="38"/>
      <c r="AOQ109" s="38"/>
      <c r="AOW109" s="36"/>
      <c r="AOX109" s="38"/>
      <c r="AOY109" s="38"/>
      <c r="APE109" s="36"/>
      <c r="APF109" s="38"/>
      <c r="APG109" s="38"/>
      <c r="APM109" s="36"/>
      <c r="APN109" s="38"/>
      <c r="APO109" s="38"/>
      <c r="APU109" s="36"/>
      <c r="APV109" s="38"/>
      <c r="APW109" s="38"/>
      <c r="AQC109" s="36"/>
      <c r="AQD109" s="38"/>
      <c r="AQE109" s="38"/>
      <c r="AQK109" s="36"/>
      <c r="AQL109" s="38"/>
      <c r="AQM109" s="38"/>
      <c r="AQS109" s="36"/>
      <c r="AQT109" s="38"/>
      <c r="AQU109" s="38"/>
      <c r="ARA109" s="36"/>
      <c r="ARB109" s="38"/>
      <c r="ARC109" s="38"/>
      <c r="ARI109" s="36"/>
      <c r="ARJ109" s="38"/>
      <c r="ARK109" s="38"/>
      <c r="ARQ109" s="36"/>
      <c r="ARR109" s="38"/>
      <c r="ARS109" s="38"/>
      <c r="ARY109" s="36"/>
      <c r="ARZ109" s="38"/>
      <c r="ASA109" s="38"/>
      <c r="ASG109" s="36"/>
      <c r="ASH109" s="38"/>
      <c r="ASI109" s="38"/>
      <c r="ASO109" s="36"/>
      <c r="ASP109" s="38"/>
      <c r="ASQ109" s="38"/>
      <c r="ASW109" s="36"/>
      <c r="ASX109" s="38"/>
      <c r="ASY109" s="38"/>
      <c r="ATE109" s="36"/>
      <c r="ATF109" s="38"/>
      <c r="ATG109" s="38"/>
      <c r="ATM109" s="36"/>
      <c r="ATN109" s="38"/>
      <c r="ATO109" s="38"/>
      <c r="ATU109" s="36"/>
      <c r="ATV109" s="38"/>
      <c r="ATW109" s="38"/>
      <c r="AUC109" s="36"/>
      <c r="AUD109" s="38"/>
      <c r="AUE109" s="38"/>
      <c r="AUK109" s="36"/>
      <c r="AUL109" s="38"/>
      <c r="AUM109" s="38"/>
      <c r="AUS109" s="36"/>
      <c r="AUT109" s="38"/>
      <c r="AUU109" s="38"/>
      <c r="AVA109" s="36"/>
      <c r="AVB109" s="38"/>
      <c r="AVC109" s="38"/>
      <c r="AVI109" s="36"/>
      <c r="AVJ109" s="38"/>
      <c r="AVK109" s="38"/>
      <c r="AVQ109" s="36"/>
      <c r="AVR109" s="38"/>
      <c r="AVS109" s="38"/>
      <c r="AVY109" s="36"/>
      <c r="AVZ109" s="38"/>
      <c r="AWA109" s="38"/>
      <c r="AWG109" s="36"/>
      <c r="AWH109" s="38"/>
      <c r="AWI109" s="38"/>
      <c r="AWO109" s="36"/>
      <c r="AWP109" s="38"/>
      <c r="AWQ109" s="38"/>
      <c r="AWW109" s="36"/>
      <c r="AWX109" s="38"/>
      <c r="AWY109" s="38"/>
      <c r="AXE109" s="36"/>
      <c r="AXF109" s="38"/>
      <c r="AXG109" s="38"/>
      <c r="AXM109" s="36"/>
      <c r="AXN109" s="38"/>
      <c r="AXO109" s="38"/>
      <c r="AXU109" s="36"/>
      <c r="AXV109" s="38"/>
      <c r="AXW109" s="38"/>
      <c r="AYC109" s="36"/>
      <c r="AYD109" s="38"/>
      <c r="AYE109" s="38"/>
      <c r="AYK109" s="36"/>
      <c r="AYL109" s="38"/>
      <c r="AYM109" s="38"/>
      <c r="AYS109" s="36"/>
      <c r="AYT109" s="38"/>
      <c r="AYU109" s="38"/>
      <c r="AZA109" s="36"/>
      <c r="AZB109" s="38"/>
      <c r="AZC109" s="38"/>
      <c r="AZI109" s="36"/>
      <c r="AZJ109" s="38"/>
      <c r="AZK109" s="38"/>
      <c r="AZQ109" s="36"/>
      <c r="AZR109" s="38"/>
      <c r="AZS109" s="38"/>
      <c r="AZY109" s="36"/>
      <c r="AZZ109" s="38"/>
      <c r="BAA109" s="38"/>
      <c r="BAG109" s="36"/>
      <c r="BAH109" s="38"/>
      <c r="BAI109" s="38"/>
      <c r="BAO109" s="36"/>
      <c r="BAP109" s="38"/>
      <c r="BAQ109" s="38"/>
      <c r="BAW109" s="36"/>
      <c r="BAX109" s="38"/>
      <c r="BAY109" s="38"/>
      <c r="BBE109" s="36"/>
      <c r="BBF109" s="38"/>
      <c r="BBG109" s="38"/>
      <c r="BBM109" s="36"/>
      <c r="BBN109" s="38"/>
      <c r="BBO109" s="38"/>
      <c r="BBU109" s="36"/>
      <c r="BBV109" s="38"/>
      <c r="BBW109" s="38"/>
      <c r="BCC109" s="36"/>
      <c r="BCD109" s="38"/>
      <c r="BCE109" s="38"/>
      <c r="BCK109" s="36"/>
      <c r="BCL109" s="38"/>
      <c r="BCM109" s="38"/>
      <c r="BCS109" s="36"/>
      <c r="BCT109" s="38"/>
      <c r="BCU109" s="38"/>
      <c r="BDA109" s="36"/>
      <c r="BDB109" s="38"/>
      <c r="BDC109" s="38"/>
      <c r="BDI109" s="36"/>
      <c r="BDJ109" s="38"/>
      <c r="BDK109" s="38"/>
      <c r="BDQ109" s="36"/>
      <c r="BDR109" s="38"/>
      <c r="BDS109" s="38"/>
      <c r="BDY109" s="36"/>
      <c r="BDZ109" s="38"/>
      <c r="BEA109" s="38"/>
      <c r="BEG109" s="36"/>
      <c r="BEH109" s="38"/>
      <c r="BEI109" s="38"/>
      <c r="BEO109" s="36"/>
      <c r="BEP109" s="38"/>
      <c r="BEQ109" s="38"/>
      <c r="BEW109" s="36"/>
      <c r="BEX109" s="38"/>
      <c r="BEY109" s="38"/>
      <c r="BFE109" s="36"/>
      <c r="BFF109" s="38"/>
      <c r="BFG109" s="38"/>
      <c r="BFM109" s="36"/>
      <c r="BFN109" s="38"/>
      <c r="BFO109" s="38"/>
      <c r="BFU109" s="36"/>
      <c r="BFV109" s="38"/>
      <c r="BFW109" s="38"/>
      <c r="BGC109" s="36"/>
      <c r="BGD109" s="38"/>
      <c r="BGE109" s="38"/>
      <c r="BGK109" s="36"/>
      <c r="BGL109" s="38"/>
      <c r="BGM109" s="38"/>
      <c r="BGS109" s="36"/>
      <c r="BGT109" s="38"/>
      <c r="BGU109" s="38"/>
      <c r="BHA109" s="36"/>
      <c r="BHB109" s="38"/>
      <c r="BHC109" s="38"/>
      <c r="BHI109" s="36"/>
      <c r="BHJ109" s="38"/>
      <c r="BHK109" s="38"/>
      <c r="BHQ109" s="36"/>
      <c r="BHR109" s="38"/>
      <c r="BHS109" s="38"/>
      <c r="BHY109" s="36"/>
      <c r="BHZ109" s="38"/>
      <c r="BIA109" s="38"/>
      <c r="BIG109" s="36"/>
      <c r="BIH109" s="38"/>
      <c r="BII109" s="38"/>
      <c r="BIO109" s="36"/>
      <c r="BIP109" s="38"/>
      <c r="BIQ109" s="38"/>
      <c r="BIW109" s="36"/>
      <c r="BIX109" s="38"/>
      <c r="BIY109" s="38"/>
      <c r="BJE109" s="36"/>
      <c r="BJF109" s="38"/>
      <c r="BJG109" s="38"/>
      <c r="BJM109" s="36"/>
      <c r="BJN109" s="38"/>
      <c r="BJO109" s="38"/>
      <c r="BJU109" s="36"/>
      <c r="BJV109" s="38"/>
      <c r="BJW109" s="38"/>
      <c r="BKC109" s="36"/>
      <c r="BKD109" s="38"/>
      <c r="BKE109" s="38"/>
      <c r="BKK109" s="36"/>
      <c r="BKL109" s="38"/>
      <c r="BKM109" s="38"/>
      <c r="BKS109" s="36"/>
      <c r="BKT109" s="38"/>
      <c r="BKU109" s="38"/>
      <c r="BLA109" s="36"/>
      <c r="BLB109" s="38"/>
      <c r="BLC109" s="38"/>
      <c r="BLI109" s="36"/>
      <c r="BLJ109" s="38"/>
      <c r="BLK109" s="38"/>
      <c r="BLQ109" s="36"/>
      <c r="BLR109" s="38"/>
      <c r="BLS109" s="38"/>
      <c r="BLY109" s="36"/>
      <c r="BLZ109" s="38"/>
      <c r="BMA109" s="38"/>
      <c r="BMG109" s="36"/>
      <c r="BMH109" s="38"/>
      <c r="BMI109" s="38"/>
      <c r="BMO109" s="36"/>
      <c r="BMP109" s="38"/>
      <c r="BMQ109" s="38"/>
      <c r="BMW109" s="36"/>
      <c r="BMX109" s="38"/>
      <c r="BMY109" s="38"/>
      <c r="BNE109" s="36"/>
      <c r="BNF109" s="38"/>
      <c r="BNG109" s="38"/>
      <c r="BNM109" s="36"/>
      <c r="BNN109" s="38"/>
      <c r="BNO109" s="38"/>
      <c r="BNU109" s="36"/>
      <c r="BNV109" s="38"/>
      <c r="BNW109" s="38"/>
      <c r="BOC109" s="36"/>
      <c r="BOD109" s="38"/>
      <c r="BOE109" s="38"/>
      <c r="BOK109" s="36"/>
      <c r="BOL109" s="38"/>
      <c r="BOM109" s="38"/>
      <c r="BOS109" s="36"/>
      <c r="BOT109" s="38"/>
      <c r="BOU109" s="38"/>
      <c r="BPA109" s="36"/>
      <c r="BPB109" s="38"/>
      <c r="BPC109" s="38"/>
      <c r="BPI109" s="36"/>
      <c r="BPJ109" s="38"/>
      <c r="BPK109" s="38"/>
      <c r="BPQ109" s="36"/>
      <c r="BPR109" s="38"/>
      <c r="BPS109" s="38"/>
      <c r="BPY109" s="36"/>
      <c r="BPZ109" s="38"/>
      <c r="BQA109" s="38"/>
      <c r="BQG109" s="36"/>
      <c r="BQH109" s="38"/>
      <c r="BQI109" s="38"/>
      <c r="BQO109" s="36"/>
      <c r="BQP109" s="38"/>
      <c r="BQQ109" s="38"/>
      <c r="BQW109" s="36"/>
      <c r="BQX109" s="38"/>
      <c r="BQY109" s="38"/>
      <c r="BRE109" s="36"/>
      <c r="BRF109" s="38"/>
      <c r="BRG109" s="38"/>
      <c r="BRM109" s="36"/>
      <c r="BRN109" s="38"/>
      <c r="BRO109" s="38"/>
      <c r="BRU109" s="36"/>
      <c r="BRV109" s="38"/>
      <c r="BRW109" s="38"/>
      <c r="BSC109" s="36"/>
      <c r="BSD109" s="38"/>
      <c r="BSE109" s="38"/>
      <c r="BSK109" s="36"/>
      <c r="BSL109" s="38"/>
      <c r="BSM109" s="38"/>
      <c r="BSS109" s="36"/>
      <c r="BST109" s="38"/>
      <c r="BSU109" s="38"/>
      <c r="BTA109" s="36"/>
      <c r="BTB109" s="38"/>
      <c r="BTC109" s="38"/>
      <c r="BTI109" s="36"/>
      <c r="BTJ109" s="38"/>
      <c r="BTK109" s="38"/>
      <c r="BTQ109" s="36"/>
      <c r="BTR109" s="38"/>
      <c r="BTS109" s="38"/>
      <c r="BTY109" s="36"/>
      <c r="BTZ109" s="38"/>
      <c r="BUA109" s="38"/>
      <c r="BUG109" s="36"/>
      <c r="BUH109" s="38"/>
      <c r="BUI109" s="38"/>
      <c r="BUO109" s="36"/>
      <c r="BUP109" s="38"/>
      <c r="BUQ109" s="38"/>
      <c r="BUW109" s="36"/>
      <c r="BUX109" s="38"/>
      <c r="BUY109" s="38"/>
      <c r="BVE109" s="36"/>
      <c r="BVF109" s="38"/>
      <c r="BVG109" s="38"/>
      <c r="BVM109" s="36"/>
      <c r="BVN109" s="38"/>
      <c r="BVO109" s="38"/>
      <c r="BVU109" s="36"/>
      <c r="BVV109" s="38"/>
      <c r="BVW109" s="38"/>
      <c r="BWC109" s="36"/>
      <c r="BWD109" s="38"/>
      <c r="BWE109" s="38"/>
      <c r="BWK109" s="36"/>
      <c r="BWL109" s="38"/>
      <c r="BWM109" s="38"/>
      <c r="BWS109" s="36"/>
      <c r="BWT109" s="38"/>
      <c r="BWU109" s="38"/>
      <c r="BXA109" s="36"/>
      <c r="BXB109" s="38"/>
      <c r="BXC109" s="38"/>
      <c r="BXI109" s="36"/>
      <c r="BXJ109" s="38"/>
      <c r="BXK109" s="38"/>
      <c r="BXQ109" s="36"/>
      <c r="BXR109" s="38"/>
      <c r="BXS109" s="38"/>
      <c r="BXY109" s="36"/>
      <c r="BXZ109" s="38"/>
      <c r="BYA109" s="38"/>
      <c r="BYG109" s="36"/>
      <c r="BYH109" s="38"/>
      <c r="BYI109" s="38"/>
      <c r="BYO109" s="36"/>
      <c r="BYP109" s="38"/>
      <c r="BYQ109" s="38"/>
      <c r="BYW109" s="36"/>
      <c r="BYX109" s="38"/>
      <c r="BYY109" s="38"/>
      <c r="BZE109" s="36"/>
      <c r="BZF109" s="38"/>
      <c r="BZG109" s="38"/>
      <c r="BZM109" s="36"/>
      <c r="BZN109" s="38"/>
      <c r="BZO109" s="38"/>
      <c r="BZU109" s="36"/>
      <c r="BZV109" s="38"/>
      <c r="BZW109" s="38"/>
      <c r="CAC109" s="36"/>
      <c r="CAD109" s="38"/>
      <c r="CAE109" s="38"/>
      <c r="CAK109" s="36"/>
      <c r="CAL109" s="38"/>
      <c r="CAM109" s="38"/>
      <c r="CAS109" s="36"/>
      <c r="CAT109" s="38"/>
      <c r="CAU109" s="38"/>
      <c r="CBA109" s="36"/>
      <c r="CBB109" s="38"/>
      <c r="CBC109" s="38"/>
      <c r="CBI109" s="36"/>
      <c r="CBJ109" s="38"/>
      <c r="CBK109" s="38"/>
      <c r="CBQ109" s="36"/>
      <c r="CBR109" s="38"/>
      <c r="CBS109" s="38"/>
      <c r="CBY109" s="36"/>
      <c r="CBZ109" s="38"/>
      <c r="CCA109" s="38"/>
      <c r="CCG109" s="36"/>
      <c r="CCH109" s="38"/>
      <c r="CCI109" s="38"/>
      <c r="CCO109" s="36"/>
      <c r="CCP109" s="38"/>
      <c r="CCQ109" s="38"/>
      <c r="CCW109" s="36"/>
      <c r="CCX109" s="38"/>
      <c r="CCY109" s="38"/>
      <c r="CDE109" s="36"/>
      <c r="CDF109" s="38"/>
      <c r="CDG109" s="38"/>
      <c r="CDM109" s="36"/>
      <c r="CDN109" s="38"/>
      <c r="CDO109" s="38"/>
      <c r="CDU109" s="36"/>
      <c r="CDV109" s="38"/>
      <c r="CDW109" s="38"/>
      <c r="CEC109" s="36"/>
      <c r="CED109" s="38"/>
      <c r="CEE109" s="38"/>
      <c r="CEK109" s="36"/>
      <c r="CEL109" s="38"/>
      <c r="CEM109" s="38"/>
      <c r="CES109" s="36"/>
      <c r="CET109" s="38"/>
      <c r="CEU109" s="38"/>
      <c r="CFA109" s="36"/>
      <c r="CFB109" s="38"/>
      <c r="CFC109" s="38"/>
      <c r="CFI109" s="36"/>
      <c r="CFJ109" s="38"/>
      <c r="CFK109" s="38"/>
      <c r="CFQ109" s="36"/>
      <c r="CFR109" s="38"/>
      <c r="CFS109" s="38"/>
      <c r="CFY109" s="36"/>
      <c r="CFZ109" s="38"/>
      <c r="CGA109" s="38"/>
      <c r="CGG109" s="36"/>
      <c r="CGH109" s="38"/>
      <c r="CGI109" s="38"/>
      <c r="CGO109" s="36"/>
      <c r="CGP109" s="38"/>
      <c r="CGQ109" s="38"/>
      <c r="CGW109" s="36"/>
      <c r="CGX109" s="38"/>
      <c r="CGY109" s="38"/>
      <c r="CHE109" s="36"/>
      <c r="CHF109" s="38"/>
      <c r="CHG109" s="38"/>
      <c r="CHM109" s="36"/>
      <c r="CHN109" s="38"/>
      <c r="CHO109" s="38"/>
      <c r="CHU109" s="36"/>
      <c r="CHV109" s="38"/>
      <c r="CHW109" s="38"/>
      <c r="CIC109" s="36"/>
      <c r="CID109" s="38"/>
      <c r="CIE109" s="38"/>
      <c r="CIK109" s="36"/>
      <c r="CIL109" s="38"/>
      <c r="CIM109" s="38"/>
      <c r="CIS109" s="36"/>
      <c r="CIT109" s="38"/>
      <c r="CIU109" s="38"/>
      <c r="CJA109" s="36"/>
      <c r="CJB109" s="38"/>
      <c r="CJC109" s="38"/>
      <c r="CJI109" s="36"/>
      <c r="CJJ109" s="38"/>
      <c r="CJK109" s="38"/>
      <c r="CJQ109" s="36"/>
      <c r="CJR109" s="38"/>
      <c r="CJS109" s="38"/>
      <c r="CJY109" s="36"/>
      <c r="CJZ109" s="38"/>
      <c r="CKA109" s="38"/>
      <c r="CKG109" s="36"/>
      <c r="CKH109" s="38"/>
      <c r="CKI109" s="38"/>
      <c r="CKO109" s="36"/>
      <c r="CKP109" s="38"/>
      <c r="CKQ109" s="38"/>
      <c r="CKW109" s="36"/>
      <c r="CKX109" s="38"/>
      <c r="CKY109" s="38"/>
      <c r="CLE109" s="36"/>
      <c r="CLF109" s="38"/>
      <c r="CLG109" s="38"/>
      <c r="CLM109" s="36"/>
      <c r="CLN109" s="38"/>
      <c r="CLO109" s="38"/>
      <c r="CLU109" s="36"/>
      <c r="CLV109" s="38"/>
      <c r="CLW109" s="38"/>
      <c r="CMC109" s="36"/>
      <c r="CMD109" s="38"/>
      <c r="CME109" s="38"/>
      <c r="CMK109" s="36"/>
      <c r="CML109" s="38"/>
      <c r="CMM109" s="38"/>
      <c r="CMS109" s="36"/>
      <c r="CMT109" s="38"/>
      <c r="CMU109" s="38"/>
      <c r="CNA109" s="36"/>
      <c r="CNB109" s="38"/>
      <c r="CNC109" s="38"/>
      <c r="CNI109" s="36"/>
      <c r="CNJ109" s="38"/>
      <c r="CNK109" s="38"/>
      <c r="CNQ109" s="36"/>
      <c r="CNR109" s="38"/>
      <c r="CNS109" s="38"/>
      <c r="CNY109" s="36"/>
      <c r="CNZ109" s="38"/>
      <c r="COA109" s="38"/>
      <c r="COG109" s="36"/>
      <c r="COH109" s="38"/>
      <c r="COI109" s="38"/>
      <c r="COO109" s="36"/>
      <c r="COP109" s="38"/>
      <c r="COQ109" s="38"/>
      <c r="COW109" s="36"/>
      <c r="COX109" s="38"/>
      <c r="COY109" s="38"/>
      <c r="CPE109" s="36"/>
      <c r="CPF109" s="38"/>
      <c r="CPG109" s="38"/>
      <c r="CPM109" s="36"/>
      <c r="CPN109" s="38"/>
      <c r="CPO109" s="38"/>
      <c r="CPU109" s="36"/>
      <c r="CPV109" s="38"/>
      <c r="CPW109" s="38"/>
      <c r="CQC109" s="36"/>
      <c r="CQD109" s="38"/>
      <c r="CQE109" s="38"/>
      <c r="CQK109" s="36"/>
      <c r="CQL109" s="38"/>
      <c r="CQM109" s="38"/>
      <c r="CQS109" s="36"/>
      <c r="CQT109" s="38"/>
      <c r="CQU109" s="38"/>
      <c r="CRA109" s="36"/>
      <c r="CRB109" s="38"/>
      <c r="CRC109" s="38"/>
      <c r="CRI109" s="36"/>
      <c r="CRJ109" s="38"/>
      <c r="CRK109" s="38"/>
      <c r="CRQ109" s="36"/>
      <c r="CRR109" s="38"/>
      <c r="CRS109" s="38"/>
      <c r="CRY109" s="36"/>
      <c r="CRZ109" s="38"/>
      <c r="CSA109" s="38"/>
      <c r="CSG109" s="36"/>
      <c r="CSH109" s="38"/>
      <c r="CSI109" s="38"/>
      <c r="CSO109" s="36"/>
      <c r="CSP109" s="38"/>
      <c r="CSQ109" s="38"/>
      <c r="CSW109" s="36"/>
      <c r="CSX109" s="38"/>
      <c r="CSY109" s="38"/>
      <c r="CTE109" s="36"/>
      <c r="CTF109" s="38"/>
      <c r="CTG109" s="38"/>
      <c r="CTM109" s="36"/>
      <c r="CTN109" s="38"/>
      <c r="CTO109" s="38"/>
      <c r="CTU109" s="36"/>
      <c r="CTV109" s="38"/>
      <c r="CTW109" s="38"/>
      <c r="CUC109" s="36"/>
      <c r="CUD109" s="38"/>
      <c r="CUE109" s="38"/>
      <c r="CUK109" s="36"/>
      <c r="CUL109" s="38"/>
      <c r="CUM109" s="38"/>
      <c r="CUS109" s="36"/>
      <c r="CUT109" s="38"/>
      <c r="CUU109" s="38"/>
      <c r="CVA109" s="36"/>
      <c r="CVB109" s="38"/>
      <c r="CVC109" s="38"/>
      <c r="CVI109" s="36"/>
      <c r="CVJ109" s="38"/>
      <c r="CVK109" s="38"/>
      <c r="CVQ109" s="36"/>
      <c r="CVR109" s="38"/>
      <c r="CVS109" s="38"/>
      <c r="CVY109" s="36"/>
      <c r="CVZ109" s="38"/>
      <c r="CWA109" s="38"/>
      <c r="CWG109" s="36"/>
      <c r="CWH109" s="38"/>
      <c r="CWI109" s="38"/>
      <c r="CWO109" s="36"/>
      <c r="CWP109" s="38"/>
      <c r="CWQ109" s="38"/>
      <c r="CWW109" s="36"/>
      <c r="CWX109" s="38"/>
      <c r="CWY109" s="38"/>
      <c r="CXE109" s="36"/>
      <c r="CXF109" s="38"/>
      <c r="CXG109" s="38"/>
      <c r="CXM109" s="36"/>
      <c r="CXN109" s="38"/>
      <c r="CXO109" s="38"/>
      <c r="CXU109" s="36"/>
      <c r="CXV109" s="38"/>
      <c r="CXW109" s="38"/>
      <c r="CYC109" s="36"/>
      <c r="CYD109" s="38"/>
      <c r="CYE109" s="38"/>
      <c r="CYK109" s="36"/>
      <c r="CYL109" s="38"/>
      <c r="CYM109" s="38"/>
      <c r="CYS109" s="36"/>
      <c r="CYT109" s="38"/>
      <c r="CYU109" s="38"/>
      <c r="CZA109" s="36"/>
      <c r="CZB109" s="38"/>
      <c r="CZC109" s="38"/>
      <c r="CZI109" s="36"/>
      <c r="CZJ109" s="38"/>
      <c r="CZK109" s="38"/>
      <c r="CZQ109" s="36"/>
      <c r="CZR109" s="38"/>
      <c r="CZS109" s="38"/>
      <c r="CZY109" s="36"/>
      <c r="CZZ109" s="38"/>
      <c r="DAA109" s="38"/>
      <c r="DAG109" s="36"/>
      <c r="DAH109" s="38"/>
      <c r="DAI109" s="38"/>
      <c r="DAO109" s="36"/>
      <c r="DAP109" s="38"/>
      <c r="DAQ109" s="38"/>
      <c r="DAW109" s="36"/>
      <c r="DAX109" s="38"/>
      <c r="DAY109" s="38"/>
      <c r="DBE109" s="36"/>
      <c r="DBF109" s="38"/>
      <c r="DBG109" s="38"/>
      <c r="DBM109" s="36"/>
      <c r="DBN109" s="38"/>
      <c r="DBO109" s="38"/>
      <c r="DBU109" s="36"/>
      <c r="DBV109" s="38"/>
      <c r="DBW109" s="38"/>
      <c r="DCC109" s="36"/>
      <c r="DCD109" s="38"/>
      <c r="DCE109" s="38"/>
      <c r="DCK109" s="36"/>
      <c r="DCL109" s="38"/>
      <c r="DCM109" s="38"/>
      <c r="DCS109" s="36"/>
      <c r="DCT109" s="38"/>
      <c r="DCU109" s="38"/>
      <c r="DDA109" s="36"/>
      <c r="DDB109" s="38"/>
      <c r="DDC109" s="38"/>
      <c r="DDI109" s="36"/>
      <c r="DDJ109" s="38"/>
      <c r="DDK109" s="38"/>
      <c r="DDQ109" s="36"/>
      <c r="DDR109" s="38"/>
      <c r="DDS109" s="38"/>
      <c r="DDY109" s="36"/>
      <c r="DDZ109" s="38"/>
      <c r="DEA109" s="38"/>
      <c r="DEG109" s="36"/>
      <c r="DEH109" s="38"/>
      <c r="DEI109" s="38"/>
      <c r="DEO109" s="36"/>
      <c r="DEP109" s="38"/>
      <c r="DEQ109" s="38"/>
      <c r="DEW109" s="36"/>
      <c r="DEX109" s="38"/>
      <c r="DEY109" s="38"/>
      <c r="DFE109" s="36"/>
      <c r="DFF109" s="38"/>
      <c r="DFG109" s="38"/>
      <c r="DFM109" s="36"/>
      <c r="DFN109" s="38"/>
      <c r="DFO109" s="38"/>
      <c r="DFU109" s="36"/>
      <c r="DFV109" s="38"/>
      <c r="DFW109" s="38"/>
      <c r="DGC109" s="36"/>
      <c r="DGD109" s="38"/>
      <c r="DGE109" s="38"/>
      <c r="DGK109" s="36"/>
      <c r="DGL109" s="38"/>
      <c r="DGM109" s="38"/>
      <c r="DGS109" s="36"/>
      <c r="DGT109" s="38"/>
      <c r="DGU109" s="38"/>
      <c r="DHA109" s="36"/>
      <c r="DHB109" s="38"/>
      <c r="DHC109" s="38"/>
      <c r="DHI109" s="36"/>
      <c r="DHJ109" s="38"/>
      <c r="DHK109" s="38"/>
      <c r="DHQ109" s="36"/>
      <c r="DHR109" s="38"/>
      <c r="DHS109" s="38"/>
      <c r="DHY109" s="36"/>
      <c r="DHZ109" s="38"/>
      <c r="DIA109" s="38"/>
      <c r="DIG109" s="36"/>
      <c r="DIH109" s="38"/>
      <c r="DII109" s="38"/>
      <c r="DIO109" s="36"/>
      <c r="DIP109" s="38"/>
      <c r="DIQ109" s="38"/>
      <c r="DIW109" s="36"/>
      <c r="DIX109" s="38"/>
      <c r="DIY109" s="38"/>
      <c r="DJE109" s="36"/>
      <c r="DJF109" s="38"/>
      <c r="DJG109" s="38"/>
      <c r="DJM109" s="36"/>
      <c r="DJN109" s="38"/>
      <c r="DJO109" s="38"/>
      <c r="DJU109" s="36"/>
      <c r="DJV109" s="38"/>
      <c r="DJW109" s="38"/>
      <c r="DKC109" s="36"/>
      <c r="DKD109" s="38"/>
      <c r="DKE109" s="38"/>
      <c r="DKK109" s="36"/>
      <c r="DKL109" s="38"/>
      <c r="DKM109" s="38"/>
      <c r="DKS109" s="36"/>
      <c r="DKT109" s="38"/>
      <c r="DKU109" s="38"/>
      <c r="DLA109" s="36"/>
      <c r="DLB109" s="38"/>
      <c r="DLC109" s="38"/>
      <c r="DLI109" s="36"/>
      <c r="DLJ109" s="38"/>
      <c r="DLK109" s="38"/>
      <c r="DLQ109" s="36"/>
      <c r="DLR109" s="38"/>
      <c r="DLS109" s="38"/>
      <c r="DLY109" s="36"/>
      <c r="DLZ109" s="38"/>
      <c r="DMA109" s="38"/>
      <c r="DMG109" s="36"/>
      <c r="DMH109" s="38"/>
      <c r="DMI109" s="38"/>
      <c r="DMO109" s="36"/>
      <c r="DMP109" s="38"/>
      <c r="DMQ109" s="38"/>
      <c r="DMW109" s="36"/>
      <c r="DMX109" s="38"/>
      <c r="DMY109" s="38"/>
      <c r="DNE109" s="36"/>
      <c r="DNF109" s="38"/>
      <c r="DNG109" s="38"/>
      <c r="DNM109" s="36"/>
      <c r="DNN109" s="38"/>
      <c r="DNO109" s="38"/>
      <c r="DNU109" s="36"/>
      <c r="DNV109" s="38"/>
      <c r="DNW109" s="38"/>
      <c r="DOC109" s="36"/>
      <c r="DOD109" s="38"/>
      <c r="DOE109" s="38"/>
      <c r="DOK109" s="36"/>
      <c r="DOL109" s="38"/>
      <c r="DOM109" s="38"/>
      <c r="DOS109" s="36"/>
      <c r="DOT109" s="38"/>
      <c r="DOU109" s="38"/>
      <c r="DPA109" s="36"/>
      <c r="DPB109" s="38"/>
      <c r="DPC109" s="38"/>
      <c r="DPI109" s="36"/>
      <c r="DPJ109" s="38"/>
      <c r="DPK109" s="38"/>
      <c r="DPQ109" s="36"/>
      <c r="DPR109" s="38"/>
      <c r="DPS109" s="38"/>
      <c r="DPY109" s="36"/>
      <c r="DPZ109" s="38"/>
      <c r="DQA109" s="38"/>
      <c r="DQG109" s="36"/>
      <c r="DQH109" s="38"/>
      <c r="DQI109" s="38"/>
      <c r="DQO109" s="36"/>
      <c r="DQP109" s="38"/>
      <c r="DQQ109" s="38"/>
      <c r="DQW109" s="36"/>
      <c r="DQX109" s="38"/>
      <c r="DQY109" s="38"/>
      <c r="DRE109" s="36"/>
      <c r="DRF109" s="38"/>
      <c r="DRG109" s="38"/>
      <c r="DRM109" s="36"/>
      <c r="DRN109" s="38"/>
      <c r="DRO109" s="38"/>
      <c r="DRU109" s="36"/>
      <c r="DRV109" s="38"/>
      <c r="DRW109" s="38"/>
      <c r="DSC109" s="36"/>
      <c r="DSD109" s="38"/>
      <c r="DSE109" s="38"/>
      <c r="DSK109" s="36"/>
      <c r="DSL109" s="38"/>
      <c r="DSM109" s="38"/>
      <c r="DSS109" s="36"/>
      <c r="DST109" s="38"/>
      <c r="DSU109" s="38"/>
      <c r="DTA109" s="36"/>
      <c r="DTB109" s="38"/>
      <c r="DTC109" s="38"/>
      <c r="DTI109" s="36"/>
      <c r="DTJ109" s="38"/>
      <c r="DTK109" s="38"/>
      <c r="DTQ109" s="36"/>
      <c r="DTR109" s="38"/>
      <c r="DTS109" s="38"/>
      <c r="DTY109" s="36"/>
      <c r="DTZ109" s="38"/>
      <c r="DUA109" s="38"/>
      <c r="DUG109" s="36"/>
      <c r="DUH109" s="38"/>
      <c r="DUI109" s="38"/>
      <c r="DUO109" s="36"/>
      <c r="DUP109" s="38"/>
      <c r="DUQ109" s="38"/>
      <c r="DUW109" s="36"/>
      <c r="DUX109" s="38"/>
      <c r="DUY109" s="38"/>
      <c r="DVE109" s="36"/>
      <c r="DVF109" s="38"/>
      <c r="DVG109" s="38"/>
      <c r="DVM109" s="36"/>
      <c r="DVN109" s="38"/>
      <c r="DVO109" s="38"/>
      <c r="DVU109" s="36"/>
      <c r="DVV109" s="38"/>
      <c r="DVW109" s="38"/>
      <c r="DWC109" s="36"/>
      <c r="DWD109" s="38"/>
      <c r="DWE109" s="38"/>
      <c r="DWK109" s="36"/>
      <c r="DWL109" s="38"/>
      <c r="DWM109" s="38"/>
      <c r="DWS109" s="36"/>
      <c r="DWT109" s="38"/>
      <c r="DWU109" s="38"/>
      <c r="DXA109" s="36"/>
      <c r="DXB109" s="38"/>
      <c r="DXC109" s="38"/>
      <c r="DXI109" s="36"/>
      <c r="DXJ109" s="38"/>
      <c r="DXK109" s="38"/>
      <c r="DXQ109" s="36"/>
      <c r="DXR109" s="38"/>
      <c r="DXS109" s="38"/>
      <c r="DXY109" s="36"/>
      <c r="DXZ109" s="38"/>
      <c r="DYA109" s="38"/>
      <c r="DYG109" s="36"/>
      <c r="DYH109" s="38"/>
      <c r="DYI109" s="38"/>
      <c r="DYO109" s="36"/>
      <c r="DYP109" s="38"/>
      <c r="DYQ109" s="38"/>
      <c r="DYW109" s="36"/>
      <c r="DYX109" s="38"/>
      <c r="DYY109" s="38"/>
      <c r="DZE109" s="36"/>
      <c r="DZF109" s="38"/>
      <c r="DZG109" s="38"/>
      <c r="DZM109" s="36"/>
      <c r="DZN109" s="38"/>
      <c r="DZO109" s="38"/>
      <c r="DZU109" s="36"/>
      <c r="DZV109" s="38"/>
      <c r="DZW109" s="38"/>
      <c r="EAC109" s="36"/>
      <c r="EAD109" s="38"/>
      <c r="EAE109" s="38"/>
      <c r="EAK109" s="36"/>
      <c r="EAL109" s="38"/>
      <c r="EAM109" s="38"/>
      <c r="EAS109" s="36"/>
      <c r="EAT109" s="38"/>
      <c r="EAU109" s="38"/>
      <c r="EBA109" s="36"/>
      <c r="EBB109" s="38"/>
      <c r="EBC109" s="38"/>
      <c r="EBI109" s="36"/>
      <c r="EBJ109" s="38"/>
      <c r="EBK109" s="38"/>
      <c r="EBQ109" s="36"/>
      <c r="EBR109" s="38"/>
      <c r="EBS109" s="38"/>
      <c r="EBY109" s="36"/>
      <c r="EBZ109" s="38"/>
      <c r="ECA109" s="38"/>
      <c r="ECG109" s="36"/>
      <c r="ECH109" s="38"/>
      <c r="ECI109" s="38"/>
      <c r="ECO109" s="36"/>
      <c r="ECP109" s="38"/>
      <c r="ECQ109" s="38"/>
      <c r="ECW109" s="36"/>
      <c r="ECX109" s="38"/>
      <c r="ECY109" s="38"/>
      <c r="EDE109" s="36"/>
      <c r="EDF109" s="38"/>
      <c r="EDG109" s="38"/>
      <c r="EDM109" s="36"/>
      <c r="EDN109" s="38"/>
      <c r="EDO109" s="38"/>
      <c r="EDU109" s="36"/>
      <c r="EDV109" s="38"/>
      <c r="EDW109" s="38"/>
      <c r="EEC109" s="36"/>
      <c r="EED109" s="38"/>
      <c r="EEE109" s="38"/>
      <c r="EEK109" s="36"/>
      <c r="EEL109" s="38"/>
      <c r="EEM109" s="38"/>
      <c r="EES109" s="36"/>
      <c r="EET109" s="38"/>
      <c r="EEU109" s="38"/>
      <c r="EFA109" s="36"/>
      <c r="EFB109" s="38"/>
      <c r="EFC109" s="38"/>
      <c r="EFI109" s="36"/>
      <c r="EFJ109" s="38"/>
      <c r="EFK109" s="38"/>
      <c r="EFQ109" s="36"/>
      <c r="EFR109" s="38"/>
      <c r="EFS109" s="38"/>
      <c r="EFY109" s="36"/>
      <c r="EFZ109" s="38"/>
      <c r="EGA109" s="38"/>
      <c r="EGG109" s="36"/>
      <c r="EGH109" s="38"/>
      <c r="EGI109" s="38"/>
      <c r="EGO109" s="36"/>
      <c r="EGP109" s="38"/>
      <c r="EGQ109" s="38"/>
      <c r="EGW109" s="36"/>
      <c r="EGX109" s="38"/>
      <c r="EGY109" s="38"/>
      <c r="EHE109" s="36"/>
      <c r="EHF109" s="38"/>
      <c r="EHG109" s="38"/>
      <c r="EHM109" s="36"/>
      <c r="EHN109" s="38"/>
      <c r="EHO109" s="38"/>
      <c r="EHU109" s="36"/>
      <c r="EHV109" s="38"/>
      <c r="EHW109" s="38"/>
      <c r="EIC109" s="36"/>
      <c r="EID109" s="38"/>
      <c r="EIE109" s="38"/>
      <c r="EIK109" s="36"/>
      <c r="EIL109" s="38"/>
      <c r="EIM109" s="38"/>
      <c r="EIS109" s="36"/>
      <c r="EIT109" s="38"/>
      <c r="EIU109" s="38"/>
      <c r="EJA109" s="36"/>
      <c r="EJB109" s="38"/>
      <c r="EJC109" s="38"/>
      <c r="EJI109" s="36"/>
      <c r="EJJ109" s="38"/>
      <c r="EJK109" s="38"/>
      <c r="EJQ109" s="36"/>
      <c r="EJR109" s="38"/>
      <c r="EJS109" s="38"/>
      <c r="EJY109" s="36"/>
      <c r="EJZ109" s="38"/>
      <c r="EKA109" s="38"/>
      <c r="EKG109" s="36"/>
      <c r="EKH109" s="38"/>
      <c r="EKI109" s="38"/>
      <c r="EKO109" s="36"/>
      <c r="EKP109" s="38"/>
      <c r="EKQ109" s="38"/>
      <c r="EKW109" s="36"/>
      <c r="EKX109" s="38"/>
      <c r="EKY109" s="38"/>
      <c r="ELE109" s="36"/>
      <c r="ELF109" s="38"/>
      <c r="ELG109" s="38"/>
      <c r="ELM109" s="36"/>
      <c r="ELN109" s="38"/>
      <c r="ELO109" s="38"/>
      <c r="ELU109" s="36"/>
      <c r="ELV109" s="38"/>
      <c r="ELW109" s="38"/>
      <c r="EMC109" s="36"/>
      <c r="EMD109" s="38"/>
      <c r="EME109" s="38"/>
      <c r="EMK109" s="36"/>
      <c r="EML109" s="38"/>
      <c r="EMM109" s="38"/>
      <c r="EMS109" s="36"/>
      <c r="EMT109" s="38"/>
      <c r="EMU109" s="38"/>
      <c r="ENA109" s="36"/>
      <c r="ENB109" s="38"/>
      <c r="ENC109" s="38"/>
      <c r="ENI109" s="36"/>
      <c r="ENJ109" s="38"/>
      <c r="ENK109" s="38"/>
      <c r="ENQ109" s="36"/>
      <c r="ENR109" s="38"/>
      <c r="ENS109" s="38"/>
      <c r="ENY109" s="36"/>
      <c r="ENZ109" s="38"/>
      <c r="EOA109" s="38"/>
      <c r="EOG109" s="36"/>
      <c r="EOH109" s="38"/>
      <c r="EOI109" s="38"/>
      <c r="EOO109" s="36"/>
      <c r="EOP109" s="38"/>
      <c r="EOQ109" s="38"/>
      <c r="EOW109" s="36"/>
      <c r="EOX109" s="38"/>
      <c r="EOY109" s="38"/>
      <c r="EPE109" s="36"/>
      <c r="EPF109" s="38"/>
      <c r="EPG109" s="38"/>
      <c r="EPM109" s="36"/>
      <c r="EPN109" s="38"/>
      <c r="EPO109" s="38"/>
      <c r="EPU109" s="36"/>
      <c r="EPV109" s="38"/>
      <c r="EPW109" s="38"/>
      <c r="EQC109" s="36"/>
      <c r="EQD109" s="38"/>
      <c r="EQE109" s="38"/>
      <c r="EQK109" s="36"/>
      <c r="EQL109" s="38"/>
      <c r="EQM109" s="38"/>
      <c r="EQS109" s="36"/>
      <c r="EQT109" s="38"/>
      <c r="EQU109" s="38"/>
      <c r="ERA109" s="36"/>
      <c r="ERB109" s="38"/>
      <c r="ERC109" s="38"/>
      <c r="ERI109" s="36"/>
      <c r="ERJ109" s="38"/>
      <c r="ERK109" s="38"/>
      <c r="ERQ109" s="36"/>
      <c r="ERR109" s="38"/>
      <c r="ERS109" s="38"/>
      <c r="ERY109" s="36"/>
      <c r="ERZ109" s="38"/>
      <c r="ESA109" s="38"/>
      <c r="ESG109" s="36"/>
      <c r="ESH109" s="38"/>
      <c r="ESI109" s="38"/>
      <c r="ESO109" s="36"/>
      <c r="ESP109" s="38"/>
      <c r="ESQ109" s="38"/>
      <c r="ESW109" s="36"/>
      <c r="ESX109" s="38"/>
      <c r="ESY109" s="38"/>
      <c r="ETE109" s="36"/>
      <c r="ETF109" s="38"/>
      <c r="ETG109" s="38"/>
      <c r="ETM109" s="36"/>
      <c r="ETN109" s="38"/>
      <c r="ETO109" s="38"/>
      <c r="ETU109" s="36"/>
      <c r="ETV109" s="38"/>
      <c r="ETW109" s="38"/>
      <c r="EUC109" s="36"/>
      <c r="EUD109" s="38"/>
      <c r="EUE109" s="38"/>
      <c r="EUK109" s="36"/>
      <c r="EUL109" s="38"/>
      <c r="EUM109" s="38"/>
      <c r="EUS109" s="36"/>
      <c r="EUT109" s="38"/>
      <c r="EUU109" s="38"/>
      <c r="EVA109" s="36"/>
      <c r="EVB109" s="38"/>
      <c r="EVC109" s="38"/>
      <c r="EVI109" s="36"/>
      <c r="EVJ109" s="38"/>
      <c r="EVK109" s="38"/>
      <c r="EVQ109" s="36"/>
      <c r="EVR109" s="38"/>
      <c r="EVS109" s="38"/>
      <c r="EVY109" s="36"/>
      <c r="EVZ109" s="38"/>
      <c r="EWA109" s="38"/>
      <c r="EWG109" s="36"/>
      <c r="EWH109" s="38"/>
      <c r="EWI109" s="38"/>
      <c r="EWO109" s="36"/>
      <c r="EWP109" s="38"/>
      <c r="EWQ109" s="38"/>
      <c r="EWW109" s="36"/>
      <c r="EWX109" s="38"/>
      <c r="EWY109" s="38"/>
      <c r="EXE109" s="36"/>
      <c r="EXF109" s="38"/>
      <c r="EXG109" s="38"/>
      <c r="EXM109" s="36"/>
      <c r="EXN109" s="38"/>
      <c r="EXO109" s="38"/>
      <c r="EXU109" s="36"/>
      <c r="EXV109" s="38"/>
      <c r="EXW109" s="38"/>
      <c r="EYC109" s="36"/>
      <c r="EYD109" s="38"/>
      <c r="EYE109" s="38"/>
      <c r="EYK109" s="36"/>
      <c r="EYL109" s="38"/>
      <c r="EYM109" s="38"/>
      <c r="EYS109" s="36"/>
      <c r="EYT109" s="38"/>
      <c r="EYU109" s="38"/>
      <c r="EZA109" s="36"/>
      <c r="EZB109" s="38"/>
      <c r="EZC109" s="38"/>
      <c r="EZI109" s="36"/>
      <c r="EZJ109" s="38"/>
      <c r="EZK109" s="38"/>
      <c r="EZQ109" s="36"/>
      <c r="EZR109" s="38"/>
      <c r="EZS109" s="38"/>
      <c r="EZY109" s="36"/>
      <c r="EZZ109" s="38"/>
      <c r="FAA109" s="38"/>
      <c r="FAG109" s="36"/>
      <c r="FAH109" s="38"/>
      <c r="FAI109" s="38"/>
      <c r="FAO109" s="36"/>
      <c r="FAP109" s="38"/>
      <c r="FAQ109" s="38"/>
      <c r="FAW109" s="36"/>
      <c r="FAX109" s="38"/>
      <c r="FAY109" s="38"/>
      <c r="FBE109" s="36"/>
      <c r="FBF109" s="38"/>
      <c r="FBG109" s="38"/>
      <c r="FBM109" s="36"/>
      <c r="FBN109" s="38"/>
      <c r="FBO109" s="38"/>
      <c r="FBU109" s="36"/>
      <c r="FBV109" s="38"/>
      <c r="FBW109" s="38"/>
      <c r="FCC109" s="36"/>
      <c r="FCD109" s="38"/>
      <c r="FCE109" s="38"/>
      <c r="FCK109" s="36"/>
      <c r="FCL109" s="38"/>
      <c r="FCM109" s="38"/>
      <c r="FCS109" s="36"/>
      <c r="FCT109" s="38"/>
      <c r="FCU109" s="38"/>
      <c r="FDA109" s="36"/>
      <c r="FDB109" s="38"/>
      <c r="FDC109" s="38"/>
      <c r="FDI109" s="36"/>
      <c r="FDJ109" s="38"/>
      <c r="FDK109" s="38"/>
      <c r="FDQ109" s="36"/>
      <c r="FDR109" s="38"/>
      <c r="FDS109" s="38"/>
      <c r="FDY109" s="36"/>
      <c r="FDZ109" s="38"/>
      <c r="FEA109" s="38"/>
      <c r="FEG109" s="36"/>
      <c r="FEH109" s="38"/>
      <c r="FEI109" s="38"/>
      <c r="FEO109" s="36"/>
      <c r="FEP109" s="38"/>
      <c r="FEQ109" s="38"/>
      <c r="FEW109" s="36"/>
      <c r="FEX109" s="38"/>
      <c r="FEY109" s="38"/>
      <c r="FFE109" s="36"/>
      <c r="FFF109" s="38"/>
      <c r="FFG109" s="38"/>
      <c r="FFM109" s="36"/>
      <c r="FFN109" s="38"/>
      <c r="FFO109" s="38"/>
      <c r="FFU109" s="36"/>
      <c r="FFV109" s="38"/>
      <c r="FFW109" s="38"/>
      <c r="FGC109" s="36"/>
      <c r="FGD109" s="38"/>
      <c r="FGE109" s="38"/>
      <c r="FGK109" s="36"/>
      <c r="FGL109" s="38"/>
      <c r="FGM109" s="38"/>
      <c r="FGS109" s="36"/>
      <c r="FGT109" s="38"/>
      <c r="FGU109" s="38"/>
      <c r="FHA109" s="36"/>
      <c r="FHB109" s="38"/>
      <c r="FHC109" s="38"/>
      <c r="FHI109" s="36"/>
      <c r="FHJ109" s="38"/>
      <c r="FHK109" s="38"/>
      <c r="FHQ109" s="36"/>
      <c r="FHR109" s="38"/>
      <c r="FHS109" s="38"/>
      <c r="FHY109" s="36"/>
      <c r="FHZ109" s="38"/>
      <c r="FIA109" s="38"/>
      <c r="FIG109" s="36"/>
      <c r="FIH109" s="38"/>
      <c r="FII109" s="38"/>
      <c r="FIO109" s="36"/>
      <c r="FIP109" s="38"/>
      <c r="FIQ109" s="38"/>
      <c r="FIW109" s="36"/>
      <c r="FIX109" s="38"/>
      <c r="FIY109" s="38"/>
      <c r="FJE109" s="36"/>
      <c r="FJF109" s="38"/>
      <c r="FJG109" s="38"/>
      <c r="FJM109" s="36"/>
      <c r="FJN109" s="38"/>
      <c r="FJO109" s="38"/>
      <c r="FJU109" s="36"/>
      <c r="FJV109" s="38"/>
      <c r="FJW109" s="38"/>
      <c r="FKC109" s="36"/>
      <c r="FKD109" s="38"/>
      <c r="FKE109" s="38"/>
      <c r="FKK109" s="36"/>
      <c r="FKL109" s="38"/>
      <c r="FKM109" s="38"/>
      <c r="FKS109" s="36"/>
      <c r="FKT109" s="38"/>
      <c r="FKU109" s="38"/>
      <c r="FLA109" s="36"/>
      <c r="FLB109" s="38"/>
      <c r="FLC109" s="38"/>
      <c r="FLI109" s="36"/>
      <c r="FLJ109" s="38"/>
      <c r="FLK109" s="38"/>
      <c r="FLQ109" s="36"/>
      <c r="FLR109" s="38"/>
      <c r="FLS109" s="38"/>
      <c r="FLY109" s="36"/>
      <c r="FLZ109" s="38"/>
      <c r="FMA109" s="38"/>
      <c r="FMG109" s="36"/>
      <c r="FMH109" s="38"/>
      <c r="FMI109" s="38"/>
      <c r="FMO109" s="36"/>
      <c r="FMP109" s="38"/>
      <c r="FMQ109" s="38"/>
      <c r="FMW109" s="36"/>
      <c r="FMX109" s="38"/>
      <c r="FMY109" s="38"/>
      <c r="FNE109" s="36"/>
      <c r="FNF109" s="38"/>
      <c r="FNG109" s="38"/>
      <c r="FNM109" s="36"/>
      <c r="FNN109" s="38"/>
      <c r="FNO109" s="38"/>
      <c r="FNU109" s="36"/>
      <c r="FNV109" s="38"/>
      <c r="FNW109" s="38"/>
      <c r="FOC109" s="36"/>
      <c r="FOD109" s="38"/>
      <c r="FOE109" s="38"/>
      <c r="FOK109" s="36"/>
      <c r="FOL109" s="38"/>
      <c r="FOM109" s="38"/>
      <c r="FOS109" s="36"/>
      <c r="FOT109" s="38"/>
      <c r="FOU109" s="38"/>
      <c r="FPA109" s="36"/>
      <c r="FPB109" s="38"/>
      <c r="FPC109" s="38"/>
      <c r="FPI109" s="36"/>
      <c r="FPJ109" s="38"/>
      <c r="FPK109" s="38"/>
      <c r="FPQ109" s="36"/>
      <c r="FPR109" s="38"/>
      <c r="FPS109" s="38"/>
      <c r="FPY109" s="36"/>
      <c r="FPZ109" s="38"/>
      <c r="FQA109" s="38"/>
      <c r="FQG109" s="36"/>
      <c r="FQH109" s="38"/>
      <c r="FQI109" s="38"/>
      <c r="FQO109" s="36"/>
      <c r="FQP109" s="38"/>
      <c r="FQQ109" s="38"/>
      <c r="FQW109" s="36"/>
      <c r="FQX109" s="38"/>
      <c r="FQY109" s="38"/>
      <c r="FRE109" s="36"/>
      <c r="FRF109" s="38"/>
      <c r="FRG109" s="38"/>
      <c r="FRM109" s="36"/>
      <c r="FRN109" s="38"/>
      <c r="FRO109" s="38"/>
      <c r="FRU109" s="36"/>
      <c r="FRV109" s="38"/>
      <c r="FRW109" s="38"/>
      <c r="FSC109" s="36"/>
      <c r="FSD109" s="38"/>
      <c r="FSE109" s="38"/>
      <c r="FSK109" s="36"/>
      <c r="FSL109" s="38"/>
      <c r="FSM109" s="38"/>
      <c r="FSS109" s="36"/>
      <c r="FST109" s="38"/>
      <c r="FSU109" s="38"/>
      <c r="FTA109" s="36"/>
      <c r="FTB109" s="38"/>
      <c r="FTC109" s="38"/>
      <c r="FTI109" s="36"/>
      <c r="FTJ109" s="38"/>
      <c r="FTK109" s="38"/>
      <c r="FTQ109" s="36"/>
      <c r="FTR109" s="38"/>
      <c r="FTS109" s="38"/>
      <c r="FTY109" s="36"/>
      <c r="FTZ109" s="38"/>
      <c r="FUA109" s="38"/>
      <c r="FUG109" s="36"/>
      <c r="FUH109" s="38"/>
      <c r="FUI109" s="38"/>
      <c r="FUO109" s="36"/>
      <c r="FUP109" s="38"/>
      <c r="FUQ109" s="38"/>
      <c r="FUW109" s="36"/>
      <c r="FUX109" s="38"/>
      <c r="FUY109" s="38"/>
      <c r="FVE109" s="36"/>
      <c r="FVF109" s="38"/>
      <c r="FVG109" s="38"/>
      <c r="FVM109" s="36"/>
      <c r="FVN109" s="38"/>
      <c r="FVO109" s="38"/>
      <c r="FVU109" s="36"/>
      <c r="FVV109" s="38"/>
      <c r="FVW109" s="38"/>
      <c r="FWC109" s="36"/>
      <c r="FWD109" s="38"/>
      <c r="FWE109" s="38"/>
      <c r="FWK109" s="36"/>
      <c r="FWL109" s="38"/>
      <c r="FWM109" s="38"/>
      <c r="FWS109" s="36"/>
      <c r="FWT109" s="38"/>
      <c r="FWU109" s="38"/>
      <c r="FXA109" s="36"/>
      <c r="FXB109" s="38"/>
      <c r="FXC109" s="38"/>
      <c r="FXI109" s="36"/>
      <c r="FXJ109" s="38"/>
      <c r="FXK109" s="38"/>
      <c r="FXQ109" s="36"/>
      <c r="FXR109" s="38"/>
      <c r="FXS109" s="38"/>
      <c r="FXY109" s="36"/>
      <c r="FXZ109" s="38"/>
      <c r="FYA109" s="38"/>
      <c r="FYG109" s="36"/>
      <c r="FYH109" s="38"/>
      <c r="FYI109" s="38"/>
      <c r="FYO109" s="36"/>
      <c r="FYP109" s="38"/>
      <c r="FYQ109" s="38"/>
      <c r="FYW109" s="36"/>
      <c r="FYX109" s="38"/>
      <c r="FYY109" s="38"/>
      <c r="FZE109" s="36"/>
      <c r="FZF109" s="38"/>
      <c r="FZG109" s="38"/>
      <c r="FZM109" s="36"/>
      <c r="FZN109" s="38"/>
      <c r="FZO109" s="38"/>
      <c r="FZU109" s="36"/>
      <c r="FZV109" s="38"/>
      <c r="FZW109" s="38"/>
      <c r="GAC109" s="36"/>
      <c r="GAD109" s="38"/>
      <c r="GAE109" s="38"/>
      <c r="GAK109" s="36"/>
      <c r="GAL109" s="38"/>
      <c r="GAM109" s="38"/>
      <c r="GAS109" s="36"/>
      <c r="GAT109" s="38"/>
      <c r="GAU109" s="38"/>
      <c r="GBA109" s="36"/>
      <c r="GBB109" s="38"/>
      <c r="GBC109" s="38"/>
      <c r="GBI109" s="36"/>
      <c r="GBJ109" s="38"/>
      <c r="GBK109" s="38"/>
      <c r="GBQ109" s="36"/>
      <c r="GBR109" s="38"/>
      <c r="GBS109" s="38"/>
      <c r="GBY109" s="36"/>
      <c r="GBZ109" s="38"/>
      <c r="GCA109" s="38"/>
      <c r="GCG109" s="36"/>
      <c r="GCH109" s="38"/>
      <c r="GCI109" s="38"/>
      <c r="GCO109" s="36"/>
      <c r="GCP109" s="38"/>
      <c r="GCQ109" s="38"/>
      <c r="GCW109" s="36"/>
      <c r="GCX109" s="38"/>
      <c r="GCY109" s="38"/>
      <c r="GDE109" s="36"/>
      <c r="GDF109" s="38"/>
      <c r="GDG109" s="38"/>
      <c r="GDM109" s="36"/>
      <c r="GDN109" s="38"/>
      <c r="GDO109" s="38"/>
      <c r="GDU109" s="36"/>
      <c r="GDV109" s="38"/>
      <c r="GDW109" s="38"/>
      <c r="GEC109" s="36"/>
      <c r="GED109" s="38"/>
      <c r="GEE109" s="38"/>
      <c r="GEK109" s="36"/>
      <c r="GEL109" s="38"/>
      <c r="GEM109" s="38"/>
      <c r="GES109" s="36"/>
      <c r="GET109" s="38"/>
      <c r="GEU109" s="38"/>
      <c r="GFA109" s="36"/>
      <c r="GFB109" s="38"/>
      <c r="GFC109" s="38"/>
      <c r="GFI109" s="36"/>
      <c r="GFJ109" s="38"/>
      <c r="GFK109" s="38"/>
      <c r="GFQ109" s="36"/>
      <c r="GFR109" s="38"/>
      <c r="GFS109" s="38"/>
      <c r="GFY109" s="36"/>
      <c r="GFZ109" s="38"/>
      <c r="GGA109" s="38"/>
      <c r="GGG109" s="36"/>
      <c r="GGH109" s="38"/>
      <c r="GGI109" s="38"/>
      <c r="GGO109" s="36"/>
      <c r="GGP109" s="38"/>
      <c r="GGQ109" s="38"/>
      <c r="GGW109" s="36"/>
      <c r="GGX109" s="38"/>
      <c r="GGY109" s="38"/>
      <c r="GHE109" s="36"/>
      <c r="GHF109" s="38"/>
      <c r="GHG109" s="38"/>
      <c r="GHM109" s="36"/>
      <c r="GHN109" s="38"/>
      <c r="GHO109" s="38"/>
      <c r="GHU109" s="36"/>
      <c r="GHV109" s="38"/>
      <c r="GHW109" s="38"/>
      <c r="GIC109" s="36"/>
      <c r="GID109" s="38"/>
      <c r="GIE109" s="38"/>
      <c r="GIK109" s="36"/>
      <c r="GIL109" s="38"/>
      <c r="GIM109" s="38"/>
      <c r="GIS109" s="36"/>
      <c r="GIT109" s="38"/>
      <c r="GIU109" s="38"/>
      <c r="GJA109" s="36"/>
      <c r="GJB109" s="38"/>
      <c r="GJC109" s="38"/>
      <c r="GJI109" s="36"/>
      <c r="GJJ109" s="38"/>
      <c r="GJK109" s="38"/>
      <c r="GJQ109" s="36"/>
      <c r="GJR109" s="38"/>
      <c r="GJS109" s="38"/>
      <c r="GJY109" s="36"/>
      <c r="GJZ109" s="38"/>
      <c r="GKA109" s="38"/>
      <c r="GKG109" s="36"/>
      <c r="GKH109" s="38"/>
      <c r="GKI109" s="38"/>
      <c r="GKO109" s="36"/>
      <c r="GKP109" s="38"/>
      <c r="GKQ109" s="38"/>
      <c r="GKW109" s="36"/>
      <c r="GKX109" s="38"/>
      <c r="GKY109" s="38"/>
      <c r="GLE109" s="36"/>
      <c r="GLF109" s="38"/>
      <c r="GLG109" s="38"/>
      <c r="GLM109" s="36"/>
      <c r="GLN109" s="38"/>
      <c r="GLO109" s="38"/>
      <c r="GLU109" s="36"/>
      <c r="GLV109" s="38"/>
      <c r="GLW109" s="38"/>
      <c r="GMC109" s="36"/>
      <c r="GMD109" s="38"/>
      <c r="GME109" s="38"/>
      <c r="GMK109" s="36"/>
      <c r="GML109" s="38"/>
      <c r="GMM109" s="38"/>
      <c r="GMS109" s="36"/>
      <c r="GMT109" s="38"/>
      <c r="GMU109" s="38"/>
      <c r="GNA109" s="36"/>
      <c r="GNB109" s="38"/>
      <c r="GNC109" s="38"/>
      <c r="GNI109" s="36"/>
      <c r="GNJ109" s="38"/>
      <c r="GNK109" s="38"/>
      <c r="GNQ109" s="36"/>
      <c r="GNR109" s="38"/>
      <c r="GNS109" s="38"/>
      <c r="GNY109" s="36"/>
      <c r="GNZ109" s="38"/>
      <c r="GOA109" s="38"/>
      <c r="GOG109" s="36"/>
      <c r="GOH109" s="38"/>
      <c r="GOI109" s="38"/>
      <c r="GOO109" s="36"/>
      <c r="GOP109" s="38"/>
      <c r="GOQ109" s="38"/>
      <c r="GOW109" s="36"/>
      <c r="GOX109" s="38"/>
      <c r="GOY109" s="38"/>
      <c r="GPE109" s="36"/>
      <c r="GPF109" s="38"/>
      <c r="GPG109" s="38"/>
      <c r="GPM109" s="36"/>
      <c r="GPN109" s="38"/>
      <c r="GPO109" s="38"/>
      <c r="GPU109" s="36"/>
      <c r="GPV109" s="38"/>
      <c r="GPW109" s="38"/>
      <c r="GQC109" s="36"/>
      <c r="GQD109" s="38"/>
      <c r="GQE109" s="38"/>
      <c r="GQK109" s="36"/>
      <c r="GQL109" s="38"/>
      <c r="GQM109" s="38"/>
      <c r="GQS109" s="36"/>
      <c r="GQT109" s="38"/>
      <c r="GQU109" s="38"/>
      <c r="GRA109" s="36"/>
      <c r="GRB109" s="38"/>
      <c r="GRC109" s="38"/>
      <c r="GRI109" s="36"/>
      <c r="GRJ109" s="38"/>
      <c r="GRK109" s="38"/>
      <c r="GRQ109" s="36"/>
      <c r="GRR109" s="38"/>
      <c r="GRS109" s="38"/>
      <c r="GRY109" s="36"/>
      <c r="GRZ109" s="38"/>
      <c r="GSA109" s="38"/>
      <c r="GSG109" s="36"/>
      <c r="GSH109" s="38"/>
      <c r="GSI109" s="38"/>
      <c r="GSO109" s="36"/>
      <c r="GSP109" s="38"/>
      <c r="GSQ109" s="38"/>
      <c r="GSW109" s="36"/>
      <c r="GSX109" s="38"/>
      <c r="GSY109" s="38"/>
      <c r="GTE109" s="36"/>
      <c r="GTF109" s="38"/>
      <c r="GTG109" s="38"/>
      <c r="GTM109" s="36"/>
      <c r="GTN109" s="38"/>
      <c r="GTO109" s="38"/>
      <c r="GTU109" s="36"/>
      <c r="GTV109" s="38"/>
      <c r="GTW109" s="38"/>
      <c r="GUC109" s="36"/>
      <c r="GUD109" s="38"/>
      <c r="GUE109" s="38"/>
      <c r="GUK109" s="36"/>
      <c r="GUL109" s="38"/>
      <c r="GUM109" s="38"/>
      <c r="GUS109" s="36"/>
      <c r="GUT109" s="38"/>
      <c r="GUU109" s="38"/>
      <c r="GVA109" s="36"/>
      <c r="GVB109" s="38"/>
      <c r="GVC109" s="38"/>
      <c r="GVI109" s="36"/>
      <c r="GVJ109" s="38"/>
      <c r="GVK109" s="38"/>
      <c r="GVQ109" s="36"/>
      <c r="GVR109" s="38"/>
      <c r="GVS109" s="38"/>
      <c r="GVY109" s="36"/>
      <c r="GVZ109" s="38"/>
      <c r="GWA109" s="38"/>
      <c r="GWG109" s="36"/>
      <c r="GWH109" s="38"/>
      <c r="GWI109" s="38"/>
      <c r="GWO109" s="36"/>
      <c r="GWP109" s="38"/>
      <c r="GWQ109" s="38"/>
      <c r="GWW109" s="36"/>
      <c r="GWX109" s="38"/>
      <c r="GWY109" s="38"/>
      <c r="GXE109" s="36"/>
      <c r="GXF109" s="38"/>
      <c r="GXG109" s="38"/>
      <c r="GXM109" s="36"/>
      <c r="GXN109" s="38"/>
      <c r="GXO109" s="38"/>
      <c r="GXU109" s="36"/>
      <c r="GXV109" s="38"/>
      <c r="GXW109" s="38"/>
      <c r="GYC109" s="36"/>
      <c r="GYD109" s="38"/>
      <c r="GYE109" s="38"/>
      <c r="GYK109" s="36"/>
      <c r="GYL109" s="38"/>
      <c r="GYM109" s="38"/>
      <c r="GYS109" s="36"/>
      <c r="GYT109" s="38"/>
      <c r="GYU109" s="38"/>
      <c r="GZA109" s="36"/>
      <c r="GZB109" s="38"/>
      <c r="GZC109" s="38"/>
      <c r="GZI109" s="36"/>
      <c r="GZJ109" s="38"/>
      <c r="GZK109" s="38"/>
      <c r="GZQ109" s="36"/>
      <c r="GZR109" s="38"/>
      <c r="GZS109" s="38"/>
      <c r="GZY109" s="36"/>
      <c r="GZZ109" s="38"/>
      <c r="HAA109" s="38"/>
      <c r="HAG109" s="36"/>
      <c r="HAH109" s="38"/>
      <c r="HAI109" s="38"/>
      <c r="HAO109" s="36"/>
      <c r="HAP109" s="38"/>
      <c r="HAQ109" s="38"/>
      <c r="HAW109" s="36"/>
      <c r="HAX109" s="38"/>
      <c r="HAY109" s="38"/>
      <c r="HBE109" s="36"/>
      <c r="HBF109" s="38"/>
      <c r="HBG109" s="38"/>
      <c r="HBM109" s="36"/>
      <c r="HBN109" s="38"/>
      <c r="HBO109" s="38"/>
      <c r="HBU109" s="36"/>
      <c r="HBV109" s="38"/>
      <c r="HBW109" s="38"/>
      <c r="HCC109" s="36"/>
      <c r="HCD109" s="38"/>
      <c r="HCE109" s="38"/>
      <c r="HCK109" s="36"/>
      <c r="HCL109" s="38"/>
      <c r="HCM109" s="38"/>
      <c r="HCS109" s="36"/>
      <c r="HCT109" s="38"/>
      <c r="HCU109" s="38"/>
      <c r="HDA109" s="36"/>
      <c r="HDB109" s="38"/>
      <c r="HDC109" s="38"/>
      <c r="HDI109" s="36"/>
      <c r="HDJ109" s="38"/>
      <c r="HDK109" s="38"/>
      <c r="HDQ109" s="36"/>
      <c r="HDR109" s="38"/>
      <c r="HDS109" s="38"/>
      <c r="HDY109" s="36"/>
      <c r="HDZ109" s="38"/>
      <c r="HEA109" s="38"/>
      <c r="HEG109" s="36"/>
      <c r="HEH109" s="38"/>
      <c r="HEI109" s="38"/>
      <c r="HEO109" s="36"/>
      <c r="HEP109" s="38"/>
      <c r="HEQ109" s="38"/>
      <c r="HEW109" s="36"/>
      <c r="HEX109" s="38"/>
      <c r="HEY109" s="38"/>
      <c r="HFE109" s="36"/>
      <c r="HFF109" s="38"/>
      <c r="HFG109" s="38"/>
      <c r="HFM109" s="36"/>
      <c r="HFN109" s="38"/>
      <c r="HFO109" s="38"/>
      <c r="HFU109" s="36"/>
      <c r="HFV109" s="38"/>
      <c r="HFW109" s="38"/>
      <c r="HGC109" s="36"/>
      <c r="HGD109" s="38"/>
      <c r="HGE109" s="38"/>
      <c r="HGK109" s="36"/>
      <c r="HGL109" s="38"/>
      <c r="HGM109" s="38"/>
      <c r="HGS109" s="36"/>
      <c r="HGT109" s="38"/>
      <c r="HGU109" s="38"/>
      <c r="HHA109" s="36"/>
      <c r="HHB109" s="38"/>
      <c r="HHC109" s="38"/>
      <c r="HHI109" s="36"/>
      <c r="HHJ109" s="38"/>
      <c r="HHK109" s="38"/>
      <c r="HHQ109" s="36"/>
      <c r="HHR109" s="38"/>
      <c r="HHS109" s="38"/>
      <c r="HHY109" s="36"/>
      <c r="HHZ109" s="38"/>
      <c r="HIA109" s="38"/>
      <c r="HIG109" s="36"/>
      <c r="HIH109" s="38"/>
      <c r="HII109" s="38"/>
      <c r="HIO109" s="36"/>
      <c r="HIP109" s="38"/>
      <c r="HIQ109" s="38"/>
      <c r="HIW109" s="36"/>
      <c r="HIX109" s="38"/>
      <c r="HIY109" s="38"/>
      <c r="HJE109" s="36"/>
      <c r="HJF109" s="38"/>
      <c r="HJG109" s="38"/>
      <c r="HJM109" s="36"/>
      <c r="HJN109" s="38"/>
      <c r="HJO109" s="38"/>
      <c r="HJU109" s="36"/>
      <c r="HJV109" s="38"/>
      <c r="HJW109" s="38"/>
      <c r="HKC109" s="36"/>
      <c r="HKD109" s="38"/>
      <c r="HKE109" s="38"/>
      <c r="HKK109" s="36"/>
      <c r="HKL109" s="38"/>
      <c r="HKM109" s="38"/>
      <c r="HKS109" s="36"/>
      <c r="HKT109" s="38"/>
      <c r="HKU109" s="38"/>
      <c r="HLA109" s="36"/>
      <c r="HLB109" s="38"/>
      <c r="HLC109" s="38"/>
      <c r="HLI109" s="36"/>
      <c r="HLJ109" s="38"/>
      <c r="HLK109" s="38"/>
      <c r="HLQ109" s="36"/>
      <c r="HLR109" s="38"/>
      <c r="HLS109" s="38"/>
      <c r="HLY109" s="36"/>
      <c r="HLZ109" s="38"/>
      <c r="HMA109" s="38"/>
      <c r="HMG109" s="36"/>
      <c r="HMH109" s="38"/>
      <c r="HMI109" s="38"/>
      <c r="HMO109" s="36"/>
      <c r="HMP109" s="38"/>
      <c r="HMQ109" s="38"/>
      <c r="HMW109" s="36"/>
      <c r="HMX109" s="38"/>
      <c r="HMY109" s="38"/>
      <c r="HNE109" s="36"/>
      <c r="HNF109" s="38"/>
      <c r="HNG109" s="38"/>
      <c r="HNM109" s="36"/>
      <c r="HNN109" s="38"/>
      <c r="HNO109" s="38"/>
      <c r="HNU109" s="36"/>
      <c r="HNV109" s="38"/>
      <c r="HNW109" s="38"/>
      <c r="HOC109" s="36"/>
      <c r="HOD109" s="38"/>
      <c r="HOE109" s="38"/>
      <c r="HOK109" s="36"/>
      <c r="HOL109" s="38"/>
      <c r="HOM109" s="38"/>
      <c r="HOS109" s="36"/>
      <c r="HOT109" s="38"/>
      <c r="HOU109" s="38"/>
      <c r="HPA109" s="36"/>
      <c r="HPB109" s="38"/>
      <c r="HPC109" s="38"/>
      <c r="HPI109" s="36"/>
      <c r="HPJ109" s="38"/>
      <c r="HPK109" s="38"/>
      <c r="HPQ109" s="36"/>
      <c r="HPR109" s="38"/>
      <c r="HPS109" s="38"/>
      <c r="HPY109" s="36"/>
      <c r="HPZ109" s="38"/>
      <c r="HQA109" s="38"/>
      <c r="HQG109" s="36"/>
      <c r="HQH109" s="38"/>
      <c r="HQI109" s="38"/>
      <c r="HQO109" s="36"/>
      <c r="HQP109" s="38"/>
      <c r="HQQ109" s="38"/>
      <c r="HQW109" s="36"/>
      <c r="HQX109" s="38"/>
      <c r="HQY109" s="38"/>
      <c r="HRE109" s="36"/>
      <c r="HRF109" s="38"/>
      <c r="HRG109" s="38"/>
      <c r="HRM109" s="36"/>
      <c r="HRN109" s="38"/>
      <c r="HRO109" s="38"/>
      <c r="HRU109" s="36"/>
      <c r="HRV109" s="38"/>
      <c r="HRW109" s="38"/>
      <c r="HSC109" s="36"/>
      <c r="HSD109" s="38"/>
      <c r="HSE109" s="38"/>
      <c r="HSK109" s="36"/>
      <c r="HSL109" s="38"/>
      <c r="HSM109" s="38"/>
      <c r="HSS109" s="36"/>
      <c r="HST109" s="38"/>
      <c r="HSU109" s="38"/>
      <c r="HTA109" s="36"/>
      <c r="HTB109" s="38"/>
      <c r="HTC109" s="38"/>
      <c r="HTI109" s="36"/>
      <c r="HTJ109" s="38"/>
      <c r="HTK109" s="38"/>
      <c r="HTQ109" s="36"/>
      <c r="HTR109" s="38"/>
      <c r="HTS109" s="38"/>
      <c r="HTY109" s="36"/>
      <c r="HTZ109" s="38"/>
      <c r="HUA109" s="38"/>
      <c r="HUG109" s="36"/>
      <c r="HUH109" s="38"/>
      <c r="HUI109" s="38"/>
      <c r="HUO109" s="36"/>
      <c r="HUP109" s="38"/>
      <c r="HUQ109" s="38"/>
      <c r="HUW109" s="36"/>
      <c r="HUX109" s="38"/>
      <c r="HUY109" s="38"/>
      <c r="HVE109" s="36"/>
      <c r="HVF109" s="38"/>
      <c r="HVG109" s="38"/>
      <c r="HVM109" s="36"/>
      <c r="HVN109" s="38"/>
      <c r="HVO109" s="38"/>
      <c r="HVU109" s="36"/>
      <c r="HVV109" s="38"/>
      <c r="HVW109" s="38"/>
      <c r="HWC109" s="36"/>
      <c r="HWD109" s="38"/>
      <c r="HWE109" s="38"/>
      <c r="HWK109" s="36"/>
      <c r="HWL109" s="38"/>
      <c r="HWM109" s="38"/>
      <c r="HWS109" s="36"/>
      <c r="HWT109" s="38"/>
      <c r="HWU109" s="38"/>
      <c r="HXA109" s="36"/>
      <c r="HXB109" s="38"/>
      <c r="HXC109" s="38"/>
      <c r="HXI109" s="36"/>
      <c r="HXJ109" s="38"/>
      <c r="HXK109" s="38"/>
      <c r="HXQ109" s="36"/>
      <c r="HXR109" s="38"/>
      <c r="HXS109" s="38"/>
      <c r="HXY109" s="36"/>
      <c r="HXZ109" s="38"/>
      <c r="HYA109" s="38"/>
      <c r="HYG109" s="36"/>
      <c r="HYH109" s="38"/>
      <c r="HYI109" s="38"/>
      <c r="HYO109" s="36"/>
      <c r="HYP109" s="38"/>
      <c r="HYQ109" s="38"/>
      <c r="HYW109" s="36"/>
      <c r="HYX109" s="38"/>
      <c r="HYY109" s="38"/>
      <c r="HZE109" s="36"/>
      <c r="HZF109" s="38"/>
      <c r="HZG109" s="38"/>
      <c r="HZM109" s="36"/>
      <c r="HZN109" s="38"/>
      <c r="HZO109" s="38"/>
      <c r="HZU109" s="36"/>
      <c r="HZV109" s="38"/>
      <c r="HZW109" s="38"/>
      <c r="IAC109" s="36"/>
      <c r="IAD109" s="38"/>
      <c r="IAE109" s="38"/>
      <c r="IAK109" s="36"/>
      <c r="IAL109" s="38"/>
      <c r="IAM109" s="38"/>
      <c r="IAS109" s="36"/>
      <c r="IAT109" s="38"/>
      <c r="IAU109" s="38"/>
      <c r="IBA109" s="36"/>
      <c r="IBB109" s="38"/>
      <c r="IBC109" s="38"/>
      <c r="IBI109" s="36"/>
      <c r="IBJ109" s="38"/>
      <c r="IBK109" s="38"/>
      <c r="IBQ109" s="36"/>
      <c r="IBR109" s="38"/>
      <c r="IBS109" s="38"/>
      <c r="IBY109" s="36"/>
      <c r="IBZ109" s="38"/>
      <c r="ICA109" s="38"/>
      <c r="ICG109" s="36"/>
      <c r="ICH109" s="38"/>
      <c r="ICI109" s="38"/>
      <c r="ICO109" s="36"/>
      <c r="ICP109" s="38"/>
      <c r="ICQ109" s="38"/>
      <c r="ICW109" s="36"/>
      <c r="ICX109" s="38"/>
      <c r="ICY109" s="38"/>
      <c r="IDE109" s="36"/>
      <c r="IDF109" s="38"/>
      <c r="IDG109" s="38"/>
      <c r="IDM109" s="36"/>
      <c r="IDN109" s="38"/>
      <c r="IDO109" s="38"/>
      <c r="IDU109" s="36"/>
      <c r="IDV109" s="38"/>
      <c r="IDW109" s="38"/>
      <c r="IEC109" s="36"/>
      <c r="IED109" s="38"/>
      <c r="IEE109" s="38"/>
      <c r="IEK109" s="36"/>
      <c r="IEL109" s="38"/>
      <c r="IEM109" s="38"/>
      <c r="IES109" s="36"/>
      <c r="IET109" s="38"/>
      <c r="IEU109" s="38"/>
      <c r="IFA109" s="36"/>
      <c r="IFB109" s="38"/>
      <c r="IFC109" s="38"/>
      <c r="IFI109" s="36"/>
      <c r="IFJ109" s="38"/>
      <c r="IFK109" s="38"/>
      <c r="IFQ109" s="36"/>
      <c r="IFR109" s="38"/>
      <c r="IFS109" s="38"/>
      <c r="IFY109" s="36"/>
      <c r="IFZ109" s="38"/>
      <c r="IGA109" s="38"/>
      <c r="IGG109" s="36"/>
      <c r="IGH109" s="38"/>
      <c r="IGI109" s="38"/>
      <c r="IGO109" s="36"/>
      <c r="IGP109" s="38"/>
      <c r="IGQ109" s="38"/>
      <c r="IGW109" s="36"/>
      <c r="IGX109" s="38"/>
      <c r="IGY109" s="38"/>
      <c r="IHE109" s="36"/>
      <c r="IHF109" s="38"/>
      <c r="IHG109" s="38"/>
      <c r="IHM109" s="36"/>
      <c r="IHN109" s="38"/>
      <c r="IHO109" s="38"/>
      <c r="IHU109" s="36"/>
      <c r="IHV109" s="38"/>
      <c r="IHW109" s="38"/>
      <c r="IIC109" s="36"/>
      <c r="IID109" s="38"/>
      <c r="IIE109" s="38"/>
      <c r="IIK109" s="36"/>
      <c r="IIL109" s="38"/>
      <c r="IIM109" s="38"/>
      <c r="IIS109" s="36"/>
      <c r="IIT109" s="38"/>
      <c r="IIU109" s="38"/>
      <c r="IJA109" s="36"/>
      <c r="IJB109" s="38"/>
      <c r="IJC109" s="38"/>
      <c r="IJI109" s="36"/>
      <c r="IJJ109" s="38"/>
      <c r="IJK109" s="38"/>
      <c r="IJQ109" s="36"/>
      <c r="IJR109" s="38"/>
      <c r="IJS109" s="38"/>
      <c r="IJY109" s="36"/>
      <c r="IJZ109" s="38"/>
      <c r="IKA109" s="38"/>
      <c r="IKG109" s="36"/>
      <c r="IKH109" s="38"/>
      <c r="IKI109" s="38"/>
      <c r="IKO109" s="36"/>
      <c r="IKP109" s="38"/>
      <c r="IKQ109" s="38"/>
      <c r="IKW109" s="36"/>
      <c r="IKX109" s="38"/>
      <c r="IKY109" s="38"/>
      <c r="ILE109" s="36"/>
      <c r="ILF109" s="38"/>
      <c r="ILG109" s="38"/>
      <c r="ILM109" s="36"/>
      <c r="ILN109" s="38"/>
      <c r="ILO109" s="38"/>
      <c r="ILU109" s="36"/>
      <c r="ILV109" s="38"/>
      <c r="ILW109" s="38"/>
      <c r="IMC109" s="36"/>
      <c r="IMD109" s="38"/>
      <c r="IME109" s="38"/>
      <c r="IMK109" s="36"/>
      <c r="IML109" s="38"/>
      <c r="IMM109" s="38"/>
      <c r="IMS109" s="36"/>
      <c r="IMT109" s="38"/>
      <c r="IMU109" s="38"/>
      <c r="INA109" s="36"/>
      <c r="INB109" s="38"/>
      <c r="INC109" s="38"/>
      <c r="INI109" s="36"/>
      <c r="INJ109" s="38"/>
      <c r="INK109" s="38"/>
      <c r="INQ109" s="36"/>
      <c r="INR109" s="38"/>
      <c r="INS109" s="38"/>
      <c r="INY109" s="36"/>
      <c r="INZ109" s="38"/>
      <c r="IOA109" s="38"/>
      <c r="IOG109" s="36"/>
      <c r="IOH109" s="38"/>
      <c r="IOI109" s="38"/>
      <c r="IOO109" s="36"/>
      <c r="IOP109" s="38"/>
      <c r="IOQ109" s="38"/>
      <c r="IOW109" s="36"/>
      <c r="IOX109" s="38"/>
      <c r="IOY109" s="38"/>
      <c r="IPE109" s="36"/>
      <c r="IPF109" s="38"/>
      <c r="IPG109" s="38"/>
      <c r="IPM109" s="36"/>
      <c r="IPN109" s="38"/>
      <c r="IPO109" s="38"/>
      <c r="IPU109" s="36"/>
      <c r="IPV109" s="38"/>
      <c r="IPW109" s="38"/>
      <c r="IQC109" s="36"/>
      <c r="IQD109" s="38"/>
      <c r="IQE109" s="38"/>
      <c r="IQK109" s="36"/>
      <c r="IQL109" s="38"/>
      <c r="IQM109" s="38"/>
      <c r="IQS109" s="36"/>
      <c r="IQT109" s="38"/>
      <c r="IQU109" s="38"/>
      <c r="IRA109" s="36"/>
      <c r="IRB109" s="38"/>
      <c r="IRC109" s="38"/>
      <c r="IRI109" s="36"/>
      <c r="IRJ109" s="38"/>
      <c r="IRK109" s="38"/>
      <c r="IRQ109" s="36"/>
      <c r="IRR109" s="38"/>
      <c r="IRS109" s="38"/>
      <c r="IRY109" s="36"/>
      <c r="IRZ109" s="38"/>
      <c r="ISA109" s="38"/>
      <c r="ISG109" s="36"/>
      <c r="ISH109" s="38"/>
      <c r="ISI109" s="38"/>
      <c r="ISO109" s="36"/>
      <c r="ISP109" s="38"/>
      <c r="ISQ109" s="38"/>
      <c r="ISW109" s="36"/>
      <c r="ISX109" s="38"/>
      <c r="ISY109" s="38"/>
      <c r="ITE109" s="36"/>
      <c r="ITF109" s="38"/>
      <c r="ITG109" s="38"/>
      <c r="ITM109" s="36"/>
      <c r="ITN109" s="38"/>
      <c r="ITO109" s="38"/>
      <c r="ITU109" s="36"/>
      <c r="ITV109" s="38"/>
      <c r="ITW109" s="38"/>
      <c r="IUC109" s="36"/>
      <c r="IUD109" s="38"/>
      <c r="IUE109" s="38"/>
      <c r="IUK109" s="36"/>
      <c r="IUL109" s="38"/>
      <c r="IUM109" s="38"/>
      <c r="IUS109" s="36"/>
      <c r="IUT109" s="38"/>
      <c r="IUU109" s="38"/>
      <c r="IVA109" s="36"/>
      <c r="IVB109" s="38"/>
      <c r="IVC109" s="38"/>
      <c r="IVI109" s="36"/>
      <c r="IVJ109" s="38"/>
      <c r="IVK109" s="38"/>
      <c r="IVQ109" s="36"/>
      <c r="IVR109" s="38"/>
      <c r="IVS109" s="38"/>
      <c r="IVY109" s="36"/>
      <c r="IVZ109" s="38"/>
      <c r="IWA109" s="38"/>
      <c r="IWG109" s="36"/>
      <c r="IWH109" s="38"/>
      <c r="IWI109" s="38"/>
      <c r="IWO109" s="36"/>
      <c r="IWP109" s="38"/>
      <c r="IWQ109" s="38"/>
      <c r="IWW109" s="36"/>
      <c r="IWX109" s="38"/>
      <c r="IWY109" s="38"/>
      <c r="IXE109" s="36"/>
      <c r="IXF109" s="38"/>
      <c r="IXG109" s="38"/>
      <c r="IXM109" s="36"/>
      <c r="IXN109" s="38"/>
      <c r="IXO109" s="38"/>
      <c r="IXU109" s="36"/>
      <c r="IXV109" s="38"/>
      <c r="IXW109" s="38"/>
      <c r="IYC109" s="36"/>
      <c r="IYD109" s="38"/>
      <c r="IYE109" s="38"/>
      <c r="IYK109" s="36"/>
      <c r="IYL109" s="38"/>
      <c r="IYM109" s="38"/>
      <c r="IYS109" s="36"/>
      <c r="IYT109" s="38"/>
      <c r="IYU109" s="38"/>
      <c r="IZA109" s="36"/>
      <c r="IZB109" s="38"/>
      <c r="IZC109" s="38"/>
      <c r="IZI109" s="36"/>
      <c r="IZJ109" s="38"/>
      <c r="IZK109" s="38"/>
      <c r="IZQ109" s="36"/>
      <c r="IZR109" s="38"/>
      <c r="IZS109" s="38"/>
      <c r="IZY109" s="36"/>
      <c r="IZZ109" s="38"/>
      <c r="JAA109" s="38"/>
      <c r="JAG109" s="36"/>
      <c r="JAH109" s="38"/>
      <c r="JAI109" s="38"/>
      <c r="JAO109" s="36"/>
      <c r="JAP109" s="38"/>
      <c r="JAQ109" s="38"/>
      <c r="JAW109" s="36"/>
      <c r="JAX109" s="38"/>
      <c r="JAY109" s="38"/>
      <c r="JBE109" s="36"/>
      <c r="JBF109" s="38"/>
      <c r="JBG109" s="38"/>
      <c r="JBM109" s="36"/>
      <c r="JBN109" s="38"/>
      <c r="JBO109" s="38"/>
      <c r="JBU109" s="36"/>
      <c r="JBV109" s="38"/>
      <c r="JBW109" s="38"/>
      <c r="JCC109" s="36"/>
      <c r="JCD109" s="38"/>
      <c r="JCE109" s="38"/>
      <c r="JCK109" s="36"/>
      <c r="JCL109" s="38"/>
      <c r="JCM109" s="38"/>
      <c r="JCS109" s="36"/>
      <c r="JCT109" s="38"/>
      <c r="JCU109" s="38"/>
      <c r="JDA109" s="36"/>
      <c r="JDB109" s="38"/>
      <c r="JDC109" s="38"/>
      <c r="JDI109" s="36"/>
      <c r="JDJ109" s="38"/>
      <c r="JDK109" s="38"/>
      <c r="JDQ109" s="36"/>
      <c r="JDR109" s="38"/>
      <c r="JDS109" s="38"/>
      <c r="JDY109" s="36"/>
      <c r="JDZ109" s="38"/>
      <c r="JEA109" s="38"/>
      <c r="JEG109" s="36"/>
      <c r="JEH109" s="38"/>
      <c r="JEI109" s="38"/>
      <c r="JEO109" s="36"/>
      <c r="JEP109" s="38"/>
      <c r="JEQ109" s="38"/>
      <c r="JEW109" s="36"/>
      <c r="JEX109" s="38"/>
      <c r="JEY109" s="38"/>
      <c r="JFE109" s="36"/>
      <c r="JFF109" s="38"/>
      <c r="JFG109" s="38"/>
      <c r="JFM109" s="36"/>
      <c r="JFN109" s="38"/>
      <c r="JFO109" s="38"/>
      <c r="JFU109" s="36"/>
      <c r="JFV109" s="38"/>
      <c r="JFW109" s="38"/>
      <c r="JGC109" s="36"/>
      <c r="JGD109" s="38"/>
      <c r="JGE109" s="38"/>
      <c r="JGK109" s="36"/>
      <c r="JGL109" s="38"/>
      <c r="JGM109" s="38"/>
      <c r="JGS109" s="36"/>
      <c r="JGT109" s="38"/>
      <c r="JGU109" s="38"/>
      <c r="JHA109" s="36"/>
      <c r="JHB109" s="38"/>
      <c r="JHC109" s="38"/>
      <c r="JHI109" s="36"/>
      <c r="JHJ109" s="38"/>
      <c r="JHK109" s="38"/>
      <c r="JHQ109" s="36"/>
      <c r="JHR109" s="38"/>
      <c r="JHS109" s="38"/>
      <c r="JHY109" s="36"/>
      <c r="JHZ109" s="38"/>
      <c r="JIA109" s="38"/>
      <c r="JIG109" s="36"/>
      <c r="JIH109" s="38"/>
      <c r="JII109" s="38"/>
      <c r="JIO109" s="36"/>
      <c r="JIP109" s="38"/>
      <c r="JIQ109" s="38"/>
      <c r="JIW109" s="36"/>
      <c r="JIX109" s="38"/>
      <c r="JIY109" s="38"/>
      <c r="JJE109" s="36"/>
      <c r="JJF109" s="38"/>
      <c r="JJG109" s="38"/>
      <c r="JJM109" s="36"/>
      <c r="JJN109" s="38"/>
      <c r="JJO109" s="38"/>
      <c r="JJU109" s="36"/>
      <c r="JJV109" s="38"/>
      <c r="JJW109" s="38"/>
      <c r="JKC109" s="36"/>
      <c r="JKD109" s="38"/>
      <c r="JKE109" s="38"/>
      <c r="JKK109" s="36"/>
      <c r="JKL109" s="38"/>
      <c r="JKM109" s="38"/>
      <c r="JKS109" s="36"/>
      <c r="JKT109" s="38"/>
      <c r="JKU109" s="38"/>
      <c r="JLA109" s="36"/>
      <c r="JLB109" s="38"/>
      <c r="JLC109" s="38"/>
      <c r="JLI109" s="36"/>
      <c r="JLJ109" s="38"/>
      <c r="JLK109" s="38"/>
      <c r="JLQ109" s="36"/>
      <c r="JLR109" s="38"/>
      <c r="JLS109" s="38"/>
      <c r="JLY109" s="36"/>
      <c r="JLZ109" s="38"/>
      <c r="JMA109" s="38"/>
      <c r="JMG109" s="36"/>
      <c r="JMH109" s="38"/>
      <c r="JMI109" s="38"/>
      <c r="JMO109" s="36"/>
      <c r="JMP109" s="38"/>
      <c r="JMQ109" s="38"/>
      <c r="JMW109" s="36"/>
      <c r="JMX109" s="38"/>
      <c r="JMY109" s="38"/>
      <c r="JNE109" s="36"/>
      <c r="JNF109" s="38"/>
      <c r="JNG109" s="38"/>
      <c r="JNM109" s="36"/>
      <c r="JNN109" s="38"/>
      <c r="JNO109" s="38"/>
      <c r="JNU109" s="36"/>
      <c r="JNV109" s="38"/>
      <c r="JNW109" s="38"/>
      <c r="JOC109" s="36"/>
      <c r="JOD109" s="38"/>
      <c r="JOE109" s="38"/>
      <c r="JOK109" s="36"/>
      <c r="JOL109" s="38"/>
      <c r="JOM109" s="38"/>
      <c r="JOS109" s="36"/>
      <c r="JOT109" s="38"/>
      <c r="JOU109" s="38"/>
      <c r="JPA109" s="36"/>
      <c r="JPB109" s="38"/>
      <c r="JPC109" s="38"/>
      <c r="JPI109" s="36"/>
      <c r="JPJ109" s="38"/>
      <c r="JPK109" s="38"/>
      <c r="JPQ109" s="36"/>
      <c r="JPR109" s="38"/>
      <c r="JPS109" s="38"/>
      <c r="JPY109" s="36"/>
      <c r="JPZ109" s="38"/>
      <c r="JQA109" s="38"/>
      <c r="JQG109" s="36"/>
      <c r="JQH109" s="38"/>
      <c r="JQI109" s="38"/>
      <c r="JQO109" s="36"/>
      <c r="JQP109" s="38"/>
      <c r="JQQ109" s="38"/>
      <c r="JQW109" s="36"/>
      <c r="JQX109" s="38"/>
      <c r="JQY109" s="38"/>
      <c r="JRE109" s="36"/>
      <c r="JRF109" s="38"/>
      <c r="JRG109" s="38"/>
      <c r="JRM109" s="36"/>
      <c r="JRN109" s="38"/>
      <c r="JRO109" s="38"/>
      <c r="JRU109" s="36"/>
      <c r="JRV109" s="38"/>
      <c r="JRW109" s="38"/>
      <c r="JSC109" s="36"/>
      <c r="JSD109" s="38"/>
      <c r="JSE109" s="38"/>
      <c r="JSK109" s="36"/>
      <c r="JSL109" s="38"/>
      <c r="JSM109" s="38"/>
      <c r="JSS109" s="36"/>
      <c r="JST109" s="38"/>
      <c r="JSU109" s="38"/>
      <c r="JTA109" s="36"/>
      <c r="JTB109" s="38"/>
      <c r="JTC109" s="38"/>
      <c r="JTI109" s="36"/>
      <c r="JTJ109" s="38"/>
      <c r="JTK109" s="38"/>
      <c r="JTQ109" s="36"/>
      <c r="JTR109" s="38"/>
      <c r="JTS109" s="38"/>
      <c r="JTY109" s="36"/>
      <c r="JTZ109" s="38"/>
      <c r="JUA109" s="38"/>
      <c r="JUG109" s="36"/>
      <c r="JUH109" s="38"/>
      <c r="JUI109" s="38"/>
      <c r="JUO109" s="36"/>
      <c r="JUP109" s="38"/>
      <c r="JUQ109" s="38"/>
      <c r="JUW109" s="36"/>
      <c r="JUX109" s="38"/>
      <c r="JUY109" s="38"/>
      <c r="JVE109" s="36"/>
      <c r="JVF109" s="38"/>
      <c r="JVG109" s="38"/>
      <c r="JVM109" s="36"/>
      <c r="JVN109" s="38"/>
      <c r="JVO109" s="38"/>
      <c r="JVU109" s="36"/>
      <c r="JVV109" s="38"/>
      <c r="JVW109" s="38"/>
      <c r="JWC109" s="36"/>
      <c r="JWD109" s="38"/>
      <c r="JWE109" s="38"/>
      <c r="JWK109" s="36"/>
      <c r="JWL109" s="38"/>
      <c r="JWM109" s="38"/>
      <c r="JWS109" s="36"/>
      <c r="JWT109" s="38"/>
      <c r="JWU109" s="38"/>
      <c r="JXA109" s="36"/>
      <c r="JXB109" s="38"/>
      <c r="JXC109" s="38"/>
      <c r="JXI109" s="36"/>
      <c r="JXJ109" s="38"/>
      <c r="JXK109" s="38"/>
      <c r="JXQ109" s="36"/>
      <c r="JXR109" s="38"/>
      <c r="JXS109" s="38"/>
      <c r="JXY109" s="36"/>
      <c r="JXZ109" s="38"/>
      <c r="JYA109" s="38"/>
      <c r="JYG109" s="36"/>
      <c r="JYH109" s="38"/>
      <c r="JYI109" s="38"/>
      <c r="JYO109" s="36"/>
      <c r="JYP109" s="38"/>
      <c r="JYQ109" s="38"/>
      <c r="JYW109" s="36"/>
      <c r="JYX109" s="38"/>
      <c r="JYY109" s="38"/>
      <c r="JZE109" s="36"/>
      <c r="JZF109" s="38"/>
      <c r="JZG109" s="38"/>
      <c r="JZM109" s="36"/>
      <c r="JZN109" s="38"/>
      <c r="JZO109" s="38"/>
      <c r="JZU109" s="36"/>
      <c r="JZV109" s="38"/>
      <c r="JZW109" s="38"/>
      <c r="KAC109" s="36"/>
      <c r="KAD109" s="38"/>
      <c r="KAE109" s="38"/>
      <c r="KAK109" s="36"/>
      <c r="KAL109" s="38"/>
      <c r="KAM109" s="38"/>
      <c r="KAS109" s="36"/>
      <c r="KAT109" s="38"/>
      <c r="KAU109" s="38"/>
      <c r="KBA109" s="36"/>
      <c r="KBB109" s="38"/>
      <c r="KBC109" s="38"/>
      <c r="KBI109" s="36"/>
      <c r="KBJ109" s="38"/>
      <c r="KBK109" s="38"/>
      <c r="KBQ109" s="36"/>
      <c r="KBR109" s="38"/>
      <c r="KBS109" s="38"/>
      <c r="KBY109" s="36"/>
      <c r="KBZ109" s="38"/>
      <c r="KCA109" s="38"/>
      <c r="KCG109" s="36"/>
      <c r="KCH109" s="38"/>
      <c r="KCI109" s="38"/>
      <c r="KCO109" s="36"/>
      <c r="KCP109" s="38"/>
      <c r="KCQ109" s="38"/>
      <c r="KCW109" s="36"/>
      <c r="KCX109" s="38"/>
      <c r="KCY109" s="38"/>
      <c r="KDE109" s="36"/>
      <c r="KDF109" s="38"/>
      <c r="KDG109" s="38"/>
      <c r="KDM109" s="36"/>
      <c r="KDN109" s="38"/>
      <c r="KDO109" s="38"/>
      <c r="KDU109" s="36"/>
      <c r="KDV109" s="38"/>
      <c r="KDW109" s="38"/>
      <c r="KEC109" s="36"/>
      <c r="KED109" s="38"/>
      <c r="KEE109" s="38"/>
      <c r="KEK109" s="36"/>
      <c r="KEL109" s="38"/>
      <c r="KEM109" s="38"/>
      <c r="KES109" s="36"/>
      <c r="KET109" s="38"/>
      <c r="KEU109" s="38"/>
      <c r="KFA109" s="36"/>
      <c r="KFB109" s="38"/>
      <c r="KFC109" s="38"/>
      <c r="KFI109" s="36"/>
      <c r="KFJ109" s="38"/>
      <c r="KFK109" s="38"/>
      <c r="KFQ109" s="36"/>
      <c r="KFR109" s="38"/>
      <c r="KFS109" s="38"/>
      <c r="KFY109" s="36"/>
      <c r="KFZ109" s="38"/>
      <c r="KGA109" s="38"/>
      <c r="KGG109" s="36"/>
      <c r="KGH109" s="38"/>
      <c r="KGI109" s="38"/>
      <c r="KGO109" s="36"/>
      <c r="KGP109" s="38"/>
      <c r="KGQ109" s="38"/>
      <c r="KGW109" s="36"/>
      <c r="KGX109" s="38"/>
      <c r="KGY109" s="38"/>
      <c r="KHE109" s="36"/>
      <c r="KHF109" s="38"/>
      <c r="KHG109" s="38"/>
      <c r="KHM109" s="36"/>
      <c r="KHN109" s="38"/>
      <c r="KHO109" s="38"/>
      <c r="KHU109" s="36"/>
      <c r="KHV109" s="38"/>
      <c r="KHW109" s="38"/>
      <c r="KIC109" s="36"/>
      <c r="KID109" s="38"/>
      <c r="KIE109" s="38"/>
      <c r="KIK109" s="36"/>
      <c r="KIL109" s="38"/>
      <c r="KIM109" s="38"/>
      <c r="KIS109" s="36"/>
      <c r="KIT109" s="38"/>
      <c r="KIU109" s="38"/>
      <c r="KJA109" s="36"/>
      <c r="KJB109" s="38"/>
      <c r="KJC109" s="38"/>
      <c r="KJI109" s="36"/>
      <c r="KJJ109" s="38"/>
      <c r="KJK109" s="38"/>
      <c r="KJQ109" s="36"/>
      <c r="KJR109" s="38"/>
      <c r="KJS109" s="38"/>
      <c r="KJY109" s="36"/>
      <c r="KJZ109" s="38"/>
      <c r="KKA109" s="38"/>
      <c r="KKG109" s="36"/>
      <c r="KKH109" s="38"/>
      <c r="KKI109" s="38"/>
      <c r="KKO109" s="36"/>
      <c r="KKP109" s="38"/>
      <c r="KKQ109" s="38"/>
      <c r="KKW109" s="36"/>
      <c r="KKX109" s="38"/>
      <c r="KKY109" s="38"/>
      <c r="KLE109" s="36"/>
      <c r="KLF109" s="38"/>
      <c r="KLG109" s="38"/>
      <c r="KLM109" s="36"/>
      <c r="KLN109" s="38"/>
      <c r="KLO109" s="38"/>
      <c r="KLU109" s="36"/>
      <c r="KLV109" s="38"/>
      <c r="KLW109" s="38"/>
      <c r="KMC109" s="36"/>
      <c r="KMD109" s="38"/>
      <c r="KME109" s="38"/>
      <c r="KMK109" s="36"/>
      <c r="KML109" s="38"/>
      <c r="KMM109" s="38"/>
      <c r="KMS109" s="36"/>
      <c r="KMT109" s="38"/>
      <c r="KMU109" s="38"/>
      <c r="KNA109" s="36"/>
      <c r="KNB109" s="38"/>
      <c r="KNC109" s="38"/>
      <c r="KNI109" s="36"/>
      <c r="KNJ109" s="38"/>
      <c r="KNK109" s="38"/>
      <c r="KNQ109" s="36"/>
      <c r="KNR109" s="38"/>
      <c r="KNS109" s="38"/>
      <c r="KNY109" s="36"/>
      <c r="KNZ109" s="38"/>
      <c r="KOA109" s="38"/>
      <c r="KOG109" s="36"/>
      <c r="KOH109" s="38"/>
      <c r="KOI109" s="38"/>
      <c r="KOO109" s="36"/>
      <c r="KOP109" s="38"/>
      <c r="KOQ109" s="38"/>
      <c r="KOW109" s="36"/>
      <c r="KOX109" s="38"/>
      <c r="KOY109" s="38"/>
      <c r="KPE109" s="36"/>
      <c r="KPF109" s="38"/>
      <c r="KPG109" s="38"/>
      <c r="KPM109" s="36"/>
      <c r="KPN109" s="38"/>
      <c r="KPO109" s="38"/>
      <c r="KPU109" s="36"/>
      <c r="KPV109" s="38"/>
      <c r="KPW109" s="38"/>
      <c r="KQC109" s="36"/>
      <c r="KQD109" s="38"/>
      <c r="KQE109" s="38"/>
      <c r="KQK109" s="36"/>
      <c r="KQL109" s="38"/>
      <c r="KQM109" s="38"/>
      <c r="KQS109" s="36"/>
      <c r="KQT109" s="38"/>
      <c r="KQU109" s="38"/>
      <c r="KRA109" s="36"/>
      <c r="KRB109" s="38"/>
      <c r="KRC109" s="38"/>
      <c r="KRI109" s="36"/>
      <c r="KRJ109" s="38"/>
      <c r="KRK109" s="38"/>
      <c r="KRQ109" s="36"/>
      <c r="KRR109" s="38"/>
      <c r="KRS109" s="38"/>
      <c r="KRY109" s="36"/>
      <c r="KRZ109" s="38"/>
      <c r="KSA109" s="38"/>
      <c r="KSG109" s="36"/>
      <c r="KSH109" s="38"/>
      <c r="KSI109" s="38"/>
      <c r="KSO109" s="36"/>
      <c r="KSP109" s="38"/>
      <c r="KSQ109" s="38"/>
      <c r="KSW109" s="36"/>
      <c r="KSX109" s="38"/>
      <c r="KSY109" s="38"/>
      <c r="KTE109" s="36"/>
      <c r="KTF109" s="38"/>
      <c r="KTG109" s="38"/>
      <c r="KTM109" s="36"/>
      <c r="KTN109" s="38"/>
      <c r="KTO109" s="38"/>
      <c r="KTU109" s="36"/>
      <c r="KTV109" s="38"/>
      <c r="KTW109" s="38"/>
      <c r="KUC109" s="36"/>
      <c r="KUD109" s="38"/>
      <c r="KUE109" s="38"/>
      <c r="KUK109" s="36"/>
      <c r="KUL109" s="38"/>
      <c r="KUM109" s="38"/>
      <c r="KUS109" s="36"/>
      <c r="KUT109" s="38"/>
      <c r="KUU109" s="38"/>
      <c r="KVA109" s="36"/>
      <c r="KVB109" s="38"/>
      <c r="KVC109" s="38"/>
      <c r="KVI109" s="36"/>
      <c r="KVJ109" s="38"/>
      <c r="KVK109" s="38"/>
      <c r="KVQ109" s="36"/>
      <c r="KVR109" s="38"/>
      <c r="KVS109" s="38"/>
      <c r="KVY109" s="36"/>
      <c r="KVZ109" s="38"/>
      <c r="KWA109" s="38"/>
      <c r="KWG109" s="36"/>
      <c r="KWH109" s="38"/>
      <c r="KWI109" s="38"/>
      <c r="KWO109" s="36"/>
      <c r="KWP109" s="38"/>
      <c r="KWQ109" s="38"/>
      <c r="KWW109" s="36"/>
      <c r="KWX109" s="38"/>
      <c r="KWY109" s="38"/>
      <c r="KXE109" s="36"/>
      <c r="KXF109" s="38"/>
      <c r="KXG109" s="38"/>
      <c r="KXM109" s="36"/>
      <c r="KXN109" s="38"/>
      <c r="KXO109" s="38"/>
      <c r="KXU109" s="36"/>
      <c r="KXV109" s="38"/>
      <c r="KXW109" s="38"/>
      <c r="KYC109" s="36"/>
      <c r="KYD109" s="38"/>
      <c r="KYE109" s="38"/>
      <c r="KYK109" s="36"/>
      <c r="KYL109" s="38"/>
      <c r="KYM109" s="38"/>
      <c r="KYS109" s="36"/>
      <c r="KYT109" s="38"/>
      <c r="KYU109" s="38"/>
      <c r="KZA109" s="36"/>
      <c r="KZB109" s="38"/>
      <c r="KZC109" s="38"/>
      <c r="KZI109" s="36"/>
      <c r="KZJ109" s="38"/>
      <c r="KZK109" s="38"/>
      <c r="KZQ109" s="36"/>
      <c r="KZR109" s="38"/>
      <c r="KZS109" s="38"/>
      <c r="KZY109" s="36"/>
      <c r="KZZ109" s="38"/>
      <c r="LAA109" s="38"/>
      <c r="LAG109" s="36"/>
      <c r="LAH109" s="38"/>
      <c r="LAI109" s="38"/>
      <c r="LAO109" s="36"/>
      <c r="LAP109" s="38"/>
      <c r="LAQ109" s="38"/>
      <c r="LAW109" s="36"/>
      <c r="LAX109" s="38"/>
      <c r="LAY109" s="38"/>
      <c r="LBE109" s="36"/>
      <c r="LBF109" s="38"/>
      <c r="LBG109" s="38"/>
      <c r="LBM109" s="36"/>
      <c r="LBN109" s="38"/>
      <c r="LBO109" s="38"/>
      <c r="LBU109" s="36"/>
      <c r="LBV109" s="38"/>
      <c r="LBW109" s="38"/>
      <c r="LCC109" s="36"/>
      <c r="LCD109" s="38"/>
      <c r="LCE109" s="38"/>
      <c r="LCK109" s="36"/>
      <c r="LCL109" s="38"/>
      <c r="LCM109" s="38"/>
      <c r="LCS109" s="36"/>
      <c r="LCT109" s="38"/>
      <c r="LCU109" s="38"/>
      <c r="LDA109" s="36"/>
      <c r="LDB109" s="38"/>
      <c r="LDC109" s="38"/>
      <c r="LDI109" s="36"/>
      <c r="LDJ109" s="38"/>
      <c r="LDK109" s="38"/>
      <c r="LDQ109" s="36"/>
      <c r="LDR109" s="38"/>
      <c r="LDS109" s="38"/>
      <c r="LDY109" s="36"/>
      <c r="LDZ109" s="38"/>
      <c r="LEA109" s="38"/>
      <c r="LEG109" s="36"/>
      <c r="LEH109" s="38"/>
      <c r="LEI109" s="38"/>
      <c r="LEO109" s="36"/>
      <c r="LEP109" s="38"/>
      <c r="LEQ109" s="38"/>
      <c r="LEW109" s="36"/>
      <c r="LEX109" s="38"/>
      <c r="LEY109" s="38"/>
      <c r="LFE109" s="36"/>
      <c r="LFF109" s="38"/>
      <c r="LFG109" s="38"/>
      <c r="LFM109" s="36"/>
      <c r="LFN109" s="38"/>
      <c r="LFO109" s="38"/>
      <c r="LFU109" s="36"/>
      <c r="LFV109" s="38"/>
      <c r="LFW109" s="38"/>
      <c r="LGC109" s="36"/>
      <c r="LGD109" s="38"/>
      <c r="LGE109" s="38"/>
      <c r="LGK109" s="36"/>
      <c r="LGL109" s="38"/>
      <c r="LGM109" s="38"/>
      <c r="LGS109" s="36"/>
      <c r="LGT109" s="38"/>
      <c r="LGU109" s="38"/>
      <c r="LHA109" s="36"/>
      <c r="LHB109" s="38"/>
      <c r="LHC109" s="38"/>
      <c r="LHI109" s="36"/>
      <c r="LHJ109" s="38"/>
      <c r="LHK109" s="38"/>
      <c r="LHQ109" s="36"/>
      <c r="LHR109" s="38"/>
      <c r="LHS109" s="38"/>
      <c r="LHY109" s="36"/>
      <c r="LHZ109" s="38"/>
      <c r="LIA109" s="38"/>
      <c r="LIG109" s="36"/>
      <c r="LIH109" s="38"/>
      <c r="LII109" s="38"/>
      <c r="LIO109" s="36"/>
      <c r="LIP109" s="38"/>
      <c r="LIQ109" s="38"/>
      <c r="LIW109" s="36"/>
      <c r="LIX109" s="38"/>
      <c r="LIY109" s="38"/>
      <c r="LJE109" s="36"/>
      <c r="LJF109" s="38"/>
      <c r="LJG109" s="38"/>
      <c r="LJM109" s="36"/>
      <c r="LJN109" s="38"/>
      <c r="LJO109" s="38"/>
      <c r="LJU109" s="36"/>
      <c r="LJV109" s="38"/>
      <c r="LJW109" s="38"/>
      <c r="LKC109" s="36"/>
      <c r="LKD109" s="38"/>
      <c r="LKE109" s="38"/>
      <c r="LKK109" s="36"/>
      <c r="LKL109" s="38"/>
      <c r="LKM109" s="38"/>
      <c r="LKS109" s="36"/>
      <c r="LKT109" s="38"/>
      <c r="LKU109" s="38"/>
      <c r="LLA109" s="36"/>
      <c r="LLB109" s="38"/>
      <c r="LLC109" s="38"/>
      <c r="LLI109" s="36"/>
      <c r="LLJ109" s="38"/>
      <c r="LLK109" s="38"/>
      <c r="LLQ109" s="36"/>
      <c r="LLR109" s="38"/>
      <c r="LLS109" s="38"/>
      <c r="LLY109" s="36"/>
      <c r="LLZ109" s="38"/>
      <c r="LMA109" s="38"/>
      <c r="LMG109" s="36"/>
      <c r="LMH109" s="38"/>
      <c r="LMI109" s="38"/>
      <c r="LMO109" s="36"/>
      <c r="LMP109" s="38"/>
      <c r="LMQ109" s="38"/>
      <c r="LMW109" s="36"/>
      <c r="LMX109" s="38"/>
      <c r="LMY109" s="38"/>
      <c r="LNE109" s="36"/>
      <c r="LNF109" s="38"/>
      <c r="LNG109" s="38"/>
      <c r="LNM109" s="36"/>
      <c r="LNN109" s="38"/>
      <c r="LNO109" s="38"/>
      <c r="LNU109" s="36"/>
      <c r="LNV109" s="38"/>
      <c r="LNW109" s="38"/>
      <c r="LOC109" s="36"/>
      <c r="LOD109" s="38"/>
      <c r="LOE109" s="38"/>
      <c r="LOK109" s="36"/>
      <c r="LOL109" s="38"/>
      <c r="LOM109" s="38"/>
      <c r="LOS109" s="36"/>
      <c r="LOT109" s="38"/>
      <c r="LOU109" s="38"/>
      <c r="LPA109" s="36"/>
      <c r="LPB109" s="38"/>
      <c r="LPC109" s="38"/>
      <c r="LPI109" s="36"/>
      <c r="LPJ109" s="38"/>
      <c r="LPK109" s="38"/>
      <c r="LPQ109" s="36"/>
      <c r="LPR109" s="38"/>
      <c r="LPS109" s="38"/>
      <c r="LPY109" s="36"/>
      <c r="LPZ109" s="38"/>
      <c r="LQA109" s="38"/>
      <c r="LQG109" s="36"/>
      <c r="LQH109" s="38"/>
      <c r="LQI109" s="38"/>
      <c r="LQO109" s="36"/>
      <c r="LQP109" s="38"/>
      <c r="LQQ109" s="38"/>
      <c r="LQW109" s="36"/>
      <c r="LQX109" s="38"/>
      <c r="LQY109" s="38"/>
      <c r="LRE109" s="36"/>
      <c r="LRF109" s="38"/>
      <c r="LRG109" s="38"/>
      <c r="LRM109" s="36"/>
      <c r="LRN109" s="38"/>
      <c r="LRO109" s="38"/>
      <c r="LRU109" s="36"/>
      <c r="LRV109" s="38"/>
      <c r="LRW109" s="38"/>
      <c r="LSC109" s="36"/>
      <c r="LSD109" s="38"/>
      <c r="LSE109" s="38"/>
      <c r="LSK109" s="36"/>
      <c r="LSL109" s="38"/>
      <c r="LSM109" s="38"/>
      <c r="LSS109" s="36"/>
      <c r="LST109" s="38"/>
      <c r="LSU109" s="38"/>
      <c r="LTA109" s="36"/>
      <c r="LTB109" s="38"/>
      <c r="LTC109" s="38"/>
      <c r="LTI109" s="36"/>
      <c r="LTJ109" s="38"/>
      <c r="LTK109" s="38"/>
      <c r="LTQ109" s="36"/>
      <c r="LTR109" s="38"/>
      <c r="LTS109" s="38"/>
      <c r="LTY109" s="36"/>
      <c r="LTZ109" s="38"/>
      <c r="LUA109" s="38"/>
      <c r="LUG109" s="36"/>
      <c r="LUH109" s="38"/>
      <c r="LUI109" s="38"/>
      <c r="LUO109" s="36"/>
      <c r="LUP109" s="38"/>
      <c r="LUQ109" s="38"/>
      <c r="LUW109" s="36"/>
      <c r="LUX109" s="38"/>
      <c r="LUY109" s="38"/>
      <c r="LVE109" s="36"/>
      <c r="LVF109" s="38"/>
      <c r="LVG109" s="38"/>
      <c r="LVM109" s="36"/>
      <c r="LVN109" s="38"/>
      <c r="LVO109" s="38"/>
      <c r="LVU109" s="36"/>
      <c r="LVV109" s="38"/>
      <c r="LVW109" s="38"/>
      <c r="LWC109" s="36"/>
      <c r="LWD109" s="38"/>
      <c r="LWE109" s="38"/>
      <c r="LWK109" s="36"/>
      <c r="LWL109" s="38"/>
      <c r="LWM109" s="38"/>
      <c r="LWS109" s="36"/>
      <c r="LWT109" s="38"/>
      <c r="LWU109" s="38"/>
      <c r="LXA109" s="36"/>
      <c r="LXB109" s="38"/>
      <c r="LXC109" s="38"/>
      <c r="LXI109" s="36"/>
      <c r="LXJ109" s="38"/>
      <c r="LXK109" s="38"/>
      <c r="LXQ109" s="36"/>
      <c r="LXR109" s="38"/>
      <c r="LXS109" s="38"/>
      <c r="LXY109" s="36"/>
      <c r="LXZ109" s="38"/>
      <c r="LYA109" s="38"/>
      <c r="LYG109" s="36"/>
      <c r="LYH109" s="38"/>
      <c r="LYI109" s="38"/>
      <c r="LYO109" s="36"/>
      <c r="LYP109" s="38"/>
      <c r="LYQ109" s="38"/>
      <c r="LYW109" s="36"/>
      <c r="LYX109" s="38"/>
      <c r="LYY109" s="38"/>
      <c r="LZE109" s="36"/>
      <c r="LZF109" s="38"/>
      <c r="LZG109" s="38"/>
      <c r="LZM109" s="36"/>
      <c r="LZN109" s="38"/>
      <c r="LZO109" s="38"/>
      <c r="LZU109" s="36"/>
      <c r="LZV109" s="38"/>
      <c r="LZW109" s="38"/>
      <c r="MAC109" s="36"/>
      <c r="MAD109" s="38"/>
      <c r="MAE109" s="38"/>
      <c r="MAK109" s="36"/>
      <c r="MAL109" s="38"/>
      <c r="MAM109" s="38"/>
      <c r="MAS109" s="36"/>
      <c r="MAT109" s="38"/>
      <c r="MAU109" s="38"/>
      <c r="MBA109" s="36"/>
      <c r="MBB109" s="38"/>
      <c r="MBC109" s="38"/>
      <c r="MBI109" s="36"/>
      <c r="MBJ109" s="38"/>
      <c r="MBK109" s="38"/>
      <c r="MBQ109" s="36"/>
      <c r="MBR109" s="38"/>
      <c r="MBS109" s="38"/>
      <c r="MBY109" s="36"/>
      <c r="MBZ109" s="38"/>
      <c r="MCA109" s="38"/>
      <c r="MCG109" s="36"/>
      <c r="MCH109" s="38"/>
      <c r="MCI109" s="38"/>
      <c r="MCO109" s="36"/>
      <c r="MCP109" s="38"/>
      <c r="MCQ109" s="38"/>
      <c r="MCW109" s="36"/>
      <c r="MCX109" s="38"/>
      <c r="MCY109" s="38"/>
      <c r="MDE109" s="36"/>
      <c r="MDF109" s="38"/>
      <c r="MDG109" s="38"/>
      <c r="MDM109" s="36"/>
      <c r="MDN109" s="38"/>
      <c r="MDO109" s="38"/>
      <c r="MDU109" s="36"/>
      <c r="MDV109" s="38"/>
      <c r="MDW109" s="38"/>
      <c r="MEC109" s="36"/>
      <c r="MED109" s="38"/>
      <c r="MEE109" s="38"/>
      <c r="MEK109" s="36"/>
      <c r="MEL109" s="38"/>
      <c r="MEM109" s="38"/>
      <c r="MES109" s="36"/>
      <c r="MET109" s="38"/>
      <c r="MEU109" s="38"/>
      <c r="MFA109" s="36"/>
      <c r="MFB109" s="38"/>
      <c r="MFC109" s="38"/>
      <c r="MFI109" s="36"/>
      <c r="MFJ109" s="38"/>
      <c r="MFK109" s="38"/>
      <c r="MFQ109" s="36"/>
      <c r="MFR109" s="38"/>
      <c r="MFS109" s="38"/>
      <c r="MFY109" s="36"/>
      <c r="MFZ109" s="38"/>
      <c r="MGA109" s="38"/>
      <c r="MGG109" s="36"/>
      <c r="MGH109" s="38"/>
      <c r="MGI109" s="38"/>
      <c r="MGO109" s="36"/>
      <c r="MGP109" s="38"/>
      <c r="MGQ109" s="38"/>
      <c r="MGW109" s="36"/>
      <c r="MGX109" s="38"/>
      <c r="MGY109" s="38"/>
      <c r="MHE109" s="36"/>
      <c r="MHF109" s="38"/>
      <c r="MHG109" s="38"/>
      <c r="MHM109" s="36"/>
      <c r="MHN109" s="38"/>
      <c r="MHO109" s="38"/>
      <c r="MHU109" s="36"/>
      <c r="MHV109" s="38"/>
      <c r="MHW109" s="38"/>
      <c r="MIC109" s="36"/>
      <c r="MID109" s="38"/>
      <c r="MIE109" s="38"/>
      <c r="MIK109" s="36"/>
      <c r="MIL109" s="38"/>
      <c r="MIM109" s="38"/>
      <c r="MIS109" s="36"/>
      <c r="MIT109" s="38"/>
      <c r="MIU109" s="38"/>
      <c r="MJA109" s="36"/>
      <c r="MJB109" s="38"/>
      <c r="MJC109" s="38"/>
      <c r="MJI109" s="36"/>
      <c r="MJJ109" s="38"/>
      <c r="MJK109" s="38"/>
      <c r="MJQ109" s="36"/>
      <c r="MJR109" s="38"/>
      <c r="MJS109" s="38"/>
      <c r="MJY109" s="36"/>
      <c r="MJZ109" s="38"/>
      <c r="MKA109" s="38"/>
      <c r="MKG109" s="36"/>
      <c r="MKH109" s="38"/>
      <c r="MKI109" s="38"/>
      <c r="MKO109" s="36"/>
      <c r="MKP109" s="38"/>
      <c r="MKQ109" s="38"/>
      <c r="MKW109" s="36"/>
      <c r="MKX109" s="38"/>
      <c r="MKY109" s="38"/>
      <c r="MLE109" s="36"/>
      <c r="MLF109" s="38"/>
      <c r="MLG109" s="38"/>
      <c r="MLM109" s="36"/>
      <c r="MLN109" s="38"/>
      <c r="MLO109" s="38"/>
      <c r="MLU109" s="36"/>
      <c r="MLV109" s="38"/>
      <c r="MLW109" s="38"/>
      <c r="MMC109" s="36"/>
      <c r="MMD109" s="38"/>
      <c r="MME109" s="38"/>
      <c r="MMK109" s="36"/>
      <c r="MML109" s="38"/>
      <c r="MMM109" s="38"/>
      <c r="MMS109" s="36"/>
      <c r="MMT109" s="38"/>
      <c r="MMU109" s="38"/>
      <c r="MNA109" s="36"/>
      <c r="MNB109" s="38"/>
      <c r="MNC109" s="38"/>
      <c r="MNI109" s="36"/>
      <c r="MNJ109" s="38"/>
      <c r="MNK109" s="38"/>
      <c r="MNQ109" s="36"/>
      <c r="MNR109" s="38"/>
      <c r="MNS109" s="38"/>
      <c r="MNY109" s="36"/>
      <c r="MNZ109" s="38"/>
      <c r="MOA109" s="38"/>
      <c r="MOG109" s="36"/>
      <c r="MOH109" s="38"/>
      <c r="MOI109" s="38"/>
      <c r="MOO109" s="36"/>
      <c r="MOP109" s="38"/>
      <c r="MOQ109" s="38"/>
      <c r="MOW109" s="36"/>
      <c r="MOX109" s="38"/>
      <c r="MOY109" s="38"/>
      <c r="MPE109" s="36"/>
      <c r="MPF109" s="38"/>
      <c r="MPG109" s="38"/>
      <c r="MPM109" s="36"/>
      <c r="MPN109" s="38"/>
      <c r="MPO109" s="38"/>
      <c r="MPU109" s="36"/>
      <c r="MPV109" s="38"/>
      <c r="MPW109" s="38"/>
      <c r="MQC109" s="36"/>
      <c r="MQD109" s="38"/>
      <c r="MQE109" s="38"/>
      <c r="MQK109" s="36"/>
      <c r="MQL109" s="38"/>
      <c r="MQM109" s="38"/>
      <c r="MQS109" s="36"/>
      <c r="MQT109" s="38"/>
      <c r="MQU109" s="38"/>
      <c r="MRA109" s="36"/>
      <c r="MRB109" s="38"/>
      <c r="MRC109" s="38"/>
      <c r="MRI109" s="36"/>
      <c r="MRJ109" s="38"/>
      <c r="MRK109" s="38"/>
      <c r="MRQ109" s="36"/>
      <c r="MRR109" s="38"/>
      <c r="MRS109" s="38"/>
      <c r="MRY109" s="36"/>
      <c r="MRZ109" s="38"/>
      <c r="MSA109" s="38"/>
      <c r="MSG109" s="36"/>
      <c r="MSH109" s="38"/>
      <c r="MSI109" s="38"/>
      <c r="MSO109" s="36"/>
      <c r="MSP109" s="38"/>
      <c r="MSQ109" s="38"/>
      <c r="MSW109" s="36"/>
      <c r="MSX109" s="38"/>
      <c r="MSY109" s="38"/>
      <c r="MTE109" s="36"/>
      <c r="MTF109" s="38"/>
      <c r="MTG109" s="38"/>
      <c r="MTM109" s="36"/>
      <c r="MTN109" s="38"/>
      <c r="MTO109" s="38"/>
      <c r="MTU109" s="36"/>
      <c r="MTV109" s="38"/>
      <c r="MTW109" s="38"/>
      <c r="MUC109" s="36"/>
      <c r="MUD109" s="38"/>
      <c r="MUE109" s="38"/>
      <c r="MUK109" s="36"/>
      <c r="MUL109" s="38"/>
      <c r="MUM109" s="38"/>
      <c r="MUS109" s="36"/>
      <c r="MUT109" s="38"/>
      <c r="MUU109" s="38"/>
      <c r="MVA109" s="36"/>
      <c r="MVB109" s="38"/>
      <c r="MVC109" s="38"/>
      <c r="MVI109" s="36"/>
      <c r="MVJ109" s="38"/>
      <c r="MVK109" s="38"/>
      <c r="MVQ109" s="36"/>
      <c r="MVR109" s="38"/>
      <c r="MVS109" s="38"/>
      <c r="MVY109" s="36"/>
      <c r="MVZ109" s="38"/>
      <c r="MWA109" s="38"/>
      <c r="MWG109" s="36"/>
      <c r="MWH109" s="38"/>
      <c r="MWI109" s="38"/>
      <c r="MWO109" s="36"/>
      <c r="MWP109" s="38"/>
      <c r="MWQ109" s="38"/>
      <c r="MWW109" s="36"/>
      <c r="MWX109" s="38"/>
      <c r="MWY109" s="38"/>
      <c r="MXE109" s="36"/>
      <c r="MXF109" s="38"/>
      <c r="MXG109" s="38"/>
      <c r="MXM109" s="36"/>
      <c r="MXN109" s="38"/>
      <c r="MXO109" s="38"/>
      <c r="MXU109" s="36"/>
      <c r="MXV109" s="38"/>
      <c r="MXW109" s="38"/>
      <c r="MYC109" s="36"/>
      <c r="MYD109" s="38"/>
      <c r="MYE109" s="38"/>
      <c r="MYK109" s="36"/>
      <c r="MYL109" s="38"/>
      <c r="MYM109" s="38"/>
      <c r="MYS109" s="36"/>
      <c r="MYT109" s="38"/>
      <c r="MYU109" s="38"/>
      <c r="MZA109" s="36"/>
      <c r="MZB109" s="38"/>
      <c r="MZC109" s="38"/>
      <c r="MZI109" s="36"/>
      <c r="MZJ109" s="38"/>
      <c r="MZK109" s="38"/>
      <c r="MZQ109" s="36"/>
      <c r="MZR109" s="38"/>
      <c r="MZS109" s="38"/>
      <c r="MZY109" s="36"/>
      <c r="MZZ109" s="38"/>
      <c r="NAA109" s="38"/>
      <c r="NAG109" s="36"/>
      <c r="NAH109" s="38"/>
      <c r="NAI109" s="38"/>
      <c r="NAO109" s="36"/>
      <c r="NAP109" s="38"/>
      <c r="NAQ109" s="38"/>
      <c r="NAW109" s="36"/>
      <c r="NAX109" s="38"/>
      <c r="NAY109" s="38"/>
      <c r="NBE109" s="36"/>
      <c r="NBF109" s="38"/>
      <c r="NBG109" s="38"/>
      <c r="NBM109" s="36"/>
      <c r="NBN109" s="38"/>
      <c r="NBO109" s="38"/>
      <c r="NBU109" s="36"/>
      <c r="NBV109" s="38"/>
      <c r="NBW109" s="38"/>
      <c r="NCC109" s="36"/>
      <c r="NCD109" s="38"/>
      <c r="NCE109" s="38"/>
      <c r="NCK109" s="36"/>
      <c r="NCL109" s="38"/>
      <c r="NCM109" s="38"/>
      <c r="NCS109" s="36"/>
      <c r="NCT109" s="38"/>
      <c r="NCU109" s="38"/>
      <c r="NDA109" s="36"/>
      <c r="NDB109" s="38"/>
      <c r="NDC109" s="38"/>
      <c r="NDI109" s="36"/>
      <c r="NDJ109" s="38"/>
      <c r="NDK109" s="38"/>
      <c r="NDQ109" s="36"/>
      <c r="NDR109" s="38"/>
      <c r="NDS109" s="38"/>
      <c r="NDY109" s="36"/>
      <c r="NDZ109" s="38"/>
      <c r="NEA109" s="38"/>
      <c r="NEG109" s="36"/>
      <c r="NEH109" s="38"/>
      <c r="NEI109" s="38"/>
      <c r="NEO109" s="36"/>
      <c r="NEP109" s="38"/>
      <c r="NEQ109" s="38"/>
      <c r="NEW109" s="36"/>
      <c r="NEX109" s="38"/>
      <c r="NEY109" s="38"/>
      <c r="NFE109" s="36"/>
      <c r="NFF109" s="38"/>
      <c r="NFG109" s="38"/>
      <c r="NFM109" s="36"/>
      <c r="NFN109" s="38"/>
      <c r="NFO109" s="38"/>
      <c r="NFU109" s="36"/>
      <c r="NFV109" s="38"/>
      <c r="NFW109" s="38"/>
      <c r="NGC109" s="36"/>
      <c r="NGD109" s="38"/>
      <c r="NGE109" s="38"/>
      <c r="NGK109" s="36"/>
      <c r="NGL109" s="38"/>
      <c r="NGM109" s="38"/>
      <c r="NGS109" s="36"/>
      <c r="NGT109" s="38"/>
      <c r="NGU109" s="38"/>
      <c r="NHA109" s="36"/>
      <c r="NHB109" s="38"/>
      <c r="NHC109" s="38"/>
      <c r="NHI109" s="36"/>
      <c r="NHJ109" s="38"/>
      <c r="NHK109" s="38"/>
      <c r="NHQ109" s="36"/>
      <c r="NHR109" s="38"/>
      <c r="NHS109" s="38"/>
      <c r="NHY109" s="36"/>
      <c r="NHZ109" s="38"/>
      <c r="NIA109" s="38"/>
      <c r="NIG109" s="36"/>
      <c r="NIH109" s="38"/>
      <c r="NII109" s="38"/>
      <c r="NIO109" s="36"/>
      <c r="NIP109" s="38"/>
      <c r="NIQ109" s="38"/>
      <c r="NIW109" s="36"/>
      <c r="NIX109" s="38"/>
      <c r="NIY109" s="38"/>
      <c r="NJE109" s="36"/>
      <c r="NJF109" s="38"/>
      <c r="NJG109" s="38"/>
      <c r="NJM109" s="36"/>
      <c r="NJN109" s="38"/>
      <c r="NJO109" s="38"/>
      <c r="NJU109" s="36"/>
      <c r="NJV109" s="38"/>
      <c r="NJW109" s="38"/>
      <c r="NKC109" s="36"/>
      <c r="NKD109" s="38"/>
      <c r="NKE109" s="38"/>
      <c r="NKK109" s="36"/>
      <c r="NKL109" s="38"/>
      <c r="NKM109" s="38"/>
      <c r="NKS109" s="36"/>
      <c r="NKT109" s="38"/>
      <c r="NKU109" s="38"/>
      <c r="NLA109" s="36"/>
      <c r="NLB109" s="38"/>
      <c r="NLC109" s="38"/>
      <c r="NLI109" s="36"/>
      <c r="NLJ109" s="38"/>
      <c r="NLK109" s="38"/>
      <c r="NLQ109" s="36"/>
      <c r="NLR109" s="38"/>
      <c r="NLS109" s="38"/>
      <c r="NLY109" s="36"/>
      <c r="NLZ109" s="38"/>
      <c r="NMA109" s="38"/>
      <c r="NMG109" s="36"/>
      <c r="NMH109" s="38"/>
      <c r="NMI109" s="38"/>
      <c r="NMO109" s="36"/>
      <c r="NMP109" s="38"/>
      <c r="NMQ109" s="38"/>
      <c r="NMW109" s="36"/>
      <c r="NMX109" s="38"/>
      <c r="NMY109" s="38"/>
      <c r="NNE109" s="36"/>
      <c r="NNF109" s="38"/>
      <c r="NNG109" s="38"/>
      <c r="NNM109" s="36"/>
      <c r="NNN109" s="38"/>
      <c r="NNO109" s="38"/>
      <c r="NNU109" s="36"/>
      <c r="NNV109" s="38"/>
      <c r="NNW109" s="38"/>
      <c r="NOC109" s="36"/>
      <c r="NOD109" s="38"/>
      <c r="NOE109" s="38"/>
      <c r="NOK109" s="36"/>
      <c r="NOL109" s="38"/>
      <c r="NOM109" s="38"/>
      <c r="NOS109" s="36"/>
      <c r="NOT109" s="38"/>
      <c r="NOU109" s="38"/>
      <c r="NPA109" s="36"/>
      <c r="NPB109" s="38"/>
      <c r="NPC109" s="38"/>
      <c r="NPI109" s="36"/>
      <c r="NPJ109" s="38"/>
      <c r="NPK109" s="38"/>
      <c r="NPQ109" s="36"/>
      <c r="NPR109" s="38"/>
      <c r="NPS109" s="38"/>
      <c r="NPY109" s="36"/>
      <c r="NPZ109" s="38"/>
      <c r="NQA109" s="38"/>
      <c r="NQG109" s="36"/>
      <c r="NQH109" s="38"/>
      <c r="NQI109" s="38"/>
      <c r="NQO109" s="36"/>
      <c r="NQP109" s="38"/>
      <c r="NQQ109" s="38"/>
      <c r="NQW109" s="36"/>
      <c r="NQX109" s="38"/>
      <c r="NQY109" s="38"/>
      <c r="NRE109" s="36"/>
      <c r="NRF109" s="38"/>
      <c r="NRG109" s="38"/>
      <c r="NRM109" s="36"/>
      <c r="NRN109" s="38"/>
      <c r="NRO109" s="38"/>
      <c r="NRU109" s="36"/>
      <c r="NRV109" s="38"/>
      <c r="NRW109" s="38"/>
      <c r="NSC109" s="36"/>
      <c r="NSD109" s="38"/>
      <c r="NSE109" s="38"/>
      <c r="NSK109" s="36"/>
      <c r="NSL109" s="38"/>
      <c r="NSM109" s="38"/>
      <c r="NSS109" s="36"/>
      <c r="NST109" s="38"/>
      <c r="NSU109" s="38"/>
      <c r="NTA109" s="36"/>
      <c r="NTB109" s="38"/>
      <c r="NTC109" s="38"/>
      <c r="NTI109" s="36"/>
      <c r="NTJ109" s="38"/>
      <c r="NTK109" s="38"/>
      <c r="NTQ109" s="36"/>
      <c r="NTR109" s="38"/>
      <c r="NTS109" s="38"/>
      <c r="NTY109" s="36"/>
      <c r="NTZ109" s="38"/>
      <c r="NUA109" s="38"/>
      <c r="NUG109" s="36"/>
      <c r="NUH109" s="38"/>
      <c r="NUI109" s="38"/>
      <c r="NUO109" s="36"/>
      <c r="NUP109" s="38"/>
      <c r="NUQ109" s="38"/>
      <c r="NUW109" s="36"/>
      <c r="NUX109" s="38"/>
      <c r="NUY109" s="38"/>
      <c r="NVE109" s="36"/>
      <c r="NVF109" s="38"/>
      <c r="NVG109" s="38"/>
      <c r="NVM109" s="36"/>
      <c r="NVN109" s="38"/>
      <c r="NVO109" s="38"/>
      <c r="NVU109" s="36"/>
      <c r="NVV109" s="38"/>
      <c r="NVW109" s="38"/>
      <c r="NWC109" s="36"/>
      <c r="NWD109" s="38"/>
      <c r="NWE109" s="38"/>
      <c r="NWK109" s="36"/>
      <c r="NWL109" s="38"/>
      <c r="NWM109" s="38"/>
      <c r="NWS109" s="36"/>
      <c r="NWT109" s="38"/>
      <c r="NWU109" s="38"/>
      <c r="NXA109" s="36"/>
      <c r="NXB109" s="38"/>
      <c r="NXC109" s="38"/>
      <c r="NXI109" s="36"/>
      <c r="NXJ109" s="38"/>
      <c r="NXK109" s="38"/>
      <c r="NXQ109" s="36"/>
      <c r="NXR109" s="38"/>
      <c r="NXS109" s="38"/>
      <c r="NXY109" s="36"/>
      <c r="NXZ109" s="38"/>
      <c r="NYA109" s="38"/>
      <c r="NYG109" s="36"/>
      <c r="NYH109" s="38"/>
      <c r="NYI109" s="38"/>
      <c r="NYO109" s="36"/>
      <c r="NYP109" s="38"/>
      <c r="NYQ109" s="38"/>
      <c r="NYW109" s="36"/>
      <c r="NYX109" s="38"/>
      <c r="NYY109" s="38"/>
      <c r="NZE109" s="36"/>
      <c r="NZF109" s="38"/>
      <c r="NZG109" s="38"/>
      <c r="NZM109" s="36"/>
      <c r="NZN109" s="38"/>
      <c r="NZO109" s="38"/>
      <c r="NZU109" s="36"/>
      <c r="NZV109" s="38"/>
      <c r="NZW109" s="38"/>
      <c r="OAC109" s="36"/>
      <c r="OAD109" s="38"/>
      <c r="OAE109" s="38"/>
      <c r="OAK109" s="36"/>
      <c r="OAL109" s="38"/>
      <c r="OAM109" s="38"/>
      <c r="OAS109" s="36"/>
      <c r="OAT109" s="38"/>
      <c r="OAU109" s="38"/>
      <c r="OBA109" s="36"/>
      <c r="OBB109" s="38"/>
      <c r="OBC109" s="38"/>
      <c r="OBI109" s="36"/>
      <c r="OBJ109" s="38"/>
      <c r="OBK109" s="38"/>
      <c r="OBQ109" s="36"/>
      <c r="OBR109" s="38"/>
      <c r="OBS109" s="38"/>
      <c r="OBY109" s="36"/>
      <c r="OBZ109" s="38"/>
      <c r="OCA109" s="38"/>
      <c r="OCG109" s="36"/>
      <c r="OCH109" s="38"/>
      <c r="OCI109" s="38"/>
      <c r="OCO109" s="36"/>
      <c r="OCP109" s="38"/>
      <c r="OCQ109" s="38"/>
      <c r="OCW109" s="36"/>
      <c r="OCX109" s="38"/>
      <c r="OCY109" s="38"/>
      <c r="ODE109" s="36"/>
      <c r="ODF109" s="38"/>
      <c r="ODG109" s="38"/>
      <c r="ODM109" s="36"/>
      <c r="ODN109" s="38"/>
      <c r="ODO109" s="38"/>
      <c r="ODU109" s="36"/>
      <c r="ODV109" s="38"/>
      <c r="ODW109" s="38"/>
      <c r="OEC109" s="36"/>
      <c r="OED109" s="38"/>
      <c r="OEE109" s="38"/>
      <c r="OEK109" s="36"/>
      <c r="OEL109" s="38"/>
      <c r="OEM109" s="38"/>
      <c r="OES109" s="36"/>
      <c r="OET109" s="38"/>
      <c r="OEU109" s="38"/>
      <c r="OFA109" s="36"/>
      <c r="OFB109" s="38"/>
      <c r="OFC109" s="38"/>
      <c r="OFI109" s="36"/>
      <c r="OFJ109" s="38"/>
      <c r="OFK109" s="38"/>
      <c r="OFQ109" s="36"/>
      <c r="OFR109" s="38"/>
      <c r="OFS109" s="38"/>
      <c r="OFY109" s="36"/>
      <c r="OFZ109" s="38"/>
      <c r="OGA109" s="38"/>
      <c r="OGG109" s="36"/>
      <c r="OGH109" s="38"/>
      <c r="OGI109" s="38"/>
      <c r="OGO109" s="36"/>
      <c r="OGP109" s="38"/>
      <c r="OGQ109" s="38"/>
      <c r="OGW109" s="36"/>
      <c r="OGX109" s="38"/>
      <c r="OGY109" s="38"/>
      <c r="OHE109" s="36"/>
      <c r="OHF109" s="38"/>
      <c r="OHG109" s="38"/>
      <c r="OHM109" s="36"/>
      <c r="OHN109" s="38"/>
      <c r="OHO109" s="38"/>
      <c r="OHU109" s="36"/>
      <c r="OHV109" s="38"/>
      <c r="OHW109" s="38"/>
      <c r="OIC109" s="36"/>
      <c r="OID109" s="38"/>
      <c r="OIE109" s="38"/>
      <c r="OIK109" s="36"/>
      <c r="OIL109" s="38"/>
      <c r="OIM109" s="38"/>
      <c r="OIS109" s="36"/>
      <c r="OIT109" s="38"/>
      <c r="OIU109" s="38"/>
      <c r="OJA109" s="36"/>
      <c r="OJB109" s="38"/>
      <c r="OJC109" s="38"/>
      <c r="OJI109" s="36"/>
      <c r="OJJ109" s="38"/>
      <c r="OJK109" s="38"/>
      <c r="OJQ109" s="36"/>
      <c r="OJR109" s="38"/>
      <c r="OJS109" s="38"/>
      <c r="OJY109" s="36"/>
      <c r="OJZ109" s="38"/>
      <c r="OKA109" s="38"/>
      <c r="OKG109" s="36"/>
      <c r="OKH109" s="38"/>
      <c r="OKI109" s="38"/>
      <c r="OKO109" s="36"/>
      <c r="OKP109" s="38"/>
      <c r="OKQ109" s="38"/>
      <c r="OKW109" s="36"/>
      <c r="OKX109" s="38"/>
      <c r="OKY109" s="38"/>
      <c r="OLE109" s="36"/>
      <c r="OLF109" s="38"/>
      <c r="OLG109" s="38"/>
      <c r="OLM109" s="36"/>
      <c r="OLN109" s="38"/>
      <c r="OLO109" s="38"/>
      <c r="OLU109" s="36"/>
      <c r="OLV109" s="38"/>
      <c r="OLW109" s="38"/>
      <c r="OMC109" s="36"/>
      <c r="OMD109" s="38"/>
      <c r="OME109" s="38"/>
      <c r="OMK109" s="36"/>
      <c r="OML109" s="38"/>
      <c r="OMM109" s="38"/>
      <c r="OMS109" s="36"/>
      <c r="OMT109" s="38"/>
      <c r="OMU109" s="38"/>
      <c r="ONA109" s="36"/>
      <c r="ONB109" s="38"/>
      <c r="ONC109" s="38"/>
      <c r="ONI109" s="36"/>
      <c r="ONJ109" s="38"/>
      <c r="ONK109" s="38"/>
      <c r="ONQ109" s="36"/>
      <c r="ONR109" s="38"/>
      <c r="ONS109" s="38"/>
      <c r="ONY109" s="36"/>
      <c r="ONZ109" s="38"/>
      <c r="OOA109" s="38"/>
      <c r="OOG109" s="36"/>
      <c r="OOH109" s="38"/>
      <c r="OOI109" s="38"/>
      <c r="OOO109" s="36"/>
      <c r="OOP109" s="38"/>
      <c r="OOQ109" s="38"/>
      <c r="OOW109" s="36"/>
      <c r="OOX109" s="38"/>
      <c r="OOY109" s="38"/>
      <c r="OPE109" s="36"/>
      <c r="OPF109" s="38"/>
      <c r="OPG109" s="38"/>
      <c r="OPM109" s="36"/>
      <c r="OPN109" s="38"/>
      <c r="OPO109" s="38"/>
      <c r="OPU109" s="36"/>
      <c r="OPV109" s="38"/>
      <c r="OPW109" s="38"/>
      <c r="OQC109" s="36"/>
      <c r="OQD109" s="38"/>
      <c r="OQE109" s="38"/>
      <c r="OQK109" s="36"/>
      <c r="OQL109" s="38"/>
      <c r="OQM109" s="38"/>
      <c r="OQS109" s="36"/>
      <c r="OQT109" s="38"/>
      <c r="OQU109" s="38"/>
      <c r="ORA109" s="36"/>
      <c r="ORB109" s="38"/>
      <c r="ORC109" s="38"/>
      <c r="ORI109" s="36"/>
      <c r="ORJ109" s="38"/>
      <c r="ORK109" s="38"/>
      <c r="ORQ109" s="36"/>
      <c r="ORR109" s="38"/>
      <c r="ORS109" s="38"/>
      <c r="ORY109" s="36"/>
      <c r="ORZ109" s="38"/>
      <c r="OSA109" s="38"/>
      <c r="OSG109" s="36"/>
      <c r="OSH109" s="38"/>
      <c r="OSI109" s="38"/>
      <c r="OSO109" s="36"/>
      <c r="OSP109" s="38"/>
      <c r="OSQ109" s="38"/>
      <c r="OSW109" s="36"/>
      <c r="OSX109" s="38"/>
      <c r="OSY109" s="38"/>
      <c r="OTE109" s="36"/>
      <c r="OTF109" s="38"/>
      <c r="OTG109" s="38"/>
      <c r="OTM109" s="36"/>
      <c r="OTN109" s="38"/>
      <c r="OTO109" s="38"/>
      <c r="OTU109" s="36"/>
      <c r="OTV109" s="38"/>
      <c r="OTW109" s="38"/>
      <c r="OUC109" s="36"/>
      <c r="OUD109" s="38"/>
      <c r="OUE109" s="38"/>
      <c r="OUK109" s="36"/>
      <c r="OUL109" s="38"/>
      <c r="OUM109" s="38"/>
      <c r="OUS109" s="36"/>
      <c r="OUT109" s="38"/>
      <c r="OUU109" s="38"/>
      <c r="OVA109" s="36"/>
      <c r="OVB109" s="38"/>
      <c r="OVC109" s="38"/>
      <c r="OVI109" s="36"/>
      <c r="OVJ109" s="38"/>
      <c r="OVK109" s="38"/>
      <c r="OVQ109" s="36"/>
      <c r="OVR109" s="38"/>
      <c r="OVS109" s="38"/>
      <c r="OVY109" s="36"/>
      <c r="OVZ109" s="38"/>
      <c r="OWA109" s="38"/>
      <c r="OWG109" s="36"/>
      <c r="OWH109" s="38"/>
      <c r="OWI109" s="38"/>
      <c r="OWO109" s="36"/>
      <c r="OWP109" s="38"/>
      <c r="OWQ109" s="38"/>
      <c r="OWW109" s="36"/>
      <c r="OWX109" s="38"/>
      <c r="OWY109" s="38"/>
      <c r="OXE109" s="36"/>
      <c r="OXF109" s="38"/>
      <c r="OXG109" s="38"/>
      <c r="OXM109" s="36"/>
      <c r="OXN109" s="38"/>
      <c r="OXO109" s="38"/>
      <c r="OXU109" s="36"/>
      <c r="OXV109" s="38"/>
      <c r="OXW109" s="38"/>
      <c r="OYC109" s="36"/>
      <c r="OYD109" s="38"/>
      <c r="OYE109" s="38"/>
      <c r="OYK109" s="36"/>
      <c r="OYL109" s="38"/>
      <c r="OYM109" s="38"/>
      <c r="OYS109" s="36"/>
      <c r="OYT109" s="38"/>
      <c r="OYU109" s="38"/>
      <c r="OZA109" s="36"/>
      <c r="OZB109" s="38"/>
      <c r="OZC109" s="38"/>
      <c r="OZI109" s="36"/>
      <c r="OZJ109" s="38"/>
      <c r="OZK109" s="38"/>
      <c r="OZQ109" s="36"/>
      <c r="OZR109" s="38"/>
      <c r="OZS109" s="38"/>
      <c r="OZY109" s="36"/>
      <c r="OZZ109" s="38"/>
      <c r="PAA109" s="38"/>
      <c r="PAG109" s="36"/>
      <c r="PAH109" s="38"/>
      <c r="PAI109" s="38"/>
      <c r="PAO109" s="36"/>
      <c r="PAP109" s="38"/>
      <c r="PAQ109" s="38"/>
      <c r="PAW109" s="36"/>
      <c r="PAX109" s="38"/>
      <c r="PAY109" s="38"/>
      <c r="PBE109" s="36"/>
      <c r="PBF109" s="38"/>
      <c r="PBG109" s="38"/>
      <c r="PBM109" s="36"/>
      <c r="PBN109" s="38"/>
      <c r="PBO109" s="38"/>
      <c r="PBU109" s="36"/>
      <c r="PBV109" s="38"/>
      <c r="PBW109" s="38"/>
      <c r="PCC109" s="36"/>
      <c r="PCD109" s="38"/>
      <c r="PCE109" s="38"/>
      <c r="PCK109" s="36"/>
      <c r="PCL109" s="38"/>
      <c r="PCM109" s="38"/>
      <c r="PCS109" s="36"/>
      <c r="PCT109" s="38"/>
      <c r="PCU109" s="38"/>
      <c r="PDA109" s="36"/>
      <c r="PDB109" s="38"/>
      <c r="PDC109" s="38"/>
      <c r="PDI109" s="36"/>
      <c r="PDJ109" s="38"/>
      <c r="PDK109" s="38"/>
      <c r="PDQ109" s="36"/>
      <c r="PDR109" s="38"/>
      <c r="PDS109" s="38"/>
      <c r="PDY109" s="36"/>
      <c r="PDZ109" s="38"/>
      <c r="PEA109" s="38"/>
      <c r="PEG109" s="36"/>
      <c r="PEH109" s="38"/>
      <c r="PEI109" s="38"/>
      <c r="PEO109" s="36"/>
      <c r="PEP109" s="38"/>
      <c r="PEQ109" s="38"/>
      <c r="PEW109" s="36"/>
      <c r="PEX109" s="38"/>
      <c r="PEY109" s="38"/>
      <c r="PFE109" s="36"/>
      <c r="PFF109" s="38"/>
      <c r="PFG109" s="38"/>
      <c r="PFM109" s="36"/>
      <c r="PFN109" s="38"/>
      <c r="PFO109" s="38"/>
      <c r="PFU109" s="36"/>
      <c r="PFV109" s="38"/>
      <c r="PFW109" s="38"/>
      <c r="PGC109" s="36"/>
      <c r="PGD109" s="38"/>
      <c r="PGE109" s="38"/>
      <c r="PGK109" s="36"/>
      <c r="PGL109" s="38"/>
      <c r="PGM109" s="38"/>
      <c r="PGS109" s="36"/>
      <c r="PGT109" s="38"/>
      <c r="PGU109" s="38"/>
      <c r="PHA109" s="36"/>
      <c r="PHB109" s="38"/>
      <c r="PHC109" s="38"/>
      <c r="PHI109" s="36"/>
      <c r="PHJ109" s="38"/>
      <c r="PHK109" s="38"/>
      <c r="PHQ109" s="36"/>
      <c r="PHR109" s="38"/>
      <c r="PHS109" s="38"/>
      <c r="PHY109" s="36"/>
      <c r="PHZ109" s="38"/>
      <c r="PIA109" s="38"/>
      <c r="PIG109" s="36"/>
      <c r="PIH109" s="38"/>
      <c r="PII109" s="38"/>
      <c r="PIO109" s="36"/>
      <c r="PIP109" s="38"/>
      <c r="PIQ109" s="38"/>
      <c r="PIW109" s="36"/>
      <c r="PIX109" s="38"/>
      <c r="PIY109" s="38"/>
      <c r="PJE109" s="36"/>
      <c r="PJF109" s="38"/>
      <c r="PJG109" s="38"/>
      <c r="PJM109" s="36"/>
      <c r="PJN109" s="38"/>
      <c r="PJO109" s="38"/>
      <c r="PJU109" s="36"/>
      <c r="PJV109" s="38"/>
      <c r="PJW109" s="38"/>
      <c r="PKC109" s="36"/>
      <c r="PKD109" s="38"/>
      <c r="PKE109" s="38"/>
      <c r="PKK109" s="36"/>
      <c r="PKL109" s="38"/>
      <c r="PKM109" s="38"/>
      <c r="PKS109" s="36"/>
      <c r="PKT109" s="38"/>
      <c r="PKU109" s="38"/>
      <c r="PLA109" s="36"/>
      <c r="PLB109" s="38"/>
      <c r="PLC109" s="38"/>
      <c r="PLI109" s="36"/>
      <c r="PLJ109" s="38"/>
      <c r="PLK109" s="38"/>
      <c r="PLQ109" s="36"/>
      <c r="PLR109" s="38"/>
      <c r="PLS109" s="38"/>
      <c r="PLY109" s="36"/>
      <c r="PLZ109" s="38"/>
      <c r="PMA109" s="38"/>
      <c r="PMG109" s="36"/>
      <c r="PMH109" s="38"/>
      <c r="PMI109" s="38"/>
      <c r="PMO109" s="36"/>
      <c r="PMP109" s="38"/>
      <c r="PMQ109" s="38"/>
      <c r="PMW109" s="36"/>
      <c r="PMX109" s="38"/>
      <c r="PMY109" s="38"/>
      <c r="PNE109" s="36"/>
      <c r="PNF109" s="38"/>
      <c r="PNG109" s="38"/>
      <c r="PNM109" s="36"/>
      <c r="PNN109" s="38"/>
      <c r="PNO109" s="38"/>
      <c r="PNU109" s="36"/>
      <c r="PNV109" s="38"/>
      <c r="PNW109" s="38"/>
      <c r="POC109" s="36"/>
      <c r="POD109" s="38"/>
      <c r="POE109" s="38"/>
      <c r="POK109" s="36"/>
      <c r="POL109" s="38"/>
      <c r="POM109" s="38"/>
      <c r="POS109" s="36"/>
      <c r="POT109" s="38"/>
      <c r="POU109" s="38"/>
      <c r="PPA109" s="36"/>
      <c r="PPB109" s="38"/>
      <c r="PPC109" s="38"/>
      <c r="PPI109" s="36"/>
      <c r="PPJ109" s="38"/>
      <c r="PPK109" s="38"/>
      <c r="PPQ109" s="36"/>
      <c r="PPR109" s="38"/>
      <c r="PPS109" s="38"/>
      <c r="PPY109" s="36"/>
      <c r="PPZ109" s="38"/>
      <c r="PQA109" s="38"/>
      <c r="PQG109" s="36"/>
      <c r="PQH109" s="38"/>
      <c r="PQI109" s="38"/>
      <c r="PQO109" s="36"/>
      <c r="PQP109" s="38"/>
      <c r="PQQ109" s="38"/>
      <c r="PQW109" s="36"/>
      <c r="PQX109" s="38"/>
      <c r="PQY109" s="38"/>
      <c r="PRE109" s="36"/>
      <c r="PRF109" s="38"/>
      <c r="PRG109" s="38"/>
      <c r="PRM109" s="36"/>
      <c r="PRN109" s="38"/>
      <c r="PRO109" s="38"/>
      <c r="PRU109" s="36"/>
      <c r="PRV109" s="38"/>
      <c r="PRW109" s="38"/>
      <c r="PSC109" s="36"/>
      <c r="PSD109" s="38"/>
      <c r="PSE109" s="38"/>
      <c r="PSK109" s="36"/>
      <c r="PSL109" s="38"/>
      <c r="PSM109" s="38"/>
      <c r="PSS109" s="36"/>
      <c r="PST109" s="38"/>
      <c r="PSU109" s="38"/>
      <c r="PTA109" s="36"/>
      <c r="PTB109" s="38"/>
      <c r="PTC109" s="38"/>
      <c r="PTI109" s="36"/>
      <c r="PTJ109" s="38"/>
      <c r="PTK109" s="38"/>
      <c r="PTQ109" s="36"/>
      <c r="PTR109" s="38"/>
      <c r="PTS109" s="38"/>
      <c r="PTY109" s="36"/>
      <c r="PTZ109" s="38"/>
      <c r="PUA109" s="38"/>
      <c r="PUG109" s="36"/>
      <c r="PUH109" s="38"/>
      <c r="PUI109" s="38"/>
      <c r="PUO109" s="36"/>
      <c r="PUP109" s="38"/>
      <c r="PUQ109" s="38"/>
      <c r="PUW109" s="36"/>
      <c r="PUX109" s="38"/>
      <c r="PUY109" s="38"/>
      <c r="PVE109" s="36"/>
      <c r="PVF109" s="38"/>
      <c r="PVG109" s="38"/>
      <c r="PVM109" s="36"/>
      <c r="PVN109" s="38"/>
      <c r="PVO109" s="38"/>
      <c r="PVU109" s="36"/>
      <c r="PVV109" s="38"/>
      <c r="PVW109" s="38"/>
      <c r="PWC109" s="36"/>
      <c r="PWD109" s="38"/>
      <c r="PWE109" s="38"/>
      <c r="PWK109" s="36"/>
      <c r="PWL109" s="38"/>
      <c r="PWM109" s="38"/>
      <c r="PWS109" s="36"/>
      <c r="PWT109" s="38"/>
      <c r="PWU109" s="38"/>
      <c r="PXA109" s="36"/>
      <c r="PXB109" s="38"/>
      <c r="PXC109" s="38"/>
      <c r="PXI109" s="36"/>
      <c r="PXJ109" s="38"/>
      <c r="PXK109" s="38"/>
      <c r="PXQ109" s="36"/>
      <c r="PXR109" s="38"/>
      <c r="PXS109" s="38"/>
      <c r="PXY109" s="36"/>
      <c r="PXZ109" s="38"/>
      <c r="PYA109" s="38"/>
      <c r="PYG109" s="36"/>
      <c r="PYH109" s="38"/>
      <c r="PYI109" s="38"/>
      <c r="PYO109" s="36"/>
      <c r="PYP109" s="38"/>
      <c r="PYQ109" s="38"/>
      <c r="PYW109" s="36"/>
      <c r="PYX109" s="38"/>
      <c r="PYY109" s="38"/>
      <c r="PZE109" s="36"/>
      <c r="PZF109" s="38"/>
      <c r="PZG109" s="38"/>
      <c r="PZM109" s="36"/>
      <c r="PZN109" s="38"/>
      <c r="PZO109" s="38"/>
      <c r="PZU109" s="36"/>
      <c r="PZV109" s="38"/>
      <c r="PZW109" s="38"/>
      <c r="QAC109" s="36"/>
      <c r="QAD109" s="38"/>
      <c r="QAE109" s="38"/>
      <c r="QAK109" s="36"/>
      <c r="QAL109" s="38"/>
      <c r="QAM109" s="38"/>
      <c r="QAS109" s="36"/>
      <c r="QAT109" s="38"/>
      <c r="QAU109" s="38"/>
      <c r="QBA109" s="36"/>
      <c r="QBB109" s="38"/>
      <c r="QBC109" s="38"/>
      <c r="QBI109" s="36"/>
      <c r="QBJ109" s="38"/>
      <c r="QBK109" s="38"/>
      <c r="QBQ109" s="36"/>
      <c r="QBR109" s="38"/>
      <c r="QBS109" s="38"/>
      <c r="QBY109" s="36"/>
      <c r="QBZ109" s="38"/>
      <c r="QCA109" s="38"/>
      <c r="QCG109" s="36"/>
      <c r="QCH109" s="38"/>
      <c r="QCI109" s="38"/>
      <c r="QCO109" s="36"/>
      <c r="QCP109" s="38"/>
      <c r="QCQ109" s="38"/>
      <c r="QCW109" s="36"/>
      <c r="QCX109" s="38"/>
      <c r="QCY109" s="38"/>
      <c r="QDE109" s="36"/>
      <c r="QDF109" s="38"/>
      <c r="QDG109" s="38"/>
      <c r="QDM109" s="36"/>
      <c r="QDN109" s="38"/>
      <c r="QDO109" s="38"/>
      <c r="QDU109" s="36"/>
      <c r="QDV109" s="38"/>
      <c r="QDW109" s="38"/>
      <c r="QEC109" s="36"/>
      <c r="QED109" s="38"/>
      <c r="QEE109" s="38"/>
      <c r="QEK109" s="36"/>
      <c r="QEL109" s="38"/>
      <c r="QEM109" s="38"/>
      <c r="QES109" s="36"/>
      <c r="QET109" s="38"/>
      <c r="QEU109" s="38"/>
      <c r="QFA109" s="36"/>
      <c r="QFB109" s="38"/>
      <c r="QFC109" s="38"/>
      <c r="QFI109" s="36"/>
      <c r="QFJ109" s="38"/>
      <c r="QFK109" s="38"/>
      <c r="QFQ109" s="36"/>
      <c r="QFR109" s="38"/>
      <c r="QFS109" s="38"/>
      <c r="QFY109" s="36"/>
      <c r="QFZ109" s="38"/>
      <c r="QGA109" s="38"/>
      <c r="QGG109" s="36"/>
      <c r="QGH109" s="38"/>
      <c r="QGI109" s="38"/>
      <c r="QGO109" s="36"/>
      <c r="QGP109" s="38"/>
      <c r="QGQ109" s="38"/>
      <c r="QGW109" s="36"/>
      <c r="QGX109" s="38"/>
      <c r="QGY109" s="38"/>
      <c r="QHE109" s="36"/>
      <c r="QHF109" s="38"/>
      <c r="QHG109" s="38"/>
      <c r="QHM109" s="36"/>
      <c r="QHN109" s="38"/>
      <c r="QHO109" s="38"/>
      <c r="QHU109" s="36"/>
      <c r="QHV109" s="38"/>
      <c r="QHW109" s="38"/>
      <c r="QIC109" s="36"/>
      <c r="QID109" s="38"/>
      <c r="QIE109" s="38"/>
      <c r="QIK109" s="36"/>
      <c r="QIL109" s="38"/>
      <c r="QIM109" s="38"/>
      <c r="QIS109" s="36"/>
      <c r="QIT109" s="38"/>
      <c r="QIU109" s="38"/>
      <c r="QJA109" s="36"/>
      <c r="QJB109" s="38"/>
      <c r="QJC109" s="38"/>
      <c r="QJI109" s="36"/>
      <c r="QJJ109" s="38"/>
      <c r="QJK109" s="38"/>
      <c r="QJQ109" s="36"/>
      <c r="QJR109" s="38"/>
      <c r="QJS109" s="38"/>
      <c r="QJY109" s="36"/>
      <c r="QJZ109" s="38"/>
      <c r="QKA109" s="38"/>
      <c r="QKG109" s="36"/>
      <c r="QKH109" s="38"/>
      <c r="QKI109" s="38"/>
      <c r="QKO109" s="36"/>
      <c r="QKP109" s="38"/>
      <c r="QKQ109" s="38"/>
      <c r="QKW109" s="36"/>
      <c r="QKX109" s="38"/>
      <c r="QKY109" s="38"/>
      <c r="QLE109" s="36"/>
      <c r="QLF109" s="38"/>
      <c r="QLG109" s="38"/>
      <c r="QLM109" s="36"/>
      <c r="QLN109" s="38"/>
      <c r="QLO109" s="38"/>
      <c r="QLU109" s="36"/>
      <c r="QLV109" s="38"/>
      <c r="QLW109" s="38"/>
      <c r="QMC109" s="36"/>
      <c r="QMD109" s="38"/>
      <c r="QME109" s="38"/>
      <c r="QMK109" s="36"/>
      <c r="QML109" s="38"/>
      <c r="QMM109" s="38"/>
      <c r="QMS109" s="36"/>
      <c r="QMT109" s="38"/>
      <c r="QMU109" s="38"/>
      <c r="QNA109" s="36"/>
      <c r="QNB109" s="38"/>
      <c r="QNC109" s="38"/>
      <c r="QNI109" s="36"/>
      <c r="QNJ109" s="38"/>
      <c r="QNK109" s="38"/>
      <c r="QNQ109" s="36"/>
      <c r="QNR109" s="38"/>
      <c r="QNS109" s="38"/>
      <c r="QNY109" s="36"/>
      <c r="QNZ109" s="38"/>
      <c r="QOA109" s="38"/>
      <c r="QOG109" s="36"/>
      <c r="QOH109" s="38"/>
      <c r="QOI109" s="38"/>
      <c r="QOO109" s="36"/>
      <c r="QOP109" s="38"/>
      <c r="QOQ109" s="38"/>
      <c r="QOW109" s="36"/>
      <c r="QOX109" s="38"/>
      <c r="QOY109" s="38"/>
      <c r="QPE109" s="36"/>
      <c r="QPF109" s="38"/>
      <c r="QPG109" s="38"/>
      <c r="QPM109" s="36"/>
      <c r="QPN109" s="38"/>
      <c r="QPO109" s="38"/>
      <c r="QPU109" s="36"/>
      <c r="QPV109" s="38"/>
      <c r="QPW109" s="38"/>
      <c r="QQC109" s="36"/>
      <c r="QQD109" s="38"/>
      <c r="QQE109" s="38"/>
      <c r="QQK109" s="36"/>
      <c r="QQL109" s="38"/>
      <c r="QQM109" s="38"/>
      <c r="QQS109" s="36"/>
      <c r="QQT109" s="38"/>
      <c r="QQU109" s="38"/>
      <c r="QRA109" s="36"/>
      <c r="QRB109" s="38"/>
      <c r="QRC109" s="38"/>
      <c r="QRI109" s="36"/>
      <c r="QRJ109" s="38"/>
      <c r="QRK109" s="38"/>
      <c r="QRQ109" s="36"/>
      <c r="QRR109" s="38"/>
      <c r="QRS109" s="38"/>
      <c r="QRY109" s="36"/>
      <c r="QRZ109" s="38"/>
      <c r="QSA109" s="38"/>
      <c r="QSG109" s="36"/>
      <c r="QSH109" s="38"/>
      <c r="QSI109" s="38"/>
      <c r="QSO109" s="36"/>
      <c r="QSP109" s="38"/>
      <c r="QSQ109" s="38"/>
      <c r="QSW109" s="36"/>
      <c r="QSX109" s="38"/>
      <c r="QSY109" s="38"/>
      <c r="QTE109" s="36"/>
      <c r="QTF109" s="38"/>
      <c r="QTG109" s="38"/>
      <c r="QTM109" s="36"/>
      <c r="QTN109" s="38"/>
      <c r="QTO109" s="38"/>
      <c r="QTU109" s="36"/>
      <c r="QTV109" s="38"/>
      <c r="QTW109" s="38"/>
      <c r="QUC109" s="36"/>
      <c r="QUD109" s="38"/>
      <c r="QUE109" s="38"/>
      <c r="QUK109" s="36"/>
      <c r="QUL109" s="38"/>
      <c r="QUM109" s="38"/>
      <c r="QUS109" s="36"/>
      <c r="QUT109" s="38"/>
      <c r="QUU109" s="38"/>
      <c r="QVA109" s="36"/>
      <c r="QVB109" s="38"/>
      <c r="QVC109" s="38"/>
      <c r="QVI109" s="36"/>
      <c r="QVJ109" s="38"/>
      <c r="QVK109" s="38"/>
      <c r="QVQ109" s="36"/>
      <c r="QVR109" s="38"/>
      <c r="QVS109" s="38"/>
      <c r="QVY109" s="36"/>
      <c r="QVZ109" s="38"/>
      <c r="QWA109" s="38"/>
      <c r="QWG109" s="36"/>
      <c r="QWH109" s="38"/>
      <c r="QWI109" s="38"/>
      <c r="QWO109" s="36"/>
      <c r="QWP109" s="38"/>
      <c r="QWQ109" s="38"/>
      <c r="QWW109" s="36"/>
      <c r="QWX109" s="38"/>
      <c r="QWY109" s="38"/>
      <c r="QXE109" s="36"/>
      <c r="QXF109" s="38"/>
      <c r="QXG109" s="38"/>
      <c r="QXM109" s="36"/>
      <c r="QXN109" s="38"/>
      <c r="QXO109" s="38"/>
      <c r="QXU109" s="36"/>
      <c r="QXV109" s="38"/>
      <c r="QXW109" s="38"/>
      <c r="QYC109" s="36"/>
      <c r="QYD109" s="38"/>
      <c r="QYE109" s="38"/>
      <c r="QYK109" s="36"/>
      <c r="QYL109" s="38"/>
      <c r="QYM109" s="38"/>
      <c r="QYS109" s="36"/>
      <c r="QYT109" s="38"/>
      <c r="QYU109" s="38"/>
      <c r="QZA109" s="36"/>
      <c r="QZB109" s="38"/>
      <c r="QZC109" s="38"/>
      <c r="QZI109" s="36"/>
      <c r="QZJ109" s="38"/>
      <c r="QZK109" s="38"/>
      <c r="QZQ109" s="36"/>
      <c r="QZR109" s="38"/>
      <c r="QZS109" s="38"/>
      <c r="QZY109" s="36"/>
      <c r="QZZ109" s="38"/>
      <c r="RAA109" s="38"/>
      <c r="RAG109" s="36"/>
      <c r="RAH109" s="38"/>
      <c r="RAI109" s="38"/>
      <c r="RAO109" s="36"/>
      <c r="RAP109" s="38"/>
      <c r="RAQ109" s="38"/>
      <c r="RAW109" s="36"/>
      <c r="RAX109" s="38"/>
      <c r="RAY109" s="38"/>
      <c r="RBE109" s="36"/>
      <c r="RBF109" s="38"/>
      <c r="RBG109" s="38"/>
      <c r="RBM109" s="36"/>
      <c r="RBN109" s="38"/>
      <c r="RBO109" s="38"/>
      <c r="RBU109" s="36"/>
      <c r="RBV109" s="38"/>
      <c r="RBW109" s="38"/>
      <c r="RCC109" s="36"/>
      <c r="RCD109" s="38"/>
      <c r="RCE109" s="38"/>
      <c r="RCK109" s="36"/>
      <c r="RCL109" s="38"/>
      <c r="RCM109" s="38"/>
      <c r="RCS109" s="36"/>
      <c r="RCT109" s="38"/>
      <c r="RCU109" s="38"/>
      <c r="RDA109" s="36"/>
      <c r="RDB109" s="38"/>
      <c r="RDC109" s="38"/>
      <c r="RDI109" s="36"/>
      <c r="RDJ109" s="38"/>
      <c r="RDK109" s="38"/>
      <c r="RDQ109" s="36"/>
      <c r="RDR109" s="38"/>
      <c r="RDS109" s="38"/>
      <c r="RDY109" s="36"/>
      <c r="RDZ109" s="38"/>
      <c r="REA109" s="38"/>
      <c r="REG109" s="36"/>
      <c r="REH109" s="38"/>
      <c r="REI109" s="38"/>
      <c r="REO109" s="36"/>
      <c r="REP109" s="38"/>
      <c r="REQ109" s="38"/>
      <c r="REW109" s="36"/>
      <c r="REX109" s="38"/>
      <c r="REY109" s="38"/>
      <c r="RFE109" s="36"/>
      <c r="RFF109" s="38"/>
      <c r="RFG109" s="38"/>
      <c r="RFM109" s="36"/>
      <c r="RFN109" s="38"/>
      <c r="RFO109" s="38"/>
      <c r="RFU109" s="36"/>
      <c r="RFV109" s="38"/>
      <c r="RFW109" s="38"/>
      <c r="RGC109" s="36"/>
      <c r="RGD109" s="38"/>
      <c r="RGE109" s="38"/>
      <c r="RGK109" s="36"/>
      <c r="RGL109" s="38"/>
      <c r="RGM109" s="38"/>
      <c r="RGS109" s="36"/>
      <c r="RGT109" s="38"/>
      <c r="RGU109" s="38"/>
      <c r="RHA109" s="36"/>
      <c r="RHB109" s="38"/>
      <c r="RHC109" s="38"/>
      <c r="RHI109" s="36"/>
      <c r="RHJ109" s="38"/>
      <c r="RHK109" s="38"/>
      <c r="RHQ109" s="36"/>
      <c r="RHR109" s="38"/>
      <c r="RHS109" s="38"/>
      <c r="RHY109" s="36"/>
      <c r="RHZ109" s="38"/>
      <c r="RIA109" s="38"/>
      <c r="RIG109" s="36"/>
      <c r="RIH109" s="38"/>
      <c r="RII109" s="38"/>
      <c r="RIO109" s="36"/>
      <c r="RIP109" s="38"/>
      <c r="RIQ109" s="38"/>
      <c r="RIW109" s="36"/>
      <c r="RIX109" s="38"/>
      <c r="RIY109" s="38"/>
      <c r="RJE109" s="36"/>
      <c r="RJF109" s="38"/>
      <c r="RJG109" s="38"/>
      <c r="RJM109" s="36"/>
      <c r="RJN109" s="38"/>
      <c r="RJO109" s="38"/>
      <c r="RJU109" s="36"/>
      <c r="RJV109" s="38"/>
      <c r="RJW109" s="38"/>
      <c r="RKC109" s="36"/>
      <c r="RKD109" s="38"/>
      <c r="RKE109" s="38"/>
      <c r="RKK109" s="36"/>
      <c r="RKL109" s="38"/>
      <c r="RKM109" s="38"/>
      <c r="RKS109" s="36"/>
      <c r="RKT109" s="38"/>
      <c r="RKU109" s="38"/>
      <c r="RLA109" s="36"/>
      <c r="RLB109" s="38"/>
      <c r="RLC109" s="38"/>
      <c r="RLI109" s="36"/>
      <c r="RLJ109" s="38"/>
      <c r="RLK109" s="38"/>
      <c r="RLQ109" s="36"/>
      <c r="RLR109" s="38"/>
      <c r="RLS109" s="38"/>
      <c r="RLY109" s="36"/>
      <c r="RLZ109" s="38"/>
      <c r="RMA109" s="38"/>
      <c r="RMG109" s="36"/>
      <c r="RMH109" s="38"/>
      <c r="RMI109" s="38"/>
      <c r="RMO109" s="36"/>
      <c r="RMP109" s="38"/>
      <c r="RMQ109" s="38"/>
      <c r="RMW109" s="36"/>
      <c r="RMX109" s="38"/>
      <c r="RMY109" s="38"/>
      <c r="RNE109" s="36"/>
      <c r="RNF109" s="38"/>
      <c r="RNG109" s="38"/>
      <c r="RNM109" s="36"/>
      <c r="RNN109" s="38"/>
      <c r="RNO109" s="38"/>
      <c r="RNU109" s="36"/>
      <c r="RNV109" s="38"/>
      <c r="RNW109" s="38"/>
      <c r="ROC109" s="36"/>
      <c r="ROD109" s="38"/>
      <c r="ROE109" s="38"/>
      <c r="ROK109" s="36"/>
      <c r="ROL109" s="38"/>
      <c r="ROM109" s="38"/>
      <c r="ROS109" s="36"/>
      <c r="ROT109" s="38"/>
      <c r="ROU109" s="38"/>
      <c r="RPA109" s="36"/>
      <c r="RPB109" s="38"/>
      <c r="RPC109" s="38"/>
      <c r="RPI109" s="36"/>
      <c r="RPJ109" s="38"/>
      <c r="RPK109" s="38"/>
      <c r="RPQ109" s="36"/>
      <c r="RPR109" s="38"/>
      <c r="RPS109" s="38"/>
      <c r="RPY109" s="36"/>
      <c r="RPZ109" s="38"/>
      <c r="RQA109" s="38"/>
      <c r="RQG109" s="36"/>
      <c r="RQH109" s="38"/>
      <c r="RQI109" s="38"/>
      <c r="RQO109" s="36"/>
      <c r="RQP109" s="38"/>
      <c r="RQQ109" s="38"/>
      <c r="RQW109" s="36"/>
      <c r="RQX109" s="38"/>
      <c r="RQY109" s="38"/>
      <c r="RRE109" s="36"/>
      <c r="RRF109" s="38"/>
      <c r="RRG109" s="38"/>
      <c r="RRM109" s="36"/>
      <c r="RRN109" s="38"/>
      <c r="RRO109" s="38"/>
      <c r="RRU109" s="36"/>
      <c r="RRV109" s="38"/>
      <c r="RRW109" s="38"/>
      <c r="RSC109" s="36"/>
      <c r="RSD109" s="38"/>
      <c r="RSE109" s="38"/>
      <c r="RSK109" s="36"/>
      <c r="RSL109" s="38"/>
      <c r="RSM109" s="38"/>
      <c r="RSS109" s="36"/>
      <c r="RST109" s="38"/>
      <c r="RSU109" s="38"/>
      <c r="RTA109" s="36"/>
      <c r="RTB109" s="38"/>
      <c r="RTC109" s="38"/>
      <c r="RTI109" s="36"/>
      <c r="RTJ109" s="38"/>
      <c r="RTK109" s="38"/>
      <c r="RTQ109" s="36"/>
      <c r="RTR109" s="38"/>
      <c r="RTS109" s="38"/>
      <c r="RTY109" s="36"/>
      <c r="RTZ109" s="38"/>
      <c r="RUA109" s="38"/>
      <c r="RUG109" s="36"/>
      <c r="RUH109" s="38"/>
      <c r="RUI109" s="38"/>
      <c r="RUO109" s="36"/>
      <c r="RUP109" s="38"/>
      <c r="RUQ109" s="38"/>
      <c r="RUW109" s="36"/>
      <c r="RUX109" s="38"/>
      <c r="RUY109" s="38"/>
      <c r="RVE109" s="36"/>
      <c r="RVF109" s="38"/>
      <c r="RVG109" s="38"/>
      <c r="RVM109" s="36"/>
      <c r="RVN109" s="38"/>
      <c r="RVO109" s="38"/>
      <c r="RVU109" s="36"/>
      <c r="RVV109" s="38"/>
      <c r="RVW109" s="38"/>
      <c r="RWC109" s="36"/>
      <c r="RWD109" s="38"/>
      <c r="RWE109" s="38"/>
      <c r="RWK109" s="36"/>
      <c r="RWL109" s="38"/>
      <c r="RWM109" s="38"/>
      <c r="RWS109" s="36"/>
      <c r="RWT109" s="38"/>
      <c r="RWU109" s="38"/>
      <c r="RXA109" s="36"/>
      <c r="RXB109" s="38"/>
      <c r="RXC109" s="38"/>
      <c r="RXI109" s="36"/>
      <c r="RXJ109" s="38"/>
      <c r="RXK109" s="38"/>
      <c r="RXQ109" s="36"/>
      <c r="RXR109" s="38"/>
      <c r="RXS109" s="38"/>
      <c r="RXY109" s="36"/>
      <c r="RXZ109" s="38"/>
      <c r="RYA109" s="38"/>
      <c r="RYG109" s="36"/>
      <c r="RYH109" s="38"/>
      <c r="RYI109" s="38"/>
      <c r="RYO109" s="36"/>
      <c r="RYP109" s="38"/>
      <c r="RYQ109" s="38"/>
      <c r="RYW109" s="36"/>
      <c r="RYX109" s="38"/>
      <c r="RYY109" s="38"/>
      <c r="RZE109" s="36"/>
      <c r="RZF109" s="38"/>
      <c r="RZG109" s="38"/>
      <c r="RZM109" s="36"/>
      <c r="RZN109" s="38"/>
      <c r="RZO109" s="38"/>
      <c r="RZU109" s="36"/>
      <c r="RZV109" s="38"/>
      <c r="RZW109" s="38"/>
      <c r="SAC109" s="36"/>
      <c r="SAD109" s="38"/>
      <c r="SAE109" s="38"/>
      <c r="SAK109" s="36"/>
      <c r="SAL109" s="38"/>
      <c r="SAM109" s="38"/>
      <c r="SAS109" s="36"/>
      <c r="SAT109" s="38"/>
      <c r="SAU109" s="38"/>
      <c r="SBA109" s="36"/>
      <c r="SBB109" s="38"/>
      <c r="SBC109" s="38"/>
      <c r="SBI109" s="36"/>
      <c r="SBJ109" s="38"/>
      <c r="SBK109" s="38"/>
      <c r="SBQ109" s="36"/>
      <c r="SBR109" s="38"/>
      <c r="SBS109" s="38"/>
      <c r="SBY109" s="36"/>
      <c r="SBZ109" s="38"/>
      <c r="SCA109" s="38"/>
      <c r="SCG109" s="36"/>
      <c r="SCH109" s="38"/>
      <c r="SCI109" s="38"/>
      <c r="SCO109" s="36"/>
      <c r="SCP109" s="38"/>
      <c r="SCQ109" s="38"/>
      <c r="SCW109" s="36"/>
      <c r="SCX109" s="38"/>
      <c r="SCY109" s="38"/>
      <c r="SDE109" s="36"/>
      <c r="SDF109" s="38"/>
      <c r="SDG109" s="38"/>
      <c r="SDM109" s="36"/>
      <c r="SDN109" s="38"/>
      <c r="SDO109" s="38"/>
      <c r="SDU109" s="36"/>
      <c r="SDV109" s="38"/>
      <c r="SDW109" s="38"/>
      <c r="SEC109" s="36"/>
      <c r="SED109" s="38"/>
      <c r="SEE109" s="38"/>
      <c r="SEK109" s="36"/>
      <c r="SEL109" s="38"/>
      <c r="SEM109" s="38"/>
      <c r="SES109" s="36"/>
      <c r="SET109" s="38"/>
      <c r="SEU109" s="38"/>
      <c r="SFA109" s="36"/>
      <c r="SFB109" s="38"/>
      <c r="SFC109" s="38"/>
      <c r="SFI109" s="36"/>
      <c r="SFJ109" s="38"/>
      <c r="SFK109" s="38"/>
      <c r="SFQ109" s="36"/>
      <c r="SFR109" s="38"/>
      <c r="SFS109" s="38"/>
      <c r="SFY109" s="36"/>
      <c r="SFZ109" s="38"/>
      <c r="SGA109" s="38"/>
      <c r="SGG109" s="36"/>
      <c r="SGH109" s="38"/>
      <c r="SGI109" s="38"/>
      <c r="SGO109" s="36"/>
      <c r="SGP109" s="38"/>
      <c r="SGQ109" s="38"/>
      <c r="SGW109" s="36"/>
      <c r="SGX109" s="38"/>
      <c r="SGY109" s="38"/>
      <c r="SHE109" s="36"/>
      <c r="SHF109" s="38"/>
      <c r="SHG109" s="38"/>
      <c r="SHM109" s="36"/>
      <c r="SHN109" s="38"/>
      <c r="SHO109" s="38"/>
      <c r="SHU109" s="36"/>
      <c r="SHV109" s="38"/>
      <c r="SHW109" s="38"/>
      <c r="SIC109" s="36"/>
      <c r="SID109" s="38"/>
      <c r="SIE109" s="38"/>
      <c r="SIK109" s="36"/>
      <c r="SIL109" s="38"/>
      <c r="SIM109" s="38"/>
      <c r="SIS109" s="36"/>
      <c r="SIT109" s="38"/>
      <c r="SIU109" s="38"/>
      <c r="SJA109" s="36"/>
      <c r="SJB109" s="38"/>
      <c r="SJC109" s="38"/>
      <c r="SJI109" s="36"/>
      <c r="SJJ109" s="38"/>
      <c r="SJK109" s="38"/>
      <c r="SJQ109" s="36"/>
      <c r="SJR109" s="38"/>
      <c r="SJS109" s="38"/>
      <c r="SJY109" s="36"/>
      <c r="SJZ109" s="38"/>
      <c r="SKA109" s="38"/>
      <c r="SKG109" s="36"/>
      <c r="SKH109" s="38"/>
      <c r="SKI109" s="38"/>
      <c r="SKO109" s="36"/>
      <c r="SKP109" s="38"/>
      <c r="SKQ109" s="38"/>
      <c r="SKW109" s="36"/>
      <c r="SKX109" s="38"/>
      <c r="SKY109" s="38"/>
      <c r="SLE109" s="36"/>
      <c r="SLF109" s="38"/>
      <c r="SLG109" s="38"/>
      <c r="SLM109" s="36"/>
      <c r="SLN109" s="38"/>
      <c r="SLO109" s="38"/>
      <c r="SLU109" s="36"/>
      <c r="SLV109" s="38"/>
      <c r="SLW109" s="38"/>
      <c r="SMC109" s="36"/>
      <c r="SMD109" s="38"/>
      <c r="SME109" s="38"/>
      <c r="SMK109" s="36"/>
      <c r="SML109" s="38"/>
      <c r="SMM109" s="38"/>
      <c r="SMS109" s="36"/>
      <c r="SMT109" s="38"/>
      <c r="SMU109" s="38"/>
      <c r="SNA109" s="36"/>
      <c r="SNB109" s="38"/>
      <c r="SNC109" s="38"/>
      <c r="SNI109" s="36"/>
      <c r="SNJ109" s="38"/>
      <c r="SNK109" s="38"/>
      <c r="SNQ109" s="36"/>
      <c r="SNR109" s="38"/>
      <c r="SNS109" s="38"/>
      <c r="SNY109" s="36"/>
      <c r="SNZ109" s="38"/>
      <c r="SOA109" s="38"/>
      <c r="SOG109" s="36"/>
      <c r="SOH109" s="38"/>
      <c r="SOI109" s="38"/>
      <c r="SOO109" s="36"/>
      <c r="SOP109" s="38"/>
      <c r="SOQ109" s="38"/>
      <c r="SOW109" s="36"/>
      <c r="SOX109" s="38"/>
      <c r="SOY109" s="38"/>
      <c r="SPE109" s="36"/>
      <c r="SPF109" s="38"/>
      <c r="SPG109" s="38"/>
      <c r="SPM109" s="36"/>
      <c r="SPN109" s="38"/>
      <c r="SPO109" s="38"/>
      <c r="SPU109" s="36"/>
      <c r="SPV109" s="38"/>
      <c r="SPW109" s="38"/>
      <c r="SQC109" s="36"/>
      <c r="SQD109" s="38"/>
      <c r="SQE109" s="38"/>
      <c r="SQK109" s="36"/>
      <c r="SQL109" s="38"/>
      <c r="SQM109" s="38"/>
      <c r="SQS109" s="36"/>
      <c r="SQT109" s="38"/>
      <c r="SQU109" s="38"/>
      <c r="SRA109" s="36"/>
      <c r="SRB109" s="38"/>
      <c r="SRC109" s="38"/>
      <c r="SRI109" s="36"/>
      <c r="SRJ109" s="38"/>
      <c r="SRK109" s="38"/>
      <c r="SRQ109" s="36"/>
      <c r="SRR109" s="38"/>
      <c r="SRS109" s="38"/>
      <c r="SRY109" s="36"/>
      <c r="SRZ109" s="38"/>
      <c r="SSA109" s="38"/>
      <c r="SSG109" s="36"/>
      <c r="SSH109" s="38"/>
      <c r="SSI109" s="38"/>
      <c r="SSO109" s="36"/>
      <c r="SSP109" s="38"/>
      <c r="SSQ109" s="38"/>
      <c r="SSW109" s="36"/>
      <c r="SSX109" s="38"/>
      <c r="SSY109" s="38"/>
      <c r="STE109" s="36"/>
      <c r="STF109" s="38"/>
      <c r="STG109" s="38"/>
      <c r="STM109" s="36"/>
      <c r="STN109" s="38"/>
      <c r="STO109" s="38"/>
      <c r="STU109" s="36"/>
      <c r="STV109" s="38"/>
      <c r="STW109" s="38"/>
      <c r="SUC109" s="36"/>
      <c r="SUD109" s="38"/>
      <c r="SUE109" s="38"/>
      <c r="SUK109" s="36"/>
      <c r="SUL109" s="38"/>
      <c r="SUM109" s="38"/>
      <c r="SUS109" s="36"/>
      <c r="SUT109" s="38"/>
      <c r="SUU109" s="38"/>
      <c r="SVA109" s="36"/>
      <c r="SVB109" s="38"/>
      <c r="SVC109" s="38"/>
      <c r="SVI109" s="36"/>
      <c r="SVJ109" s="38"/>
      <c r="SVK109" s="38"/>
      <c r="SVQ109" s="36"/>
      <c r="SVR109" s="38"/>
      <c r="SVS109" s="38"/>
      <c r="SVY109" s="36"/>
      <c r="SVZ109" s="38"/>
      <c r="SWA109" s="38"/>
      <c r="SWG109" s="36"/>
      <c r="SWH109" s="38"/>
      <c r="SWI109" s="38"/>
      <c r="SWO109" s="36"/>
      <c r="SWP109" s="38"/>
      <c r="SWQ109" s="38"/>
      <c r="SWW109" s="36"/>
      <c r="SWX109" s="38"/>
      <c r="SWY109" s="38"/>
      <c r="SXE109" s="36"/>
      <c r="SXF109" s="38"/>
      <c r="SXG109" s="38"/>
      <c r="SXM109" s="36"/>
      <c r="SXN109" s="38"/>
      <c r="SXO109" s="38"/>
      <c r="SXU109" s="36"/>
      <c r="SXV109" s="38"/>
      <c r="SXW109" s="38"/>
      <c r="SYC109" s="36"/>
      <c r="SYD109" s="38"/>
      <c r="SYE109" s="38"/>
      <c r="SYK109" s="36"/>
      <c r="SYL109" s="38"/>
      <c r="SYM109" s="38"/>
      <c r="SYS109" s="36"/>
      <c r="SYT109" s="38"/>
      <c r="SYU109" s="38"/>
      <c r="SZA109" s="36"/>
      <c r="SZB109" s="38"/>
      <c r="SZC109" s="38"/>
      <c r="SZI109" s="36"/>
      <c r="SZJ109" s="38"/>
      <c r="SZK109" s="38"/>
      <c r="SZQ109" s="36"/>
      <c r="SZR109" s="38"/>
      <c r="SZS109" s="38"/>
      <c r="SZY109" s="36"/>
      <c r="SZZ109" s="38"/>
      <c r="TAA109" s="38"/>
      <c r="TAG109" s="36"/>
      <c r="TAH109" s="38"/>
      <c r="TAI109" s="38"/>
      <c r="TAO109" s="36"/>
      <c r="TAP109" s="38"/>
      <c r="TAQ109" s="38"/>
      <c r="TAW109" s="36"/>
      <c r="TAX109" s="38"/>
      <c r="TAY109" s="38"/>
      <c r="TBE109" s="36"/>
      <c r="TBF109" s="38"/>
      <c r="TBG109" s="38"/>
      <c r="TBM109" s="36"/>
      <c r="TBN109" s="38"/>
      <c r="TBO109" s="38"/>
      <c r="TBU109" s="36"/>
      <c r="TBV109" s="38"/>
      <c r="TBW109" s="38"/>
      <c r="TCC109" s="36"/>
      <c r="TCD109" s="38"/>
      <c r="TCE109" s="38"/>
      <c r="TCK109" s="36"/>
      <c r="TCL109" s="38"/>
      <c r="TCM109" s="38"/>
      <c r="TCS109" s="36"/>
      <c r="TCT109" s="38"/>
      <c r="TCU109" s="38"/>
      <c r="TDA109" s="36"/>
      <c r="TDB109" s="38"/>
      <c r="TDC109" s="38"/>
      <c r="TDI109" s="36"/>
      <c r="TDJ109" s="38"/>
      <c r="TDK109" s="38"/>
      <c r="TDQ109" s="36"/>
      <c r="TDR109" s="38"/>
      <c r="TDS109" s="38"/>
      <c r="TDY109" s="36"/>
      <c r="TDZ109" s="38"/>
      <c r="TEA109" s="38"/>
      <c r="TEG109" s="36"/>
      <c r="TEH109" s="38"/>
      <c r="TEI109" s="38"/>
      <c r="TEO109" s="36"/>
      <c r="TEP109" s="38"/>
      <c r="TEQ109" s="38"/>
      <c r="TEW109" s="36"/>
      <c r="TEX109" s="38"/>
      <c r="TEY109" s="38"/>
      <c r="TFE109" s="36"/>
      <c r="TFF109" s="38"/>
      <c r="TFG109" s="38"/>
      <c r="TFM109" s="36"/>
      <c r="TFN109" s="38"/>
      <c r="TFO109" s="38"/>
      <c r="TFU109" s="36"/>
      <c r="TFV109" s="38"/>
      <c r="TFW109" s="38"/>
      <c r="TGC109" s="36"/>
      <c r="TGD109" s="38"/>
      <c r="TGE109" s="38"/>
      <c r="TGK109" s="36"/>
      <c r="TGL109" s="38"/>
      <c r="TGM109" s="38"/>
      <c r="TGS109" s="36"/>
      <c r="TGT109" s="38"/>
      <c r="TGU109" s="38"/>
      <c r="THA109" s="36"/>
      <c r="THB109" s="38"/>
      <c r="THC109" s="38"/>
      <c r="THI109" s="36"/>
      <c r="THJ109" s="38"/>
      <c r="THK109" s="38"/>
      <c r="THQ109" s="36"/>
      <c r="THR109" s="38"/>
      <c r="THS109" s="38"/>
      <c r="THY109" s="36"/>
      <c r="THZ109" s="38"/>
      <c r="TIA109" s="38"/>
      <c r="TIG109" s="36"/>
      <c r="TIH109" s="38"/>
      <c r="TII109" s="38"/>
      <c r="TIO109" s="36"/>
      <c r="TIP109" s="38"/>
      <c r="TIQ109" s="38"/>
      <c r="TIW109" s="36"/>
      <c r="TIX109" s="38"/>
      <c r="TIY109" s="38"/>
      <c r="TJE109" s="36"/>
      <c r="TJF109" s="38"/>
      <c r="TJG109" s="38"/>
      <c r="TJM109" s="36"/>
      <c r="TJN109" s="38"/>
      <c r="TJO109" s="38"/>
      <c r="TJU109" s="36"/>
      <c r="TJV109" s="38"/>
      <c r="TJW109" s="38"/>
      <c r="TKC109" s="36"/>
      <c r="TKD109" s="38"/>
      <c r="TKE109" s="38"/>
      <c r="TKK109" s="36"/>
      <c r="TKL109" s="38"/>
      <c r="TKM109" s="38"/>
      <c r="TKS109" s="36"/>
      <c r="TKT109" s="38"/>
      <c r="TKU109" s="38"/>
      <c r="TLA109" s="36"/>
      <c r="TLB109" s="38"/>
      <c r="TLC109" s="38"/>
      <c r="TLI109" s="36"/>
      <c r="TLJ109" s="38"/>
      <c r="TLK109" s="38"/>
      <c r="TLQ109" s="36"/>
      <c r="TLR109" s="38"/>
      <c r="TLS109" s="38"/>
      <c r="TLY109" s="36"/>
      <c r="TLZ109" s="38"/>
      <c r="TMA109" s="38"/>
      <c r="TMG109" s="36"/>
      <c r="TMH109" s="38"/>
      <c r="TMI109" s="38"/>
      <c r="TMO109" s="36"/>
      <c r="TMP109" s="38"/>
      <c r="TMQ109" s="38"/>
      <c r="TMW109" s="36"/>
      <c r="TMX109" s="38"/>
      <c r="TMY109" s="38"/>
      <c r="TNE109" s="36"/>
      <c r="TNF109" s="38"/>
      <c r="TNG109" s="38"/>
      <c r="TNM109" s="36"/>
      <c r="TNN109" s="38"/>
      <c r="TNO109" s="38"/>
      <c r="TNU109" s="36"/>
      <c r="TNV109" s="38"/>
      <c r="TNW109" s="38"/>
      <c r="TOC109" s="36"/>
      <c r="TOD109" s="38"/>
      <c r="TOE109" s="38"/>
      <c r="TOK109" s="36"/>
      <c r="TOL109" s="38"/>
      <c r="TOM109" s="38"/>
      <c r="TOS109" s="36"/>
      <c r="TOT109" s="38"/>
      <c r="TOU109" s="38"/>
      <c r="TPA109" s="36"/>
      <c r="TPB109" s="38"/>
      <c r="TPC109" s="38"/>
      <c r="TPI109" s="36"/>
      <c r="TPJ109" s="38"/>
      <c r="TPK109" s="38"/>
      <c r="TPQ109" s="36"/>
      <c r="TPR109" s="38"/>
      <c r="TPS109" s="38"/>
      <c r="TPY109" s="36"/>
      <c r="TPZ109" s="38"/>
      <c r="TQA109" s="38"/>
      <c r="TQG109" s="36"/>
      <c r="TQH109" s="38"/>
      <c r="TQI109" s="38"/>
      <c r="TQO109" s="36"/>
      <c r="TQP109" s="38"/>
      <c r="TQQ109" s="38"/>
      <c r="TQW109" s="36"/>
      <c r="TQX109" s="38"/>
      <c r="TQY109" s="38"/>
      <c r="TRE109" s="36"/>
      <c r="TRF109" s="38"/>
      <c r="TRG109" s="38"/>
      <c r="TRM109" s="36"/>
      <c r="TRN109" s="38"/>
      <c r="TRO109" s="38"/>
      <c r="TRU109" s="36"/>
      <c r="TRV109" s="38"/>
      <c r="TRW109" s="38"/>
      <c r="TSC109" s="36"/>
      <c r="TSD109" s="38"/>
      <c r="TSE109" s="38"/>
      <c r="TSK109" s="36"/>
      <c r="TSL109" s="38"/>
      <c r="TSM109" s="38"/>
      <c r="TSS109" s="36"/>
      <c r="TST109" s="38"/>
      <c r="TSU109" s="38"/>
      <c r="TTA109" s="36"/>
      <c r="TTB109" s="38"/>
      <c r="TTC109" s="38"/>
      <c r="TTI109" s="36"/>
      <c r="TTJ109" s="38"/>
      <c r="TTK109" s="38"/>
      <c r="TTQ109" s="36"/>
      <c r="TTR109" s="38"/>
      <c r="TTS109" s="38"/>
      <c r="TTY109" s="36"/>
      <c r="TTZ109" s="38"/>
      <c r="TUA109" s="38"/>
      <c r="TUG109" s="36"/>
      <c r="TUH109" s="38"/>
      <c r="TUI109" s="38"/>
      <c r="TUO109" s="36"/>
      <c r="TUP109" s="38"/>
      <c r="TUQ109" s="38"/>
      <c r="TUW109" s="36"/>
      <c r="TUX109" s="38"/>
      <c r="TUY109" s="38"/>
      <c r="TVE109" s="36"/>
      <c r="TVF109" s="38"/>
      <c r="TVG109" s="38"/>
      <c r="TVM109" s="36"/>
      <c r="TVN109" s="38"/>
      <c r="TVO109" s="38"/>
      <c r="TVU109" s="36"/>
      <c r="TVV109" s="38"/>
      <c r="TVW109" s="38"/>
      <c r="TWC109" s="36"/>
      <c r="TWD109" s="38"/>
      <c r="TWE109" s="38"/>
      <c r="TWK109" s="36"/>
      <c r="TWL109" s="38"/>
      <c r="TWM109" s="38"/>
      <c r="TWS109" s="36"/>
      <c r="TWT109" s="38"/>
      <c r="TWU109" s="38"/>
      <c r="TXA109" s="36"/>
      <c r="TXB109" s="38"/>
      <c r="TXC109" s="38"/>
      <c r="TXI109" s="36"/>
      <c r="TXJ109" s="38"/>
      <c r="TXK109" s="38"/>
      <c r="TXQ109" s="36"/>
      <c r="TXR109" s="38"/>
      <c r="TXS109" s="38"/>
      <c r="TXY109" s="36"/>
      <c r="TXZ109" s="38"/>
      <c r="TYA109" s="38"/>
      <c r="TYG109" s="36"/>
      <c r="TYH109" s="38"/>
      <c r="TYI109" s="38"/>
      <c r="TYO109" s="36"/>
      <c r="TYP109" s="38"/>
      <c r="TYQ109" s="38"/>
      <c r="TYW109" s="36"/>
      <c r="TYX109" s="38"/>
      <c r="TYY109" s="38"/>
      <c r="TZE109" s="36"/>
      <c r="TZF109" s="38"/>
      <c r="TZG109" s="38"/>
      <c r="TZM109" s="36"/>
      <c r="TZN109" s="38"/>
      <c r="TZO109" s="38"/>
      <c r="TZU109" s="36"/>
      <c r="TZV109" s="38"/>
      <c r="TZW109" s="38"/>
      <c r="UAC109" s="36"/>
      <c r="UAD109" s="38"/>
      <c r="UAE109" s="38"/>
      <c r="UAK109" s="36"/>
      <c r="UAL109" s="38"/>
      <c r="UAM109" s="38"/>
      <c r="UAS109" s="36"/>
      <c r="UAT109" s="38"/>
      <c r="UAU109" s="38"/>
      <c r="UBA109" s="36"/>
      <c r="UBB109" s="38"/>
      <c r="UBC109" s="38"/>
      <c r="UBI109" s="36"/>
      <c r="UBJ109" s="38"/>
      <c r="UBK109" s="38"/>
      <c r="UBQ109" s="36"/>
      <c r="UBR109" s="38"/>
      <c r="UBS109" s="38"/>
      <c r="UBY109" s="36"/>
      <c r="UBZ109" s="38"/>
      <c r="UCA109" s="38"/>
      <c r="UCG109" s="36"/>
      <c r="UCH109" s="38"/>
      <c r="UCI109" s="38"/>
      <c r="UCO109" s="36"/>
      <c r="UCP109" s="38"/>
      <c r="UCQ109" s="38"/>
      <c r="UCW109" s="36"/>
      <c r="UCX109" s="38"/>
      <c r="UCY109" s="38"/>
      <c r="UDE109" s="36"/>
      <c r="UDF109" s="38"/>
      <c r="UDG109" s="38"/>
      <c r="UDM109" s="36"/>
      <c r="UDN109" s="38"/>
      <c r="UDO109" s="38"/>
      <c r="UDU109" s="36"/>
      <c r="UDV109" s="38"/>
      <c r="UDW109" s="38"/>
      <c r="UEC109" s="36"/>
      <c r="UED109" s="38"/>
      <c r="UEE109" s="38"/>
      <c r="UEK109" s="36"/>
      <c r="UEL109" s="38"/>
      <c r="UEM109" s="38"/>
      <c r="UES109" s="36"/>
      <c r="UET109" s="38"/>
      <c r="UEU109" s="38"/>
      <c r="UFA109" s="36"/>
      <c r="UFB109" s="38"/>
      <c r="UFC109" s="38"/>
      <c r="UFI109" s="36"/>
      <c r="UFJ109" s="38"/>
      <c r="UFK109" s="38"/>
      <c r="UFQ109" s="36"/>
      <c r="UFR109" s="38"/>
      <c r="UFS109" s="38"/>
      <c r="UFY109" s="36"/>
      <c r="UFZ109" s="38"/>
      <c r="UGA109" s="38"/>
      <c r="UGG109" s="36"/>
      <c r="UGH109" s="38"/>
      <c r="UGI109" s="38"/>
      <c r="UGO109" s="36"/>
      <c r="UGP109" s="38"/>
      <c r="UGQ109" s="38"/>
      <c r="UGW109" s="36"/>
      <c r="UGX109" s="38"/>
      <c r="UGY109" s="38"/>
      <c r="UHE109" s="36"/>
      <c r="UHF109" s="38"/>
      <c r="UHG109" s="38"/>
      <c r="UHM109" s="36"/>
      <c r="UHN109" s="38"/>
      <c r="UHO109" s="38"/>
      <c r="UHU109" s="36"/>
      <c r="UHV109" s="38"/>
      <c r="UHW109" s="38"/>
      <c r="UIC109" s="36"/>
      <c r="UID109" s="38"/>
      <c r="UIE109" s="38"/>
      <c r="UIK109" s="36"/>
      <c r="UIL109" s="38"/>
      <c r="UIM109" s="38"/>
      <c r="UIS109" s="36"/>
      <c r="UIT109" s="38"/>
      <c r="UIU109" s="38"/>
      <c r="UJA109" s="36"/>
      <c r="UJB109" s="38"/>
      <c r="UJC109" s="38"/>
      <c r="UJI109" s="36"/>
      <c r="UJJ109" s="38"/>
      <c r="UJK109" s="38"/>
      <c r="UJQ109" s="36"/>
      <c r="UJR109" s="38"/>
      <c r="UJS109" s="38"/>
      <c r="UJY109" s="36"/>
      <c r="UJZ109" s="38"/>
      <c r="UKA109" s="38"/>
      <c r="UKG109" s="36"/>
      <c r="UKH109" s="38"/>
      <c r="UKI109" s="38"/>
      <c r="UKO109" s="36"/>
      <c r="UKP109" s="38"/>
      <c r="UKQ109" s="38"/>
      <c r="UKW109" s="36"/>
      <c r="UKX109" s="38"/>
      <c r="UKY109" s="38"/>
      <c r="ULE109" s="36"/>
      <c r="ULF109" s="38"/>
      <c r="ULG109" s="38"/>
      <c r="ULM109" s="36"/>
      <c r="ULN109" s="38"/>
      <c r="ULO109" s="38"/>
      <c r="ULU109" s="36"/>
      <c r="ULV109" s="38"/>
      <c r="ULW109" s="38"/>
      <c r="UMC109" s="36"/>
      <c r="UMD109" s="38"/>
      <c r="UME109" s="38"/>
      <c r="UMK109" s="36"/>
      <c r="UML109" s="38"/>
      <c r="UMM109" s="38"/>
      <c r="UMS109" s="36"/>
      <c r="UMT109" s="38"/>
      <c r="UMU109" s="38"/>
      <c r="UNA109" s="36"/>
      <c r="UNB109" s="38"/>
      <c r="UNC109" s="38"/>
      <c r="UNI109" s="36"/>
      <c r="UNJ109" s="38"/>
      <c r="UNK109" s="38"/>
      <c r="UNQ109" s="36"/>
      <c r="UNR109" s="38"/>
      <c r="UNS109" s="38"/>
      <c r="UNY109" s="36"/>
      <c r="UNZ109" s="38"/>
      <c r="UOA109" s="38"/>
      <c r="UOG109" s="36"/>
      <c r="UOH109" s="38"/>
      <c r="UOI109" s="38"/>
      <c r="UOO109" s="36"/>
      <c r="UOP109" s="38"/>
      <c r="UOQ109" s="38"/>
      <c r="UOW109" s="36"/>
      <c r="UOX109" s="38"/>
      <c r="UOY109" s="38"/>
      <c r="UPE109" s="36"/>
      <c r="UPF109" s="38"/>
      <c r="UPG109" s="38"/>
      <c r="UPM109" s="36"/>
      <c r="UPN109" s="38"/>
      <c r="UPO109" s="38"/>
      <c r="UPU109" s="36"/>
      <c r="UPV109" s="38"/>
      <c r="UPW109" s="38"/>
      <c r="UQC109" s="36"/>
      <c r="UQD109" s="38"/>
      <c r="UQE109" s="38"/>
      <c r="UQK109" s="36"/>
      <c r="UQL109" s="38"/>
      <c r="UQM109" s="38"/>
      <c r="UQS109" s="36"/>
      <c r="UQT109" s="38"/>
      <c r="UQU109" s="38"/>
      <c r="URA109" s="36"/>
      <c r="URB109" s="38"/>
      <c r="URC109" s="38"/>
      <c r="URI109" s="36"/>
      <c r="URJ109" s="38"/>
      <c r="URK109" s="38"/>
      <c r="URQ109" s="36"/>
      <c r="URR109" s="38"/>
      <c r="URS109" s="38"/>
      <c r="URY109" s="36"/>
      <c r="URZ109" s="38"/>
      <c r="USA109" s="38"/>
      <c r="USG109" s="36"/>
      <c r="USH109" s="38"/>
      <c r="USI109" s="38"/>
      <c r="USO109" s="36"/>
      <c r="USP109" s="38"/>
      <c r="USQ109" s="38"/>
      <c r="USW109" s="36"/>
      <c r="USX109" s="38"/>
      <c r="USY109" s="38"/>
      <c r="UTE109" s="36"/>
      <c r="UTF109" s="38"/>
      <c r="UTG109" s="38"/>
      <c r="UTM109" s="36"/>
      <c r="UTN109" s="38"/>
      <c r="UTO109" s="38"/>
      <c r="UTU109" s="36"/>
      <c r="UTV109" s="38"/>
      <c r="UTW109" s="38"/>
      <c r="UUC109" s="36"/>
      <c r="UUD109" s="38"/>
      <c r="UUE109" s="38"/>
      <c r="UUK109" s="36"/>
      <c r="UUL109" s="38"/>
      <c r="UUM109" s="38"/>
      <c r="UUS109" s="36"/>
      <c r="UUT109" s="38"/>
      <c r="UUU109" s="38"/>
      <c r="UVA109" s="36"/>
      <c r="UVB109" s="38"/>
      <c r="UVC109" s="38"/>
      <c r="UVI109" s="36"/>
      <c r="UVJ109" s="38"/>
      <c r="UVK109" s="38"/>
      <c r="UVQ109" s="36"/>
      <c r="UVR109" s="38"/>
      <c r="UVS109" s="38"/>
      <c r="UVY109" s="36"/>
      <c r="UVZ109" s="38"/>
      <c r="UWA109" s="38"/>
      <c r="UWG109" s="36"/>
      <c r="UWH109" s="38"/>
      <c r="UWI109" s="38"/>
      <c r="UWO109" s="36"/>
      <c r="UWP109" s="38"/>
      <c r="UWQ109" s="38"/>
      <c r="UWW109" s="36"/>
      <c r="UWX109" s="38"/>
      <c r="UWY109" s="38"/>
      <c r="UXE109" s="36"/>
      <c r="UXF109" s="38"/>
      <c r="UXG109" s="38"/>
      <c r="UXM109" s="36"/>
      <c r="UXN109" s="38"/>
      <c r="UXO109" s="38"/>
      <c r="UXU109" s="36"/>
      <c r="UXV109" s="38"/>
      <c r="UXW109" s="38"/>
      <c r="UYC109" s="36"/>
      <c r="UYD109" s="38"/>
      <c r="UYE109" s="38"/>
      <c r="UYK109" s="36"/>
      <c r="UYL109" s="38"/>
      <c r="UYM109" s="38"/>
      <c r="UYS109" s="36"/>
      <c r="UYT109" s="38"/>
      <c r="UYU109" s="38"/>
      <c r="UZA109" s="36"/>
      <c r="UZB109" s="38"/>
      <c r="UZC109" s="38"/>
      <c r="UZI109" s="36"/>
      <c r="UZJ109" s="38"/>
      <c r="UZK109" s="38"/>
      <c r="UZQ109" s="36"/>
      <c r="UZR109" s="38"/>
      <c r="UZS109" s="38"/>
      <c r="UZY109" s="36"/>
      <c r="UZZ109" s="38"/>
      <c r="VAA109" s="38"/>
      <c r="VAG109" s="36"/>
      <c r="VAH109" s="38"/>
      <c r="VAI109" s="38"/>
      <c r="VAO109" s="36"/>
      <c r="VAP109" s="38"/>
      <c r="VAQ109" s="38"/>
      <c r="VAW109" s="36"/>
      <c r="VAX109" s="38"/>
      <c r="VAY109" s="38"/>
      <c r="VBE109" s="36"/>
      <c r="VBF109" s="38"/>
      <c r="VBG109" s="38"/>
      <c r="VBM109" s="36"/>
      <c r="VBN109" s="38"/>
      <c r="VBO109" s="38"/>
      <c r="VBU109" s="36"/>
      <c r="VBV109" s="38"/>
      <c r="VBW109" s="38"/>
      <c r="VCC109" s="36"/>
      <c r="VCD109" s="38"/>
      <c r="VCE109" s="38"/>
      <c r="VCK109" s="36"/>
      <c r="VCL109" s="38"/>
      <c r="VCM109" s="38"/>
      <c r="VCS109" s="36"/>
      <c r="VCT109" s="38"/>
      <c r="VCU109" s="38"/>
      <c r="VDA109" s="36"/>
      <c r="VDB109" s="38"/>
      <c r="VDC109" s="38"/>
      <c r="VDI109" s="36"/>
      <c r="VDJ109" s="38"/>
      <c r="VDK109" s="38"/>
      <c r="VDQ109" s="36"/>
      <c r="VDR109" s="38"/>
      <c r="VDS109" s="38"/>
      <c r="VDY109" s="36"/>
      <c r="VDZ109" s="38"/>
      <c r="VEA109" s="38"/>
      <c r="VEG109" s="36"/>
      <c r="VEH109" s="38"/>
      <c r="VEI109" s="38"/>
      <c r="VEO109" s="36"/>
      <c r="VEP109" s="38"/>
      <c r="VEQ109" s="38"/>
      <c r="VEW109" s="36"/>
      <c r="VEX109" s="38"/>
      <c r="VEY109" s="38"/>
      <c r="VFE109" s="36"/>
      <c r="VFF109" s="38"/>
      <c r="VFG109" s="38"/>
      <c r="VFM109" s="36"/>
      <c r="VFN109" s="38"/>
      <c r="VFO109" s="38"/>
      <c r="VFU109" s="36"/>
      <c r="VFV109" s="38"/>
      <c r="VFW109" s="38"/>
      <c r="VGC109" s="36"/>
      <c r="VGD109" s="38"/>
      <c r="VGE109" s="38"/>
      <c r="VGK109" s="36"/>
      <c r="VGL109" s="38"/>
      <c r="VGM109" s="38"/>
      <c r="VGS109" s="36"/>
      <c r="VGT109" s="38"/>
      <c r="VGU109" s="38"/>
      <c r="VHA109" s="36"/>
      <c r="VHB109" s="38"/>
      <c r="VHC109" s="38"/>
      <c r="VHI109" s="36"/>
      <c r="VHJ109" s="38"/>
      <c r="VHK109" s="38"/>
      <c r="VHQ109" s="36"/>
      <c r="VHR109" s="38"/>
      <c r="VHS109" s="38"/>
      <c r="VHY109" s="36"/>
      <c r="VHZ109" s="38"/>
      <c r="VIA109" s="38"/>
      <c r="VIG109" s="36"/>
      <c r="VIH109" s="38"/>
      <c r="VII109" s="38"/>
      <c r="VIO109" s="36"/>
      <c r="VIP109" s="38"/>
      <c r="VIQ109" s="38"/>
      <c r="VIW109" s="36"/>
      <c r="VIX109" s="38"/>
      <c r="VIY109" s="38"/>
      <c r="VJE109" s="36"/>
      <c r="VJF109" s="38"/>
      <c r="VJG109" s="38"/>
      <c r="VJM109" s="36"/>
      <c r="VJN109" s="38"/>
      <c r="VJO109" s="38"/>
      <c r="VJU109" s="36"/>
      <c r="VJV109" s="38"/>
      <c r="VJW109" s="38"/>
      <c r="VKC109" s="36"/>
      <c r="VKD109" s="38"/>
      <c r="VKE109" s="38"/>
      <c r="VKK109" s="36"/>
      <c r="VKL109" s="38"/>
      <c r="VKM109" s="38"/>
      <c r="VKS109" s="36"/>
      <c r="VKT109" s="38"/>
      <c r="VKU109" s="38"/>
      <c r="VLA109" s="36"/>
      <c r="VLB109" s="38"/>
      <c r="VLC109" s="38"/>
      <c r="VLI109" s="36"/>
      <c r="VLJ109" s="38"/>
      <c r="VLK109" s="38"/>
      <c r="VLQ109" s="36"/>
      <c r="VLR109" s="38"/>
      <c r="VLS109" s="38"/>
      <c r="VLY109" s="36"/>
      <c r="VLZ109" s="38"/>
      <c r="VMA109" s="38"/>
      <c r="VMG109" s="36"/>
      <c r="VMH109" s="38"/>
      <c r="VMI109" s="38"/>
      <c r="VMO109" s="36"/>
      <c r="VMP109" s="38"/>
      <c r="VMQ109" s="38"/>
      <c r="VMW109" s="36"/>
      <c r="VMX109" s="38"/>
      <c r="VMY109" s="38"/>
      <c r="VNE109" s="36"/>
      <c r="VNF109" s="38"/>
      <c r="VNG109" s="38"/>
      <c r="VNM109" s="36"/>
      <c r="VNN109" s="38"/>
      <c r="VNO109" s="38"/>
      <c r="VNU109" s="36"/>
      <c r="VNV109" s="38"/>
      <c r="VNW109" s="38"/>
      <c r="VOC109" s="36"/>
      <c r="VOD109" s="38"/>
      <c r="VOE109" s="38"/>
      <c r="VOK109" s="36"/>
      <c r="VOL109" s="38"/>
      <c r="VOM109" s="38"/>
      <c r="VOS109" s="36"/>
      <c r="VOT109" s="38"/>
      <c r="VOU109" s="38"/>
      <c r="VPA109" s="36"/>
      <c r="VPB109" s="38"/>
      <c r="VPC109" s="38"/>
      <c r="VPI109" s="36"/>
      <c r="VPJ109" s="38"/>
      <c r="VPK109" s="38"/>
      <c r="VPQ109" s="36"/>
      <c r="VPR109" s="38"/>
      <c r="VPS109" s="38"/>
      <c r="VPY109" s="36"/>
      <c r="VPZ109" s="38"/>
      <c r="VQA109" s="38"/>
      <c r="VQG109" s="36"/>
      <c r="VQH109" s="38"/>
      <c r="VQI109" s="38"/>
      <c r="VQO109" s="36"/>
      <c r="VQP109" s="38"/>
      <c r="VQQ109" s="38"/>
      <c r="VQW109" s="36"/>
      <c r="VQX109" s="38"/>
      <c r="VQY109" s="38"/>
      <c r="VRE109" s="36"/>
      <c r="VRF109" s="38"/>
      <c r="VRG109" s="38"/>
      <c r="VRM109" s="36"/>
      <c r="VRN109" s="38"/>
      <c r="VRO109" s="38"/>
      <c r="VRU109" s="36"/>
      <c r="VRV109" s="38"/>
      <c r="VRW109" s="38"/>
      <c r="VSC109" s="36"/>
      <c r="VSD109" s="38"/>
      <c r="VSE109" s="38"/>
      <c r="VSK109" s="36"/>
      <c r="VSL109" s="38"/>
      <c r="VSM109" s="38"/>
      <c r="VSS109" s="36"/>
      <c r="VST109" s="38"/>
      <c r="VSU109" s="38"/>
      <c r="VTA109" s="36"/>
      <c r="VTB109" s="38"/>
      <c r="VTC109" s="38"/>
      <c r="VTI109" s="36"/>
      <c r="VTJ109" s="38"/>
      <c r="VTK109" s="38"/>
      <c r="VTQ109" s="36"/>
      <c r="VTR109" s="38"/>
      <c r="VTS109" s="38"/>
      <c r="VTY109" s="36"/>
      <c r="VTZ109" s="38"/>
      <c r="VUA109" s="38"/>
      <c r="VUG109" s="36"/>
      <c r="VUH109" s="38"/>
      <c r="VUI109" s="38"/>
      <c r="VUO109" s="36"/>
      <c r="VUP109" s="38"/>
      <c r="VUQ109" s="38"/>
      <c r="VUW109" s="36"/>
      <c r="VUX109" s="38"/>
      <c r="VUY109" s="38"/>
      <c r="VVE109" s="36"/>
      <c r="VVF109" s="38"/>
      <c r="VVG109" s="38"/>
      <c r="VVM109" s="36"/>
      <c r="VVN109" s="38"/>
      <c r="VVO109" s="38"/>
      <c r="VVU109" s="36"/>
      <c r="VVV109" s="38"/>
      <c r="VVW109" s="38"/>
      <c r="VWC109" s="36"/>
      <c r="VWD109" s="38"/>
      <c r="VWE109" s="38"/>
      <c r="VWK109" s="36"/>
      <c r="VWL109" s="38"/>
      <c r="VWM109" s="38"/>
      <c r="VWS109" s="36"/>
      <c r="VWT109" s="38"/>
      <c r="VWU109" s="38"/>
      <c r="VXA109" s="36"/>
      <c r="VXB109" s="38"/>
      <c r="VXC109" s="38"/>
      <c r="VXI109" s="36"/>
      <c r="VXJ109" s="38"/>
      <c r="VXK109" s="38"/>
      <c r="VXQ109" s="36"/>
      <c r="VXR109" s="38"/>
      <c r="VXS109" s="38"/>
      <c r="VXY109" s="36"/>
      <c r="VXZ109" s="38"/>
      <c r="VYA109" s="38"/>
      <c r="VYG109" s="36"/>
      <c r="VYH109" s="38"/>
      <c r="VYI109" s="38"/>
      <c r="VYO109" s="36"/>
      <c r="VYP109" s="38"/>
      <c r="VYQ109" s="38"/>
      <c r="VYW109" s="36"/>
      <c r="VYX109" s="38"/>
      <c r="VYY109" s="38"/>
      <c r="VZE109" s="36"/>
      <c r="VZF109" s="38"/>
      <c r="VZG109" s="38"/>
      <c r="VZM109" s="36"/>
      <c r="VZN109" s="38"/>
      <c r="VZO109" s="38"/>
      <c r="VZU109" s="36"/>
      <c r="VZV109" s="38"/>
      <c r="VZW109" s="38"/>
      <c r="WAC109" s="36"/>
      <c r="WAD109" s="38"/>
      <c r="WAE109" s="38"/>
      <c r="WAK109" s="36"/>
      <c r="WAL109" s="38"/>
      <c r="WAM109" s="38"/>
      <c r="WAS109" s="36"/>
      <c r="WAT109" s="38"/>
      <c r="WAU109" s="38"/>
      <c r="WBA109" s="36"/>
      <c r="WBB109" s="38"/>
      <c r="WBC109" s="38"/>
      <c r="WBI109" s="36"/>
      <c r="WBJ109" s="38"/>
      <c r="WBK109" s="38"/>
      <c r="WBQ109" s="36"/>
      <c r="WBR109" s="38"/>
      <c r="WBS109" s="38"/>
      <c r="WBY109" s="36"/>
      <c r="WBZ109" s="38"/>
      <c r="WCA109" s="38"/>
      <c r="WCG109" s="36"/>
      <c r="WCH109" s="38"/>
      <c r="WCI109" s="38"/>
      <c r="WCO109" s="36"/>
      <c r="WCP109" s="38"/>
      <c r="WCQ109" s="38"/>
      <c r="WCW109" s="36"/>
      <c r="WCX109" s="38"/>
      <c r="WCY109" s="38"/>
      <c r="WDE109" s="36"/>
      <c r="WDF109" s="38"/>
      <c r="WDG109" s="38"/>
      <c r="WDM109" s="36"/>
      <c r="WDN109" s="38"/>
      <c r="WDO109" s="38"/>
      <c r="WDU109" s="36"/>
      <c r="WDV109" s="38"/>
      <c r="WDW109" s="38"/>
      <c r="WEC109" s="36"/>
      <c r="WED109" s="38"/>
      <c r="WEE109" s="38"/>
      <c r="WEK109" s="36"/>
      <c r="WEL109" s="38"/>
      <c r="WEM109" s="38"/>
      <c r="WES109" s="36"/>
      <c r="WET109" s="38"/>
      <c r="WEU109" s="38"/>
      <c r="WFA109" s="36"/>
      <c r="WFB109" s="38"/>
      <c r="WFC109" s="38"/>
      <c r="WFI109" s="36"/>
      <c r="WFJ109" s="38"/>
      <c r="WFK109" s="38"/>
      <c r="WFQ109" s="36"/>
      <c r="WFR109" s="38"/>
      <c r="WFS109" s="38"/>
      <c r="WFY109" s="36"/>
      <c r="WFZ109" s="38"/>
      <c r="WGA109" s="38"/>
      <c r="WGG109" s="36"/>
      <c r="WGH109" s="38"/>
      <c r="WGI109" s="38"/>
      <c r="WGO109" s="36"/>
      <c r="WGP109" s="38"/>
      <c r="WGQ109" s="38"/>
      <c r="WGW109" s="36"/>
      <c r="WGX109" s="38"/>
      <c r="WGY109" s="38"/>
      <c r="WHE109" s="36"/>
      <c r="WHF109" s="38"/>
      <c r="WHG109" s="38"/>
      <c r="WHM109" s="36"/>
      <c r="WHN109" s="38"/>
      <c r="WHO109" s="38"/>
      <c r="WHU109" s="36"/>
      <c r="WHV109" s="38"/>
      <c r="WHW109" s="38"/>
      <c r="WIC109" s="36"/>
      <c r="WID109" s="38"/>
      <c r="WIE109" s="38"/>
      <c r="WIK109" s="36"/>
      <c r="WIL109" s="38"/>
      <c r="WIM109" s="38"/>
      <c r="WIS109" s="36"/>
      <c r="WIT109" s="38"/>
      <c r="WIU109" s="38"/>
      <c r="WJA109" s="36"/>
      <c r="WJB109" s="38"/>
      <c r="WJC109" s="38"/>
      <c r="WJI109" s="36"/>
      <c r="WJJ109" s="38"/>
      <c r="WJK109" s="38"/>
      <c r="WJQ109" s="36"/>
      <c r="WJR109" s="38"/>
      <c r="WJS109" s="38"/>
      <c r="WJY109" s="36"/>
      <c r="WJZ109" s="38"/>
      <c r="WKA109" s="38"/>
      <c r="WKG109" s="36"/>
      <c r="WKH109" s="38"/>
      <c r="WKI109" s="38"/>
      <c r="WKO109" s="36"/>
      <c r="WKP109" s="38"/>
      <c r="WKQ109" s="38"/>
      <c r="WKW109" s="36"/>
      <c r="WKX109" s="38"/>
      <c r="WKY109" s="38"/>
      <c r="WLE109" s="36"/>
      <c r="WLF109" s="38"/>
      <c r="WLG109" s="38"/>
      <c r="WLM109" s="36"/>
      <c r="WLN109" s="38"/>
      <c r="WLO109" s="38"/>
      <c r="WLU109" s="36"/>
      <c r="WLV109" s="38"/>
      <c r="WLW109" s="38"/>
      <c r="WMC109" s="36"/>
      <c r="WMD109" s="38"/>
      <c r="WME109" s="38"/>
      <c r="WMK109" s="36"/>
      <c r="WML109" s="38"/>
      <c r="WMM109" s="38"/>
      <c r="WMS109" s="36"/>
      <c r="WMT109" s="38"/>
      <c r="WMU109" s="38"/>
      <c r="WNA109" s="36"/>
      <c r="WNB109" s="38"/>
      <c r="WNC109" s="38"/>
      <c r="WNI109" s="36"/>
      <c r="WNJ109" s="38"/>
      <c r="WNK109" s="38"/>
      <c r="WNQ109" s="36"/>
      <c r="WNR109" s="38"/>
      <c r="WNS109" s="38"/>
      <c r="WNY109" s="36"/>
      <c r="WNZ109" s="38"/>
      <c r="WOA109" s="38"/>
      <c r="WOG109" s="36"/>
      <c r="WOH109" s="38"/>
      <c r="WOI109" s="38"/>
      <c r="WOO109" s="36"/>
      <c r="WOP109" s="38"/>
      <c r="WOQ109" s="38"/>
      <c r="WOW109" s="36"/>
      <c r="WOX109" s="38"/>
      <c r="WOY109" s="38"/>
      <c r="WPE109" s="36"/>
      <c r="WPF109" s="38"/>
      <c r="WPG109" s="38"/>
      <c r="WPM109" s="36"/>
      <c r="WPN109" s="38"/>
      <c r="WPO109" s="38"/>
      <c r="WPU109" s="36"/>
      <c r="WPV109" s="38"/>
      <c r="WPW109" s="38"/>
      <c r="WQC109" s="36"/>
      <c r="WQD109" s="38"/>
      <c r="WQE109" s="38"/>
      <c r="WQK109" s="36"/>
      <c r="WQL109" s="38"/>
      <c r="WQM109" s="38"/>
      <c r="WQS109" s="36"/>
      <c r="WQT109" s="38"/>
      <c r="WQU109" s="38"/>
      <c r="WRA109" s="36"/>
      <c r="WRB109" s="38"/>
      <c r="WRC109" s="38"/>
      <c r="WRI109" s="36"/>
      <c r="WRJ109" s="38"/>
      <c r="WRK109" s="38"/>
      <c r="WRQ109" s="36"/>
      <c r="WRR109" s="38"/>
      <c r="WRS109" s="38"/>
      <c r="WRY109" s="36"/>
      <c r="WRZ109" s="38"/>
      <c r="WSA109" s="38"/>
      <c r="WSG109" s="36"/>
      <c r="WSH109" s="38"/>
      <c r="WSI109" s="38"/>
      <c r="WSO109" s="36"/>
      <c r="WSP109" s="38"/>
      <c r="WSQ109" s="38"/>
      <c r="WSW109" s="36"/>
      <c r="WSX109" s="38"/>
      <c r="WSY109" s="38"/>
      <c r="WTE109" s="36"/>
      <c r="WTF109" s="38"/>
      <c r="WTG109" s="38"/>
      <c r="WTM109" s="36"/>
      <c r="WTN109" s="38"/>
      <c r="WTO109" s="38"/>
      <c r="WTU109" s="36"/>
      <c r="WTV109" s="38"/>
      <c r="WTW109" s="38"/>
      <c r="WUC109" s="36"/>
      <c r="WUD109" s="38"/>
      <c r="WUE109" s="38"/>
      <c r="WUK109" s="36"/>
      <c r="WUL109" s="38"/>
      <c r="WUM109" s="38"/>
      <c r="WUS109" s="36"/>
      <c r="WUT109" s="38"/>
      <c r="WUU109" s="38"/>
      <c r="WVA109" s="36"/>
      <c r="WVB109" s="38"/>
      <c r="WVC109" s="38"/>
      <c r="WVI109" s="36"/>
      <c r="WVJ109" s="38"/>
      <c r="WVK109" s="38"/>
      <c r="WVQ109" s="36"/>
      <c r="WVR109" s="38"/>
      <c r="WVS109" s="38"/>
      <c r="WVY109" s="36"/>
      <c r="WVZ109" s="38"/>
      <c r="WWA109" s="38"/>
      <c r="WWG109" s="36"/>
      <c r="WWH109" s="38"/>
      <c r="WWI109" s="38"/>
      <c r="WWO109" s="36"/>
      <c r="WWP109" s="38"/>
      <c r="WWQ109" s="38"/>
      <c r="WWW109" s="36"/>
      <c r="WWX109" s="38"/>
      <c r="WWY109" s="38"/>
      <c r="WXE109" s="36"/>
      <c r="WXF109" s="38"/>
      <c r="WXG109" s="38"/>
      <c r="WXM109" s="36"/>
      <c r="WXN109" s="38"/>
      <c r="WXO109" s="38"/>
      <c r="WXU109" s="36"/>
      <c r="WXV109" s="38"/>
      <c r="WXW109" s="38"/>
      <c r="WYC109" s="36"/>
      <c r="WYD109" s="38"/>
      <c r="WYE109" s="38"/>
      <c r="WYK109" s="36"/>
      <c r="WYL109" s="38"/>
      <c r="WYM109" s="38"/>
      <c r="WYS109" s="36"/>
      <c r="WYT109" s="38"/>
      <c r="WYU109" s="38"/>
      <c r="WZA109" s="36"/>
      <c r="WZB109" s="38"/>
      <c r="WZC109" s="38"/>
      <c r="WZI109" s="36"/>
      <c r="WZJ109" s="38"/>
      <c r="WZK109" s="38"/>
      <c r="WZQ109" s="36"/>
      <c r="WZR109" s="38"/>
      <c r="WZS109" s="38"/>
      <c r="WZY109" s="36"/>
      <c r="WZZ109" s="38"/>
      <c r="XAA109" s="38"/>
      <c r="XAG109" s="36"/>
      <c r="XAH109" s="38"/>
      <c r="XAI109" s="38"/>
      <c r="XAO109" s="36"/>
      <c r="XAP109" s="38"/>
      <c r="XAQ109" s="38"/>
      <c r="XAW109" s="36"/>
      <c r="XAX109" s="38"/>
      <c r="XAY109" s="38"/>
      <c r="XBE109" s="36"/>
      <c r="XBF109" s="38"/>
      <c r="XBG109" s="38"/>
      <c r="XBM109" s="36"/>
      <c r="XBN109" s="38"/>
      <c r="XBO109" s="38"/>
      <c r="XBU109" s="36"/>
      <c r="XBV109" s="38"/>
      <c r="XBW109" s="38"/>
      <c r="XCC109" s="36"/>
      <c r="XCD109" s="38"/>
      <c r="XCE109" s="38"/>
      <c r="XCK109" s="36"/>
      <c r="XCL109" s="38"/>
      <c r="XCM109" s="38"/>
      <c r="XCS109" s="36"/>
      <c r="XCT109" s="38"/>
      <c r="XCU109" s="38"/>
      <c r="XDA109" s="36"/>
      <c r="XDB109" s="38"/>
      <c r="XDC109" s="38"/>
      <c r="XDI109" s="36"/>
      <c r="XDJ109" s="38"/>
      <c r="XDK109" s="38"/>
      <c r="XDQ109" s="36"/>
      <c r="XDR109" s="38"/>
      <c r="XDS109" s="38"/>
      <c r="XDY109" s="36"/>
      <c r="XDZ109" s="38"/>
      <c r="XEA109" s="38"/>
      <c r="XEG109" s="36"/>
      <c r="XEH109" s="38"/>
      <c r="XEI109" s="38"/>
      <c r="XEO109" s="36"/>
      <c r="XEP109" s="38"/>
      <c r="XEQ109" s="38"/>
      <c r="XEW109" s="36"/>
      <c r="XEX109" s="38"/>
      <c r="XEY109" s="38"/>
    </row>
    <row r="110" spans="1:1019 1025:2043 2049:3067 3073:4091 4097:5115 5121:6139 6145:7163 7169:8187 8193:9211 9217:10235 10241:11259 11265:12283 12289:13307 13313:14331 14337:15355 15361:16379" s="24" customFormat="1" ht="15" customHeight="1">
      <c r="A110" s="36"/>
      <c r="B110" s="38" t="s">
        <v>65</v>
      </c>
      <c r="C110" s="38">
        <v>1105566</v>
      </c>
      <c r="D110" s="24">
        <v>210316</v>
      </c>
      <c r="E110" s="24">
        <v>73667</v>
      </c>
      <c r="F110" s="24">
        <v>620577</v>
      </c>
      <c r="G110" s="24">
        <v>195697</v>
      </c>
      <c r="H110" s="24">
        <v>5309</v>
      </c>
      <c r="J110" s="23"/>
      <c r="K110" s="38"/>
      <c r="Q110" s="36"/>
      <c r="R110" s="38"/>
      <c r="S110" s="38"/>
      <c r="Y110" s="36"/>
      <c r="Z110" s="38"/>
      <c r="AA110" s="38"/>
      <c r="AG110" s="36"/>
      <c r="AH110" s="38"/>
      <c r="AI110" s="38"/>
      <c r="AO110" s="36"/>
      <c r="AP110" s="38"/>
      <c r="AQ110" s="38"/>
      <c r="AW110" s="36"/>
      <c r="AX110" s="38"/>
      <c r="AY110" s="38"/>
      <c r="BE110" s="36"/>
      <c r="BF110" s="38"/>
      <c r="BG110" s="38"/>
      <c r="BM110" s="36"/>
      <c r="BN110" s="38"/>
      <c r="BO110" s="38"/>
      <c r="BU110" s="36"/>
      <c r="BV110" s="38"/>
      <c r="BW110" s="38"/>
      <c r="CC110" s="36"/>
      <c r="CD110" s="38"/>
      <c r="CE110" s="38"/>
      <c r="CK110" s="36"/>
      <c r="CL110" s="38"/>
      <c r="CM110" s="38"/>
      <c r="CS110" s="36"/>
      <c r="CT110" s="38"/>
      <c r="CU110" s="38"/>
      <c r="DA110" s="36"/>
      <c r="DB110" s="38"/>
      <c r="DC110" s="38"/>
      <c r="DI110" s="36"/>
      <c r="DJ110" s="38"/>
      <c r="DK110" s="38"/>
      <c r="DQ110" s="36"/>
      <c r="DR110" s="38"/>
      <c r="DS110" s="38"/>
      <c r="DY110" s="36"/>
      <c r="DZ110" s="38"/>
      <c r="EA110" s="38"/>
      <c r="EG110" s="36"/>
      <c r="EH110" s="38"/>
      <c r="EI110" s="38"/>
      <c r="EO110" s="36"/>
      <c r="EP110" s="38"/>
      <c r="EQ110" s="38"/>
      <c r="EW110" s="36"/>
      <c r="EX110" s="38"/>
      <c r="EY110" s="38"/>
      <c r="FE110" s="36"/>
      <c r="FF110" s="38"/>
      <c r="FG110" s="38"/>
      <c r="FM110" s="36"/>
      <c r="FN110" s="38"/>
      <c r="FO110" s="38"/>
      <c r="FU110" s="36"/>
      <c r="FV110" s="38"/>
      <c r="FW110" s="38"/>
      <c r="GC110" s="36"/>
      <c r="GD110" s="38"/>
      <c r="GE110" s="38"/>
      <c r="GK110" s="36"/>
      <c r="GL110" s="38"/>
      <c r="GM110" s="38"/>
      <c r="GS110" s="36"/>
      <c r="GT110" s="38"/>
      <c r="GU110" s="38"/>
      <c r="HA110" s="36"/>
      <c r="HB110" s="38"/>
      <c r="HC110" s="38"/>
      <c r="HI110" s="36"/>
      <c r="HJ110" s="38"/>
      <c r="HK110" s="38"/>
      <c r="HQ110" s="36"/>
      <c r="HR110" s="38"/>
      <c r="HS110" s="38"/>
      <c r="HY110" s="36"/>
      <c r="HZ110" s="38"/>
      <c r="IA110" s="38"/>
      <c r="IG110" s="36"/>
      <c r="IH110" s="38"/>
      <c r="II110" s="38"/>
      <c r="IO110" s="36"/>
      <c r="IP110" s="38"/>
      <c r="IQ110" s="38"/>
      <c r="IW110" s="36"/>
      <c r="IX110" s="38"/>
      <c r="IY110" s="38"/>
      <c r="JE110" s="36"/>
      <c r="JF110" s="38"/>
      <c r="JG110" s="38"/>
      <c r="JM110" s="36"/>
      <c r="JN110" s="38"/>
      <c r="JO110" s="38"/>
      <c r="JU110" s="36"/>
      <c r="JV110" s="38"/>
      <c r="JW110" s="38"/>
      <c r="KC110" s="36"/>
      <c r="KD110" s="38"/>
      <c r="KE110" s="38"/>
      <c r="KK110" s="36"/>
      <c r="KL110" s="38"/>
      <c r="KM110" s="38"/>
      <c r="KS110" s="36"/>
      <c r="KT110" s="38"/>
      <c r="KU110" s="38"/>
      <c r="LA110" s="36"/>
      <c r="LB110" s="38"/>
      <c r="LC110" s="38"/>
      <c r="LI110" s="36"/>
      <c r="LJ110" s="38"/>
      <c r="LK110" s="38"/>
      <c r="LQ110" s="36"/>
      <c r="LR110" s="38"/>
      <c r="LS110" s="38"/>
      <c r="LY110" s="36"/>
      <c r="LZ110" s="38"/>
      <c r="MA110" s="38"/>
      <c r="MG110" s="36"/>
      <c r="MH110" s="38"/>
      <c r="MI110" s="38"/>
      <c r="MO110" s="36"/>
      <c r="MP110" s="38"/>
      <c r="MQ110" s="38"/>
      <c r="MW110" s="36"/>
      <c r="MX110" s="38"/>
      <c r="MY110" s="38"/>
      <c r="NE110" s="36"/>
      <c r="NF110" s="38"/>
      <c r="NG110" s="38"/>
      <c r="NM110" s="36"/>
      <c r="NN110" s="38"/>
      <c r="NO110" s="38"/>
      <c r="NU110" s="36"/>
      <c r="NV110" s="38"/>
      <c r="NW110" s="38"/>
      <c r="OC110" s="36"/>
      <c r="OD110" s="38"/>
      <c r="OE110" s="38"/>
      <c r="OK110" s="36"/>
      <c r="OL110" s="38"/>
      <c r="OM110" s="38"/>
      <c r="OS110" s="36"/>
      <c r="OT110" s="38"/>
      <c r="OU110" s="38"/>
      <c r="PA110" s="36"/>
      <c r="PB110" s="38"/>
      <c r="PC110" s="38"/>
      <c r="PI110" s="36"/>
      <c r="PJ110" s="38"/>
      <c r="PK110" s="38"/>
      <c r="PQ110" s="36"/>
      <c r="PR110" s="38"/>
      <c r="PS110" s="38"/>
      <c r="PY110" s="36"/>
      <c r="PZ110" s="38"/>
      <c r="QA110" s="38"/>
      <c r="QG110" s="36"/>
      <c r="QH110" s="38"/>
      <c r="QI110" s="38"/>
      <c r="QO110" s="36"/>
      <c r="QP110" s="38"/>
      <c r="QQ110" s="38"/>
      <c r="QW110" s="36"/>
      <c r="QX110" s="38"/>
      <c r="QY110" s="38"/>
      <c r="RE110" s="36"/>
      <c r="RF110" s="38"/>
      <c r="RG110" s="38"/>
      <c r="RM110" s="36"/>
      <c r="RN110" s="38"/>
      <c r="RO110" s="38"/>
      <c r="RU110" s="36"/>
      <c r="RV110" s="38"/>
      <c r="RW110" s="38"/>
      <c r="SC110" s="36"/>
      <c r="SD110" s="38"/>
      <c r="SE110" s="38"/>
      <c r="SK110" s="36"/>
      <c r="SL110" s="38"/>
      <c r="SM110" s="38"/>
      <c r="SS110" s="36"/>
      <c r="ST110" s="38"/>
      <c r="SU110" s="38"/>
      <c r="TA110" s="36"/>
      <c r="TB110" s="38"/>
      <c r="TC110" s="38"/>
      <c r="TI110" s="36"/>
      <c r="TJ110" s="38"/>
      <c r="TK110" s="38"/>
      <c r="TQ110" s="36"/>
      <c r="TR110" s="38"/>
      <c r="TS110" s="38"/>
      <c r="TY110" s="36"/>
      <c r="TZ110" s="38"/>
      <c r="UA110" s="38"/>
      <c r="UG110" s="36"/>
      <c r="UH110" s="38"/>
      <c r="UI110" s="38"/>
      <c r="UO110" s="36"/>
      <c r="UP110" s="38"/>
      <c r="UQ110" s="38"/>
      <c r="UW110" s="36"/>
      <c r="UX110" s="38"/>
      <c r="UY110" s="38"/>
      <c r="VE110" s="36"/>
      <c r="VF110" s="38"/>
      <c r="VG110" s="38"/>
      <c r="VM110" s="36"/>
      <c r="VN110" s="38"/>
      <c r="VO110" s="38"/>
      <c r="VU110" s="36"/>
      <c r="VV110" s="38"/>
      <c r="VW110" s="38"/>
      <c r="WC110" s="36"/>
      <c r="WD110" s="38"/>
      <c r="WE110" s="38"/>
      <c r="WK110" s="36"/>
      <c r="WL110" s="38"/>
      <c r="WM110" s="38"/>
      <c r="WS110" s="36"/>
      <c r="WT110" s="38"/>
      <c r="WU110" s="38"/>
      <c r="XA110" s="36"/>
      <c r="XB110" s="38"/>
      <c r="XC110" s="38"/>
      <c r="XI110" s="36"/>
      <c r="XJ110" s="38"/>
      <c r="XK110" s="38"/>
      <c r="XQ110" s="36"/>
      <c r="XR110" s="38"/>
      <c r="XS110" s="38"/>
      <c r="XY110" s="36"/>
      <c r="XZ110" s="38"/>
      <c r="YA110" s="38"/>
      <c r="YG110" s="36"/>
      <c r="YH110" s="38"/>
      <c r="YI110" s="38"/>
      <c r="YO110" s="36"/>
      <c r="YP110" s="38"/>
      <c r="YQ110" s="38"/>
      <c r="YW110" s="36"/>
      <c r="YX110" s="38"/>
      <c r="YY110" s="38"/>
      <c r="ZE110" s="36"/>
      <c r="ZF110" s="38"/>
      <c r="ZG110" s="38"/>
      <c r="ZM110" s="36"/>
      <c r="ZN110" s="38"/>
      <c r="ZO110" s="38"/>
      <c r="ZU110" s="36"/>
      <c r="ZV110" s="38"/>
      <c r="ZW110" s="38"/>
      <c r="AAC110" s="36"/>
      <c r="AAD110" s="38"/>
      <c r="AAE110" s="38"/>
      <c r="AAK110" s="36"/>
      <c r="AAL110" s="38"/>
      <c r="AAM110" s="38"/>
      <c r="AAS110" s="36"/>
      <c r="AAT110" s="38"/>
      <c r="AAU110" s="38"/>
      <c r="ABA110" s="36"/>
      <c r="ABB110" s="38"/>
      <c r="ABC110" s="38"/>
      <c r="ABI110" s="36"/>
      <c r="ABJ110" s="38"/>
      <c r="ABK110" s="38"/>
      <c r="ABQ110" s="36"/>
      <c r="ABR110" s="38"/>
      <c r="ABS110" s="38"/>
      <c r="ABY110" s="36"/>
      <c r="ABZ110" s="38"/>
      <c r="ACA110" s="38"/>
      <c r="ACG110" s="36"/>
      <c r="ACH110" s="38"/>
      <c r="ACI110" s="38"/>
      <c r="ACO110" s="36"/>
      <c r="ACP110" s="38"/>
      <c r="ACQ110" s="38"/>
      <c r="ACW110" s="36"/>
      <c r="ACX110" s="38"/>
      <c r="ACY110" s="38"/>
      <c r="ADE110" s="36"/>
      <c r="ADF110" s="38"/>
      <c r="ADG110" s="38"/>
      <c r="ADM110" s="36"/>
      <c r="ADN110" s="38"/>
      <c r="ADO110" s="38"/>
      <c r="ADU110" s="36"/>
      <c r="ADV110" s="38"/>
      <c r="ADW110" s="38"/>
      <c r="AEC110" s="36"/>
      <c r="AED110" s="38"/>
      <c r="AEE110" s="38"/>
      <c r="AEK110" s="36"/>
      <c r="AEL110" s="38"/>
      <c r="AEM110" s="38"/>
      <c r="AES110" s="36"/>
      <c r="AET110" s="38"/>
      <c r="AEU110" s="38"/>
      <c r="AFA110" s="36"/>
      <c r="AFB110" s="38"/>
      <c r="AFC110" s="38"/>
      <c r="AFI110" s="36"/>
      <c r="AFJ110" s="38"/>
      <c r="AFK110" s="38"/>
      <c r="AFQ110" s="36"/>
      <c r="AFR110" s="38"/>
      <c r="AFS110" s="38"/>
      <c r="AFY110" s="36"/>
      <c r="AFZ110" s="38"/>
      <c r="AGA110" s="38"/>
      <c r="AGG110" s="36"/>
      <c r="AGH110" s="38"/>
      <c r="AGI110" s="38"/>
      <c r="AGO110" s="36"/>
      <c r="AGP110" s="38"/>
      <c r="AGQ110" s="38"/>
      <c r="AGW110" s="36"/>
      <c r="AGX110" s="38"/>
      <c r="AGY110" s="38"/>
      <c r="AHE110" s="36"/>
      <c r="AHF110" s="38"/>
      <c r="AHG110" s="38"/>
      <c r="AHM110" s="36"/>
      <c r="AHN110" s="38"/>
      <c r="AHO110" s="38"/>
      <c r="AHU110" s="36"/>
      <c r="AHV110" s="38"/>
      <c r="AHW110" s="38"/>
      <c r="AIC110" s="36"/>
      <c r="AID110" s="38"/>
      <c r="AIE110" s="38"/>
      <c r="AIK110" s="36"/>
      <c r="AIL110" s="38"/>
      <c r="AIM110" s="38"/>
      <c r="AIS110" s="36"/>
      <c r="AIT110" s="38"/>
      <c r="AIU110" s="38"/>
      <c r="AJA110" s="36"/>
      <c r="AJB110" s="38"/>
      <c r="AJC110" s="38"/>
      <c r="AJI110" s="36"/>
      <c r="AJJ110" s="38"/>
      <c r="AJK110" s="38"/>
      <c r="AJQ110" s="36"/>
      <c r="AJR110" s="38"/>
      <c r="AJS110" s="38"/>
      <c r="AJY110" s="36"/>
      <c r="AJZ110" s="38"/>
      <c r="AKA110" s="38"/>
      <c r="AKG110" s="36"/>
      <c r="AKH110" s="38"/>
      <c r="AKI110" s="38"/>
      <c r="AKO110" s="36"/>
      <c r="AKP110" s="38"/>
      <c r="AKQ110" s="38"/>
      <c r="AKW110" s="36"/>
      <c r="AKX110" s="38"/>
      <c r="AKY110" s="38"/>
      <c r="ALE110" s="36"/>
      <c r="ALF110" s="38"/>
      <c r="ALG110" s="38"/>
      <c r="ALM110" s="36"/>
      <c r="ALN110" s="38"/>
      <c r="ALO110" s="38"/>
      <c r="ALU110" s="36"/>
      <c r="ALV110" s="38"/>
      <c r="ALW110" s="38"/>
      <c r="AMC110" s="36"/>
      <c r="AMD110" s="38"/>
      <c r="AME110" s="38"/>
      <c r="AMK110" s="36"/>
      <c r="AML110" s="38"/>
      <c r="AMM110" s="38"/>
      <c r="AMS110" s="36"/>
      <c r="AMT110" s="38"/>
      <c r="AMU110" s="38"/>
      <c r="ANA110" s="36"/>
      <c r="ANB110" s="38"/>
      <c r="ANC110" s="38"/>
      <c r="ANI110" s="36"/>
      <c r="ANJ110" s="38"/>
      <c r="ANK110" s="38"/>
      <c r="ANQ110" s="36"/>
      <c r="ANR110" s="38"/>
      <c r="ANS110" s="38"/>
      <c r="ANY110" s="36"/>
      <c r="ANZ110" s="38"/>
      <c r="AOA110" s="38"/>
      <c r="AOG110" s="36"/>
      <c r="AOH110" s="38"/>
      <c r="AOI110" s="38"/>
      <c r="AOO110" s="36"/>
      <c r="AOP110" s="38"/>
      <c r="AOQ110" s="38"/>
      <c r="AOW110" s="36"/>
      <c r="AOX110" s="38"/>
      <c r="AOY110" s="38"/>
      <c r="APE110" s="36"/>
      <c r="APF110" s="38"/>
      <c r="APG110" s="38"/>
      <c r="APM110" s="36"/>
      <c r="APN110" s="38"/>
      <c r="APO110" s="38"/>
      <c r="APU110" s="36"/>
      <c r="APV110" s="38"/>
      <c r="APW110" s="38"/>
      <c r="AQC110" s="36"/>
      <c r="AQD110" s="38"/>
      <c r="AQE110" s="38"/>
      <c r="AQK110" s="36"/>
      <c r="AQL110" s="38"/>
      <c r="AQM110" s="38"/>
      <c r="AQS110" s="36"/>
      <c r="AQT110" s="38"/>
      <c r="AQU110" s="38"/>
      <c r="ARA110" s="36"/>
      <c r="ARB110" s="38"/>
      <c r="ARC110" s="38"/>
      <c r="ARI110" s="36"/>
      <c r="ARJ110" s="38"/>
      <c r="ARK110" s="38"/>
      <c r="ARQ110" s="36"/>
      <c r="ARR110" s="38"/>
      <c r="ARS110" s="38"/>
      <c r="ARY110" s="36"/>
      <c r="ARZ110" s="38"/>
      <c r="ASA110" s="38"/>
      <c r="ASG110" s="36"/>
      <c r="ASH110" s="38"/>
      <c r="ASI110" s="38"/>
      <c r="ASO110" s="36"/>
      <c r="ASP110" s="38"/>
      <c r="ASQ110" s="38"/>
      <c r="ASW110" s="36"/>
      <c r="ASX110" s="38"/>
      <c r="ASY110" s="38"/>
      <c r="ATE110" s="36"/>
      <c r="ATF110" s="38"/>
      <c r="ATG110" s="38"/>
      <c r="ATM110" s="36"/>
      <c r="ATN110" s="38"/>
      <c r="ATO110" s="38"/>
      <c r="ATU110" s="36"/>
      <c r="ATV110" s="38"/>
      <c r="ATW110" s="38"/>
      <c r="AUC110" s="36"/>
      <c r="AUD110" s="38"/>
      <c r="AUE110" s="38"/>
      <c r="AUK110" s="36"/>
      <c r="AUL110" s="38"/>
      <c r="AUM110" s="38"/>
      <c r="AUS110" s="36"/>
      <c r="AUT110" s="38"/>
      <c r="AUU110" s="38"/>
      <c r="AVA110" s="36"/>
      <c r="AVB110" s="38"/>
      <c r="AVC110" s="38"/>
      <c r="AVI110" s="36"/>
      <c r="AVJ110" s="38"/>
      <c r="AVK110" s="38"/>
      <c r="AVQ110" s="36"/>
      <c r="AVR110" s="38"/>
      <c r="AVS110" s="38"/>
      <c r="AVY110" s="36"/>
      <c r="AVZ110" s="38"/>
      <c r="AWA110" s="38"/>
      <c r="AWG110" s="36"/>
      <c r="AWH110" s="38"/>
      <c r="AWI110" s="38"/>
      <c r="AWO110" s="36"/>
      <c r="AWP110" s="38"/>
      <c r="AWQ110" s="38"/>
      <c r="AWW110" s="36"/>
      <c r="AWX110" s="38"/>
      <c r="AWY110" s="38"/>
      <c r="AXE110" s="36"/>
      <c r="AXF110" s="38"/>
      <c r="AXG110" s="38"/>
      <c r="AXM110" s="36"/>
      <c r="AXN110" s="38"/>
      <c r="AXO110" s="38"/>
      <c r="AXU110" s="36"/>
      <c r="AXV110" s="38"/>
      <c r="AXW110" s="38"/>
      <c r="AYC110" s="36"/>
      <c r="AYD110" s="38"/>
      <c r="AYE110" s="38"/>
      <c r="AYK110" s="36"/>
      <c r="AYL110" s="38"/>
      <c r="AYM110" s="38"/>
      <c r="AYS110" s="36"/>
      <c r="AYT110" s="38"/>
      <c r="AYU110" s="38"/>
      <c r="AZA110" s="36"/>
      <c r="AZB110" s="38"/>
      <c r="AZC110" s="38"/>
      <c r="AZI110" s="36"/>
      <c r="AZJ110" s="38"/>
      <c r="AZK110" s="38"/>
      <c r="AZQ110" s="36"/>
      <c r="AZR110" s="38"/>
      <c r="AZS110" s="38"/>
      <c r="AZY110" s="36"/>
      <c r="AZZ110" s="38"/>
      <c r="BAA110" s="38"/>
      <c r="BAG110" s="36"/>
      <c r="BAH110" s="38"/>
      <c r="BAI110" s="38"/>
      <c r="BAO110" s="36"/>
      <c r="BAP110" s="38"/>
      <c r="BAQ110" s="38"/>
      <c r="BAW110" s="36"/>
      <c r="BAX110" s="38"/>
      <c r="BAY110" s="38"/>
      <c r="BBE110" s="36"/>
      <c r="BBF110" s="38"/>
      <c r="BBG110" s="38"/>
      <c r="BBM110" s="36"/>
      <c r="BBN110" s="38"/>
      <c r="BBO110" s="38"/>
      <c r="BBU110" s="36"/>
      <c r="BBV110" s="38"/>
      <c r="BBW110" s="38"/>
      <c r="BCC110" s="36"/>
      <c r="BCD110" s="38"/>
      <c r="BCE110" s="38"/>
      <c r="BCK110" s="36"/>
      <c r="BCL110" s="38"/>
      <c r="BCM110" s="38"/>
      <c r="BCS110" s="36"/>
      <c r="BCT110" s="38"/>
      <c r="BCU110" s="38"/>
      <c r="BDA110" s="36"/>
      <c r="BDB110" s="38"/>
      <c r="BDC110" s="38"/>
      <c r="BDI110" s="36"/>
      <c r="BDJ110" s="38"/>
      <c r="BDK110" s="38"/>
      <c r="BDQ110" s="36"/>
      <c r="BDR110" s="38"/>
      <c r="BDS110" s="38"/>
      <c r="BDY110" s="36"/>
      <c r="BDZ110" s="38"/>
      <c r="BEA110" s="38"/>
      <c r="BEG110" s="36"/>
      <c r="BEH110" s="38"/>
      <c r="BEI110" s="38"/>
      <c r="BEO110" s="36"/>
      <c r="BEP110" s="38"/>
      <c r="BEQ110" s="38"/>
      <c r="BEW110" s="36"/>
      <c r="BEX110" s="38"/>
      <c r="BEY110" s="38"/>
      <c r="BFE110" s="36"/>
      <c r="BFF110" s="38"/>
      <c r="BFG110" s="38"/>
      <c r="BFM110" s="36"/>
      <c r="BFN110" s="38"/>
      <c r="BFO110" s="38"/>
      <c r="BFU110" s="36"/>
      <c r="BFV110" s="38"/>
      <c r="BFW110" s="38"/>
      <c r="BGC110" s="36"/>
      <c r="BGD110" s="38"/>
      <c r="BGE110" s="38"/>
      <c r="BGK110" s="36"/>
      <c r="BGL110" s="38"/>
      <c r="BGM110" s="38"/>
      <c r="BGS110" s="36"/>
      <c r="BGT110" s="38"/>
      <c r="BGU110" s="38"/>
      <c r="BHA110" s="36"/>
      <c r="BHB110" s="38"/>
      <c r="BHC110" s="38"/>
      <c r="BHI110" s="36"/>
      <c r="BHJ110" s="38"/>
      <c r="BHK110" s="38"/>
      <c r="BHQ110" s="36"/>
      <c r="BHR110" s="38"/>
      <c r="BHS110" s="38"/>
      <c r="BHY110" s="36"/>
      <c r="BHZ110" s="38"/>
      <c r="BIA110" s="38"/>
      <c r="BIG110" s="36"/>
      <c r="BIH110" s="38"/>
      <c r="BII110" s="38"/>
      <c r="BIO110" s="36"/>
      <c r="BIP110" s="38"/>
      <c r="BIQ110" s="38"/>
      <c r="BIW110" s="36"/>
      <c r="BIX110" s="38"/>
      <c r="BIY110" s="38"/>
      <c r="BJE110" s="36"/>
      <c r="BJF110" s="38"/>
      <c r="BJG110" s="38"/>
      <c r="BJM110" s="36"/>
      <c r="BJN110" s="38"/>
      <c r="BJO110" s="38"/>
      <c r="BJU110" s="36"/>
      <c r="BJV110" s="38"/>
      <c r="BJW110" s="38"/>
      <c r="BKC110" s="36"/>
      <c r="BKD110" s="38"/>
      <c r="BKE110" s="38"/>
      <c r="BKK110" s="36"/>
      <c r="BKL110" s="38"/>
      <c r="BKM110" s="38"/>
      <c r="BKS110" s="36"/>
      <c r="BKT110" s="38"/>
      <c r="BKU110" s="38"/>
      <c r="BLA110" s="36"/>
      <c r="BLB110" s="38"/>
      <c r="BLC110" s="38"/>
      <c r="BLI110" s="36"/>
      <c r="BLJ110" s="38"/>
      <c r="BLK110" s="38"/>
      <c r="BLQ110" s="36"/>
      <c r="BLR110" s="38"/>
      <c r="BLS110" s="38"/>
      <c r="BLY110" s="36"/>
      <c r="BLZ110" s="38"/>
      <c r="BMA110" s="38"/>
      <c r="BMG110" s="36"/>
      <c r="BMH110" s="38"/>
      <c r="BMI110" s="38"/>
      <c r="BMO110" s="36"/>
      <c r="BMP110" s="38"/>
      <c r="BMQ110" s="38"/>
      <c r="BMW110" s="36"/>
      <c r="BMX110" s="38"/>
      <c r="BMY110" s="38"/>
      <c r="BNE110" s="36"/>
      <c r="BNF110" s="38"/>
      <c r="BNG110" s="38"/>
      <c r="BNM110" s="36"/>
      <c r="BNN110" s="38"/>
      <c r="BNO110" s="38"/>
      <c r="BNU110" s="36"/>
      <c r="BNV110" s="38"/>
      <c r="BNW110" s="38"/>
      <c r="BOC110" s="36"/>
      <c r="BOD110" s="38"/>
      <c r="BOE110" s="38"/>
      <c r="BOK110" s="36"/>
      <c r="BOL110" s="38"/>
      <c r="BOM110" s="38"/>
      <c r="BOS110" s="36"/>
      <c r="BOT110" s="38"/>
      <c r="BOU110" s="38"/>
      <c r="BPA110" s="36"/>
      <c r="BPB110" s="38"/>
      <c r="BPC110" s="38"/>
      <c r="BPI110" s="36"/>
      <c r="BPJ110" s="38"/>
      <c r="BPK110" s="38"/>
      <c r="BPQ110" s="36"/>
      <c r="BPR110" s="38"/>
      <c r="BPS110" s="38"/>
      <c r="BPY110" s="36"/>
      <c r="BPZ110" s="38"/>
      <c r="BQA110" s="38"/>
      <c r="BQG110" s="36"/>
      <c r="BQH110" s="38"/>
      <c r="BQI110" s="38"/>
      <c r="BQO110" s="36"/>
      <c r="BQP110" s="38"/>
      <c r="BQQ110" s="38"/>
      <c r="BQW110" s="36"/>
      <c r="BQX110" s="38"/>
      <c r="BQY110" s="38"/>
      <c r="BRE110" s="36"/>
      <c r="BRF110" s="38"/>
      <c r="BRG110" s="38"/>
      <c r="BRM110" s="36"/>
      <c r="BRN110" s="38"/>
      <c r="BRO110" s="38"/>
      <c r="BRU110" s="36"/>
      <c r="BRV110" s="38"/>
      <c r="BRW110" s="38"/>
      <c r="BSC110" s="36"/>
      <c r="BSD110" s="38"/>
      <c r="BSE110" s="38"/>
      <c r="BSK110" s="36"/>
      <c r="BSL110" s="38"/>
      <c r="BSM110" s="38"/>
      <c r="BSS110" s="36"/>
      <c r="BST110" s="38"/>
      <c r="BSU110" s="38"/>
      <c r="BTA110" s="36"/>
      <c r="BTB110" s="38"/>
      <c r="BTC110" s="38"/>
      <c r="BTI110" s="36"/>
      <c r="BTJ110" s="38"/>
      <c r="BTK110" s="38"/>
      <c r="BTQ110" s="36"/>
      <c r="BTR110" s="38"/>
      <c r="BTS110" s="38"/>
      <c r="BTY110" s="36"/>
      <c r="BTZ110" s="38"/>
      <c r="BUA110" s="38"/>
      <c r="BUG110" s="36"/>
      <c r="BUH110" s="38"/>
      <c r="BUI110" s="38"/>
      <c r="BUO110" s="36"/>
      <c r="BUP110" s="38"/>
      <c r="BUQ110" s="38"/>
      <c r="BUW110" s="36"/>
      <c r="BUX110" s="38"/>
      <c r="BUY110" s="38"/>
      <c r="BVE110" s="36"/>
      <c r="BVF110" s="38"/>
      <c r="BVG110" s="38"/>
      <c r="BVM110" s="36"/>
      <c r="BVN110" s="38"/>
      <c r="BVO110" s="38"/>
      <c r="BVU110" s="36"/>
      <c r="BVV110" s="38"/>
      <c r="BVW110" s="38"/>
      <c r="BWC110" s="36"/>
      <c r="BWD110" s="38"/>
      <c r="BWE110" s="38"/>
      <c r="BWK110" s="36"/>
      <c r="BWL110" s="38"/>
      <c r="BWM110" s="38"/>
      <c r="BWS110" s="36"/>
      <c r="BWT110" s="38"/>
      <c r="BWU110" s="38"/>
      <c r="BXA110" s="36"/>
      <c r="BXB110" s="38"/>
      <c r="BXC110" s="38"/>
      <c r="BXI110" s="36"/>
      <c r="BXJ110" s="38"/>
      <c r="BXK110" s="38"/>
      <c r="BXQ110" s="36"/>
      <c r="BXR110" s="38"/>
      <c r="BXS110" s="38"/>
      <c r="BXY110" s="36"/>
      <c r="BXZ110" s="38"/>
      <c r="BYA110" s="38"/>
      <c r="BYG110" s="36"/>
      <c r="BYH110" s="38"/>
      <c r="BYI110" s="38"/>
      <c r="BYO110" s="36"/>
      <c r="BYP110" s="38"/>
      <c r="BYQ110" s="38"/>
      <c r="BYW110" s="36"/>
      <c r="BYX110" s="38"/>
      <c r="BYY110" s="38"/>
      <c r="BZE110" s="36"/>
      <c r="BZF110" s="38"/>
      <c r="BZG110" s="38"/>
      <c r="BZM110" s="36"/>
      <c r="BZN110" s="38"/>
      <c r="BZO110" s="38"/>
      <c r="BZU110" s="36"/>
      <c r="BZV110" s="38"/>
      <c r="BZW110" s="38"/>
      <c r="CAC110" s="36"/>
      <c r="CAD110" s="38"/>
      <c r="CAE110" s="38"/>
      <c r="CAK110" s="36"/>
      <c r="CAL110" s="38"/>
      <c r="CAM110" s="38"/>
      <c r="CAS110" s="36"/>
      <c r="CAT110" s="38"/>
      <c r="CAU110" s="38"/>
      <c r="CBA110" s="36"/>
      <c r="CBB110" s="38"/>
      <c r="CBC110" s="38"/>
      <c r="CBI110" s="36"/>
      <c r="CBJ110" s="38"/>
      <c r="CBK110" s="38"/>
      <c r="CBQ110" s="36"/>
      <c r="CBR110" s="38"/>
      <c r="CBS110" s="38"/>
      <c r="CBY110" s="36"/>
      <c r="CBZ110" s="38"/>
      <c r="CCA110" s="38"/>
      <c r="CCG110" s="36"/>
      <c r="CCH110" s="38"/>
      <c r="CCI110" s="38"/>
      <c r="CCO110" s="36"/>
      <c r="CCP110" s="38"/>
      <c r="CCQ110" s="38"/>
      <c r="CCW110" s="36"/>
      <c r="CCX110" s="38"/>
      <c r="CCY110" s="38"/>
      <c r="CDE110" s="36"/>
      <c r="CDF110" s="38"/>
      <c r="CDG110" s="38"/>
      <c r="CDM110" s="36"/>
      <c r="CDN110" s="38"/>
      <c r="CDO110" s="38"/>
      <c r="CDU110" s="36"/>
      <c r="CDV110" s="38"/>
      <c r="CDW110" s="38"/>
      <c r="CEC110" s="36"/>
      <c r="CED110" s="38"/>
      <c r="CEE110" s="38"/>
      <c r="CEK110" s="36"/>
      <c r="CEL110" s="38"/>
      <c r="CEM110" s="38"/>
      <c r="CES110" s="36"/>
      <c r="CET110" s="38"/>
      <c r="CEU110" s="38"/>
      <c r="CFA110" s="36"/>
      <c r="CFB110" s="38"/>
      <c r="CFC110" s="38"/>
      <c r="CFI110" s="36"/>
      <c r="CFJ110" s="38"/>
      <c r="CFK110" s="38"/>
      <c r="CFQ110" s="36"/>
      <c r="CFR110" s="38"/>
      <c r="CFS110" s="38"/>
      <c r="CFY110" s="36"/>
      <c r="CFZ110" s="38"/>
      <c r="CGA110" s="38"/>
      <c r="CGG110" s="36"/>
      <c r="CGH110" s="38"/>
      <c r="CGI110" s="38"/>
      <c r="CGO110" s="36"/>
      <c r="CGP110" s="38"/>
      <c r="CGQ110" s="38"/>
      <c r="CGW110" s="36"/>
      <c r="CGX110" s="38"/>
      <c r="CGY110" s="38"/>
      <c r="CHE110" s="36"/>
      <c r="CHF110" s="38"/>
      <c r="CHG110" s="38"/>
      <c r="CHM110" s="36"/>
      <c r="CHN110" s="38"/>
      <c r="CHO110" s="38"/>
      <c r="CHU110" s="36"/>
      <c r="CHV110" s="38"/>
      <c r="CHW110" s="38"/>
      <c r="CIC110" s="36"/>
      <c r="CID110" s="38"/>
      <c r="CIE110" s="38"/>
      <c r="CIK110" s="36"/>
      <c r="CIL110" s="38"/>
      <c r="CIM110" s="38"/>
      <c r="CIS110" s="36"/>
      <c r="CIT110" s="38"/>
      <c r="CIU110" s="38"/>
      <c r="CJA110" s="36"/>
      <c r="CJB110" s="38"/>
      <c r="CJC110" s="38"/>
      <c r="CJI110" s="36"/>
      <c r="CJJ110" s="38"/>
      <c r="CJK110" s="38"/>
      <c r="CJQ110" s="36"/>
      <c r="CJR110" s="38"/>
      <c r="CJS110" s="38"/>
      <c r="CJY110" s="36"/>
      <c r="CJZ110" s="38"/>
      <c r="CKA110" s="38"/>
      <c r="CKG110" s="36"/>
      <c r="CKH110" s="38"/>
      <c r="CKI110" s="38"/>
      <c r="CKO110" s="36"/>
      <c r="CKP110" s="38"/>
      <c r="CKQ110" s="38"/>
      <c r="CKW110" s="36"/>
      <c r="CKX110" s="38"/>
      <c r="CKY110" s="38"/>
      <c r="CLE110" s="36"/>
      <c r="CLF110" s="38"/>
      <c r="CLG110" s="38"/>
      <c r="CLM110" s="36"/>
      <c r="CLN110" s="38"/>
      <c r="CLO110" s="38"/>
      <c r="CLU110" s="36"/>
      <c r="CLV110" s="38"/>
      <c r="CLW110" s="38"/>
      <c r="CMC110" s="36"/>
      <c r="CMD110" s="38"/>
      <c r="CME110" s="38"/>
      <c r="CMK110" s="36"/>
      <c r="CML110" s="38"/>
      <c r="CMM110" s="38"/>
      <c r="CMS110" s="36"/>
      <c r="CMT110" s="38"/>
      <c r="CMU110" s="38"/>
      <c r="CNA110" s="36"/>
      <c r="CNB110" s="38"/>
      <c r="CNC110" s="38"/>
      <c r="CNI110" s="36"/>
      <c r="CNJ110" s="38"/>
      <c r="CNK110" s="38"/>
      <c r="CNQ110" s="36"/>
      <c r="CNR110" s="38"/>
      <c r="CNS110" s="38"/>
      <c r="CNY110" s="36"/>
      <c r="CNZ110" s="38"/>
      <c r="COA110" s="38"/>
      <c r="COG110" s="36"/>
      <c r="COH110" s="38"/>
      <c r="COI110" s="38"/>
      <c r="COO110" s="36"/>
      <c r="COP110" s="38"/>
      <c r="COQ110" s="38"/>
      <c r="COW110" s="36"/>
      <c r="COX110" s="38"/>
      <c r="COY110" s="38"/>
      <c r="CPE110" s="36"/>
      <c r="CPF110" s="38"/>
      <c r="CPG110" s="38"/>
      <c r="CPM110" s="36"/>
      <c r="CPN110" s="38"/>
      <c r="CPO110" s="38"/>
      <c r="CPU110" s="36"/>
      <c r="CPV110" s="38"/>
      <c r="CPW110" s="38"/>
      <c r="CQC110" s="36"/>
      <c r="CQD110" s="38"/>
      <c r="CQE110" s="38"/>
      <c r="CQK110" s="36"/>
      <c r="CQL110" s="38"/>
      <c r="CQM110" s="38"/>
      <c r="CQS110" s="36"/>
      <c r="CQT110" s="38"/>
      <c r="CQU110" s="38"/>
      <c r="CRA110" s="36"/>
      <c r="CRB110" s="38"/>
      <c r="CRC110" s="38"/>
      <c r="CRI110" s="36"/>
      <c r="CRJ110" s="38"/>
      <c r="CRK110" s="38"/>
      <c r="CRQ110" s="36"/>
      <c r="CRR110" s="38"/>
      <c r="CRS110" s="38"/>
      <c r="CRY110" s="36"/>
      <c r="CRZ110" s="38"/>
      <c r="CSA110" s="38"/>
      <c r="CSG110" s="36"/>
      <c r="CSH110" s="38"/>
      <c r="CSI110" s="38"/>
      <c r="CSO110" s="36"/>
      <c r="CSP110" s="38"/>
      <c r="CSQ110" s="38"/>
      <c r="CSW110" s="36"/>
      <c r="CSX110" s="38"/>
      <c r="CSY110" s="38"/>
      <c r="CTE110" s="36"/>
      <c r="CTF110" s="38"/>
      <c r="CTG110" s="38"/>
      <c r="CTM110" s="36"/>
      <c r="CTN110" s="38"/>
      <c r="CTO110" s="38"/>
      <c r="CTU110" s="36"/>
      <c r="CTV110" s="38"/>
      <c r="CTW110" s="38"/>
      <c r="CUC110" s="36"/>
      <c r="CUD110" s="38"/>
      <c r="CUE110" s="38"/>
      <c r="CUK110" s="36"/>
      <c r="CUL110" s="38"/>
      <c r="CUM110" s="38"/>
      <c r="CUS110" s="36"/>
      <c r="CUT110" s="38"/>
      <c r="CUU110" s="38"/>
      <c r="CVA110" s="36"/>
      <c r="CVB110" s="38"/>
      <c r="CVC110" s="38"/>
      <c r="CVI110" s="36"/>
      <c r="CVJ110" s="38"/>
      <c r="CVK110" s="38"/>
      <c r="CVQ110" s="36"/>
      <c r="CVR110" s="38"/>
      <c r="CVS110" s="38"/>
      <c r="CVY110" s="36"/>
      <c r="CVZ110" s="38"/>
      <c r="CWA110" s="38"/>
      <c r="CWG110" s="36"/>
      <c r="CWH110" s="38"/>
      <c r="CWI110" s="38"/>
      <c r="CWO110" s="36"/>
      <c r="CWP110" s="38"/>
      <c r="CWQ110" s="38"/>
      <c r="CWW110" s="36"/>
      <c r="CWX110" s="38"/>
      <c r="CWY110" s="38"/>
      <c r="CXE110" s="36"/>
      <c r="CXF110" s="38"/>
      <c r="CXG110" s="38"/>
      <c r="CXM110" s="36"/>
      <c r="CXN110" s="38"/>
      <c r="CXO110" s="38"/>
      <c r="CXU110" s="36"/>
      <c r="CXV110" s="38"/>
      <c r="CXW110" s="38"/>
      <c r="CYC110" s="36"/>
      <c r="CYD110" s="38"/>
      <c r="CYE110" s="38"/>
      <c r="CYK110" s="36"/>
      <c r="CYL110" s="38"/>
      <c r="CYM110" s="38"/>
      <c r="CYS110" s="36"/>
      <c r="CYT110" s="38"/>
      <c r="CYU110" s="38"/>
      <c r="CZA110" s="36"/>
      <c r="CZB110" s="38"/>
      <c r="CZC110" s="38"/>
      <c r="CZI110" s="36"/>
      <c r="CZJ110" s="38"/>
      <c r="CZK110" s="38"/>
      <c r="CZQ110" s="36"/>
      <c r="CZR110" s="38"/>
      <c r="CZS110" s="38"/>
      <c r="CZY110" s="36"/>
      <c r="CZZ110" s="38"/>
      <c r="DAA110" s="38"/>
      <c r="DAG110" s="36"/>
      <c r="DAH110" s="38"/>
      <c r="DAI110" s="38"/>
      <c r="DAO110" s="36"/>
      <c r="DAP110" s="38"/>
      <c r="DAQ110" s="38"/>
      <c r="DAW110" s="36"/>
      <c r="DAX110" s="38"/>
      <c r="DAY110" s="38"/>
      <c r="DBE110" s="36"/>
      <c r="DBF110" s="38"/>
      <c r="DBG110" s="38"/>
      <c r="DBM110" s="36"/>
      <c r="DBN110" s="38"/>
      <c r="DBO110" s="38"/>
      <c r="DBU110" s="36"/>
      <c r="DBV110" s="38"/>
      <c r="DBW110" s="38"/>
      <c r="DCC110" s="36"/>
      <c r="DCD110" s="38"/>
      <c r="DCE110" s="38"/>
      <c r="DCK110" s="36"/>
      <c r="DCL110" s="38"/>
      <c r="DCM110" s="38"/>
      <c r="DCS110" s="36"/>
      <c r="DCT110" s="38"/>
      <c r="DCU110" s="38"/>
      <c r="DDA110" s="36"/>
      <c r="DDB110" s="38"/>
      <c r="DDC110" s="38"/>
      <c r="DDI110" s="36"/>
      <c r="DDJ110" s="38"/>
      <c r="DDK110" s="38"/>
      <c r="DDQ110" s="36"/>
      <c r="DDR110" s="38"/>
      <c r="DDS110" s="38"/>
      <c r="DDY110" s="36"/>
      <c r="DDZ110" s="38"/>
      <c r="DEA110" s="38"/>
      <c r="DEG110" s="36"/>
      <c r="DEH110" s="38"/>
      <c r="DEI110" s="38"/>
      <c r="DEO110" s="36"/>
      <c r="DEP110" s="38"/>
      <c r="DEQ110" s="38"/>
      <c r="DEW110" s="36"/>
      <c r="DEX110" s="38"/>
      <c r="DEY110" s="38"/>
      <c r="DFE110" s="36"/>
      <c r="DFF110" s="38"/>
      <c r="DFG110" s="38"/>
      <c r="DFM110" s="36"/>
      <c r="DFN110" s="38"/>
      <c r="DFO110" s="38"/>
      <c r="DFU110" s="36"/>
      <c r="DFV110" s="38"/>
      <c r="DFW110" s="38"/>
      <c r="DGC110" s="36"/>
      <c r="DGD110" s="38"/>
      <c r="DGE110" s="38"/>
      <c r="DGK110" s="36"/>
      <c r="DGL110" s="38"/>
      <c r="DGM110" s="38"/>
      <c r="DGS110" s="36"/>
      <c r="DGT110" s="38"/>
      <c r="DGU110" s="38"/>
      <c r="DHA110" s="36"/>
      <c r="DHB110" s="38"/>
      <c r="DHC110" s="38"/>
      <c r="DHI110" s="36"/>
      <c r="DHJ110" s="38"/>
      <c r="DHK110" s="38"/>
      <c r="DHQ110" s="36"/>
      <c r="DHR110" s="38"/>
      <c r="DHS110" s="38"/>
      <c r="DHY110" s="36"/>
      <c r="DHZ110" s="38"/>
      <c r="DIA110" s="38"/>
      <c r="DIG110" s="36"/>
      <c r="DIH110" s="38"/>
      <c r="DII110" s="38"/>
      <c r="DIO110" s="36"/>
      <c r="DIP110" s="38"/>
      <c r="DIQ110" s="38"/>
      <c r="DIW110" s="36"/>
      <c r="DIX110" s="38"/>
      <c r="DIY110" s="38"/>
      <c r="DJE110" s="36"/>
      <c r="DJF110" s="38"/>
      <c r="DJG110" s="38"/>
      <c r="DJM110" s="36"/>
      <c r="DJN110" s="38"/>
      <c r="DJO110" s="38"/>
      <c r="DJU110" s="36"/>
      <c r="DJV110" s="38"/>
      <c r="DJW110" s="38"/>
      <c r="DKC110" s="36"/>
      <c r="DKD110" s="38"/>
      <c r="DKE110" s="38"/>
      <c r="DKK110" s="36"/>
      <c r="DKL110" s="38"/>
      <c r="DKM110" s="38"/>
      <c r="DKS110" s="36"/>
      <c r="DKT110" s="38"/>
      <c r="DKU110" s="38"/>
      <c r="DLA110" s="36"/>
      <c r="DLB110" s="38"/>
      <c r="DLC110" s="38"/>
      <c r="DLI110" s="36"/>
      <c r="DLJ110" s="38"/>
      <c r="DLK110" s="38"/>
      <c r="DLQ110" s="36"/>
      <c r="DLR110" s="38"/>
      <c r="DLS110" s="38"/>
      <c r="DLY110" s="36"/>
      <c r="DLZ110" s="38"/>
      <c r="DMA110" s="38"/>
      <c r="DMG110" s="36"/>
      <c r="DMH110" s="38"/>
      <c r="DMI110" s="38"/>
      <c r="DMO110" s="36"/>
      <c r="DMP110" s="38"/>
      <c r="DMQ110" s="38"/>
      <c r="DMW110" s="36"/>
      <c r="DMX110" s="38"/>
      <c r="DMY110" s="38"/>
      <c r="DNE110" s="36"/>
      <c r="DNF110" s="38"/>
      <c r="DNG110" s="38"/>
      <c r="DNM110" s="36"/>
      <c r="DNN110" s="38"/>
      <c r="DNO110" s="38"/>
      <c r="DNU110" s="36"/>
      <c r="DNV110" s="38"/>
      <c r="DNW110" s="38"/>
      <c r="DOC110" s="36"/>
      <c r="DOD110" s="38"/>
      <c r="DOE110" s="38"/>
      <c r="DOK110" s="36"/>
      <c r="DOL110" s="38"/>
      <c r="DOM110" s="38"/>
      <c r="DOS110" s="36"/>
      <c r="DOT110" s="38"/>
      <c r="DOU110" s="38"/>
      <c r="DPA110" s="36"/>
      <c r="DPB110" s="38"/>
      <c r="DPC110" s="38"/>
      <c r="DPI110" s="36"/>
      <c r="DPJ110" s="38"/>
      <c r="DPK110" s="38"/>
      <c r="DPQ110" s="36"/>
      <c r="DPR110" s="38"/>
      <c r="DPS110" s="38"/>
      <c r="DPY110" s="36"/>
      <c r="DPZ110" s="38"/>
      <c r="DQA110" s="38"/>
      <c r="DQG110" s="36"/>
      <c r="DQH110" s="38"/>
      <c r="DQI110" s="38"/>
      <c r="DQO110" s="36"/>
      <c r="DQP110" s="38"/>
      <c r="DQQ110" s="38"/>
      <c r="DQW110" s="36"/>
      <c r="DQX110" s="38"/>
      <c r="DQY110" s="38"/>
      <c r="DRE110" s="36"/>
      <c r="DRF110" s="38"/>
      <c r="DRG110" s="38"/>
      <c r="DRM110" s="36"/>
      <c r="DRN110" s="38"/>
      <c r="DRO110" s="38"/>
      <c r="DRU110" s="36"/>
      <c r="DRV110" s="38"/>
      <c r="DRW110" s="38"/>
      <c r="DSC110" s="36"/>
      <c r="DSD110" s="38"/>
      <c r="DSE110" s="38"/>
      <c r="DSK110" s="36"/>
      <c r="DSL110" s="38"/>
      <c r="DSM110" s="38"/>
      <c r="DSS110" s="36"/>
      <c r="DST110" s="38"/>
      <c r="DSU110" s="38"/>
      <c r="DTA110" s="36"/>
      <c r="DTB110" s="38"/>
      <c r="DTC110" s="38"/>
      <c r="DTI110" s="36"/>
      <c r="DTJ110" s="38"/>
      <c r="DTK110" s="38"/>
      <c r="DTQ110" s="36"/>
      <c r="DTR110" s="38"/>
      <c r="DTS110" s="38"/>
      <c r="DTY110" s="36"/>
      <c r="DTZ110" s="38"/>
      <c r="DUA110" s="38"/>
      <c r="DUG110" s="36"/>
      <c r="DUH110" s="38"/>
      <c r="DUI110" s="38"/>
      <c r="DUO110" s="36"/>
      <c r="DUP110" s="38"/>
      <c r="DUQ110" s="38"/>
      <c r="DUW110" s="36"/>
      <c r="DUX110" s="38"/>
      <c r="DUY110" s="38"/>
      <c r="DVE110" s="36"/>
      <c r="DVF110" s="38"/>
      <c r="DVG110" s="38"/>
      <c r="DVM110" s="36"/>
      <c r="DVN110" s="38"/>
      <c r="DVO110" s="38"/>
      <c r="DVU110" s="36"/>
      <c r="DVV110" s="38"/>
      <c r="DVW110" s="38"/>
      <c r="DWC110" s="36"/>
      <c r="DWD110" s="38"/>
      <c r="DWE110" s="38"/>
      <c r="DWK110" s="36"/>
      <c r="DWL110" s="38"/>
      <c r="DWM110" s="38"/>
      <c r="DWS110" s="36"/>
      <c r="DWT110" s="38"/>
      <c r="DWU110" s="38"/>
      <c r="DXA110" s="36"/>
      <c r="DXB110" s="38"/>
      <c r="DXC110" s="38"/>
      <c r="DXI110" s="36"/>
      <c r="DXJ110" s="38"/>
      <c r="DXK110" s="38"/>
      <c r="DXQ110" s="36"/>
      <c r="DXR110" s="38"/>
      <c r="DXS110" s="38"/>
      <c r="DXY110" s="36"/>
      <c r="DXZ110" s="38"/>
      <c r="DYA110" s="38"/>
      <c r="DYG110" s="36"/>
      <c r="DYH110" s="38"/>
      <c r="DYI110" s="38"/>
      <c r="DYO110" s="36"/>
      <c r="DYP110" s="38"/>
      <c r="DYQ110" s="38"/>
      <c r="DYW110" s="36"/>
      <c r="DYX110" s="38"/>
      <c r="DYY110" s="38"/>
      <c r="DZE110" s="36"/>
      <c r="DZF110" s="38"/>
      <c r="DZG110" s="38"/>
      <c r="DZM110" s="36"/>
      <c r="DZN110" s="38"/>
      <c r="DZO110" s="38"/>
      <c r="DZU110" s="36"/>
      <c r="DZV110" s="38"/>
      <c r="DZW110" s="38"/>
      <c r="EAC110" s="36"/>
      <c r="EAD110" s="38"/>
      <c r="EAE110" s="38"/>
      <c r="EAK110" s="36"/>
      <c r="EAL110" s="38"/>
      <c r="EAM110" s="38"/>
      <c r="EAS110" s="36"/>
      <c r="EAT110" s="38"/>
      <c r="EAU110" s="38"/>
      <c r="EBA110" s="36"/>
      <c r="EBB110" s="38"/>
      <c r="EBC110" s="38"/>
      <c r="EBI110" s="36"/>
      <c r="EBJ110" s="38"/>
      <c r="EBK110" s="38"/>
      <c r="EBQ110" s="36"/>
      <c r="EBR110" s="38"/>
      <c r="EBS110" s="38"/>
      <c r="EBY110" s="36"/>
      <c r="EBZ110" s="38"/>
      <c r="ECA110" s="38"/>
      <c r="ECG110" s="36"/>
      <c r="ECH110" s="38"/>
      <c r="ECI110" s="38"/>
      <c r="ECO110" s="36"/>
      <c r="ECP110" s="38"/>
      <c r="ECQ110" s="38"/>
      <c r="ECW110" s="36"/>
      <c r="ECX110" s="38"/>
      <c r="ECY110" s="38"/>
      <c r="EDE110" s="36"/>
      <c r="EDF110" s="38"/>
      <c r="EDG110" s="38"/>
      <c r="EDM110" s="36"/>
      <c r="EDN110" s="38"/>
      <c r="EDO110" s="38"/>
      <c r="EDU110" s="36"/>
      <c r="EDV110" s="38"/>
      <c r="EDW110" s="38"/>
      <c r="EEC110" s="36"/>
      <c r="EED110" s="38"/>
      <c r="EEE110" s="38"/>
      <c r="EEK110" s="36"/>
      <c r="EEL110" s="38"/>
      <c r="EEM110" s="38"/>
      <c r="EES110" s="36"/>
      <c r="EET110" s="38"/>
      <c r="EEU110" s="38"/>
      <c r="EFA110" s="36"/>
      <c r="EFB110" s="38"/>
      <c r="EFC110" s="38"/>
      <c r="EFI110" s="36"/>
      <c r="EFJ110" s="38"/>
      <c r="EFK110" s="38"/>
      <c r="EFQ110" s="36"/>
      <c r="EFR110" s="38"/>
      <c r="EFS110" s="38"/>
      <c r="EFY110" s="36"/>
      <c r="EFZ110" s="38"/>
      <c r="EGA110" s="38"/>
      <c r="EGG110" s="36"/>
      <c r="EGH110" s="38"/>
      <c r="EGI110" s="38"/>
      <c r="EGO110" s="36"/>
      <c r="EGP110" s="38"/>
      <c r="EGQ110" s="38"/>
      <c r="EGW110" s="36"/>
      <c r="EGX110" s="38"/>
      <c r="EGY110" s="38"/>
      <c r="EHE110" s="36"/>
      <c r="EHF110" s="38"/>
      <c r="EHG110" s="38"/>
      <c r="EHM110" s="36"/>
      <c r="EHN110" s="38"/>
      <c r="EHO110" s="38"/>
      <c r="EHU110" s="36"/>
      <c r="EHV110" s="38"/>
      <c r="EHW110" s="38"/>
      <c r="EIC110" s="36"/>
      <c r="EID110" s="38"/>
      <c r="EIE110" s="38"/>
      <c r="EIK110" s="36"/>
      <c r="EIL110" s="38"/>
      <c r="EIM110" s="38"/>
      <c r="EIS110" s="36"/>
      <c r="EIT110" s="38"/>
      <c r="EIU110" s="38"/>
      <c r="EJA110" s="36"/>
      <c r="EJB110" s="38"/>
      <c r="EJC110" s="38"/>
      <c r="EJI110" s="36"/>
      <c r="EJJ110" s="38"/>
      <c r="EJK110" s="38"/>
      <c r="EJQ110" s="36"/>
      <c r="EJR110" s="38"/>
      <c r="EJS110" s="38"/>
      <c r="EJY110" s="36"/>
      <c r="EJZ110" s="38"/>
      <c r="EKA110" s="38"/>
      <c r="EKG110" s="36"/>
      <c r="EKH110" s="38"/>
      <c r="EKI110" s="38"/>
      <c r="EKO110" s="36"/>
      <c r="EKP110" s="38"/>
      <c r="EKQ110" s="38"/>
      <c r="EKW110" s="36"/>
      <c r="EKX110" s="38"/>
      <c r="EKY110" s="38"/>
      <c r="ELE110" s="36"/>
      <c r="ELF110" s="38"/>
      <c r="ELG110" s="38"/>
      <c r="ELM110" s="36"/>
      <c r="ELN110" s="38"/>
      <c r="ELO110" s="38"/>
      <c r="ELU110" s="36"/>
      <c r="ELV110" s="38"/>
      <c r="ELW110" s="38"/>
      <c r="EMC110" s="36"/>
      <c r="EMD110" s="38"/>
      <c r="EME110" s="38"/>
      <c r="EMK110" s="36"/>
      <c r="EML110" s="38"/>
      <c r="EMM110" s="38"/>
      <c r="EMS110" s="36"/>
      <c r="EMT110" s="38"/>
      <c r="EMU110" s="38"/>
      <c r="ENA110" s="36"/>
      <c r="ENB110" s="38"/>
      <c r="ENC110" s="38"/>
      <c r="ENI110" s="36"/>
      <c r="ENJ110" s="38"/>
      <c r="ENK110" s="38"/>
      <c r="ENQ110" s="36"/>
      <c r="ENR110" s="38"/>
      <c r="ENS110" s="38"/>
      <c r="ENY110" s="36"/>
      <c r="ENZ110" s="38"/>
      <c r="EOA110" s="38"/>
      <c r="EOG110" s="36"/>
      <c r="EOH110" s="38"/>
      <c r="EOI110" s="38"/>
      <c r="EOO110" s="36"/>
      <c r="EOP110" s="38"/>
      <c r="EOQ110" s="38"/>
      <c r="EOW110" s="36"/>
      <c r="EOX110" s="38"/>
      <c r="EOY110" s="38"/>
      <c r="EPE110" s="36"/>
      <c r="EPF110" s="38"/>
      <c r="EPG110" s="38"/>
      <c r="EPM110" s="36"/>
      <c r="EPN110" s="38"/>
      <c r="EPO110" s="38"/>
      <c r="EPU110" s="36"/>
      <c r="EPV110" s="38"/>
      <c r="EPW110" s="38"/>
      <c r="EQC110" s="36"/>
      <c r="EQD110" s="38"/>
      <c r="EQE110" s="38"/>
      <c r="EQK110" s="36"/>
      <c r="EQL110" s="38"/>
      <c r="EQM110" s="38"/>
      <c r="EQS110" s="36"/>
      <c r="EQT110" s="38"/>
      <c r="EQU110" s="38"/>
      <c r="ERA110" s="36"/>
      <c r="ERB110" s="38"/>
      <c r="ERC110" s="38"/>
      <c r="ERI110" s="36"/>
      <c r="ERJ110" s="38"/>
      <c r="ERK110" s="38"/>
      <c r="ERQ110" s="36"/>
      <c r="ERR110" s="38"/>
      <c r="ERS110" s="38"/>
      <c r="ERY110" s="36"/>
      <c r="ERZ110" s="38"/>
      <c r="ESA110" s="38"/>
      <c r="ESG110" s="36"/>
      <c r="ESH110" s="38"/>
      <c r="ESI110" s="38"/>
      <c r="ESO110" s="36"/>
      <c r="ESP110" s="38"/>
      <c r="ESQ110" s="38"/>
      <c r="ESW110" s="36"/>
      <c r="ESX110" s="38"/>
      <c r="ESY110" s="38"/>
      <c r="ETE110" s="36"/>
      <c r="ETF110" s="38"/>
      <c r="ETG110" s="38"/>
      <c r="ETM110" s="36"/>
      <c r="ETN110" s="38"/>
      <c r="ETO110" s="38"/>
      <c r="ETU110" s="36"/>
      <c r="ETV110" s="38"/>
      <c r="ETW110" s="38"/>
      <c r="EUC110" s="36"/>
      <c r="EUD110" s="38"/>
      <c r="EUE110" s="38"/>
      <c r="EUK110" s="36"/>
      <c r="EUL110" s="38"/>
      <c r="EUM110" s="38"/>
      <c r="EUS110" s="36"/>
      <c r="EUT110" s="38"/>
      <c r="EUU110" s="38"/>
      <c r="EVA110" s="36"/>
      <c r="EVB110" s="38"/>
      <c r="EVC110" s="38"/>
      <c r="EVI110" s="36"/>
      <c r="EVJ110" s="38"/>
      <c r="EVK110" s="38"/>
      <c r="EVQ110" s="36"/>
      <c r="EVR110" s="38"/>
      <c r="EVS110" s="38"/>
      <c r="EVY110" s="36"/>
      <c r="EVZ110" s="38"/>
      <c r="EWA110" s="38"/>
      <c r="EWG110" s="36"/>
      <c r="EWH110" s="38"/>
      <c r="EWI110" s="38"/>
      <c r="EWO110" s="36"/>
      <c r="EWP110" s="38"/>
      <c r="EWQ110" s="38"/>
      <c r="EWW110" s="36"/>
      <c r="EWX110" s="38"/>
      <c r="EWY110" s="38"/>
      <c r="EXE110" s="36"/>
      <c r="EXF110" s="38"/>
      <c r="EXG110" s="38"/>
      <c r="EXM110" s="36"/>
      <c r="EXN110" s="38"/>
      <c r="EXO110" s="38"/>
      <c r="EXU110" s="36"/>
      <c r="EXV110" s="38"/>
      <c r="EXW110" s="38"/>
      <c r="EYC110" s="36"/>
      <c r="EYD110" s="38"/>
      <c r="EYE110" s="38"/>
      <c r="EYK110" s="36"/>
      <c r="EYL110" s="38"/>
      <c r="EYM110" s="38"/>
      <c r="EYS110" s="36"/>
      <c r="EYT110" s="38"/>
      <c r="EYU110" s="38"/>
      <c r="EZA110" s="36"/>
      <c r="EZB110" s="38"/>
      <c r="EZC110" s="38"/>
      <c r="EZI110" s="36"/>
      <c r="EZJ110" s="38"/>
      <c r="EZK110" s="38"/>
      <c r="EZQ110" s="36"/>
      <c r="EZR110" s="38"/>
      <c r="EZS110" s="38"/>
      <c r="EZY110" s="36"/>
      <c r="EZZ110" s="38"/>
      <c r="FAA110" s="38"/>
      <c r="FAG110" s="36"/>
      <c r="FAH110" s="38"/>
      <c r="FAI110" s="38"/>
      <c r="FAO110" s="36"/>
      <c r="FAP110" s="38"/>
      <c r="FAQ110" s="38"/>
      <c r="FAW110" s="36"/>
      <c r="FAX110" s="38"/>
      <c r="FAY110" s="38"/>
      <c r="FBE110" s="36"/>
      <c r="FBF110" s="38"/>
      <c r="FBG110" s="38"/>
      <c r="FBM110" s="36"/>
      <c r="FBN110" s="38"/>
      <c r="FBO110" s="38"/>
      <c r="FBU110" s="36"/>
      <c r="FBV110" s="38"/>
      <c r="FBW110" s="38"/>
      <c r="FCC110" s="36"/>
      <c r="FCD110" s="38"/>
      <c r="FCE110" s="38"/>
      <c r="FCK110" s="36"/>
      <c r="FCL110" s="38"/>
      <c r="FCM110" s="38"/>
      <c r="FCS110" s="36"/>
      <c r="FCT110" s="38"/>
      <c r="FCU110" s="38"/>
      <c r="FDA110" s="36"/>
      <c r="FDB110" s="38"/>
      <c r="FDC110" s="38"/>
      <c r="FDI110" s="36"/>
      <c r="FDJ110" s="38"/>
      <c r="FDK110" s="38"/>
      <c r="FDQ110" s="36"/>
      <c r="FDR110" s="38"/>
      <c r="FDS110" s="38"/>
      <c r="FDY110" s="36"/>
      <c r="FDZ110" s="38"/>
      <c r="FEA110" s="38"/>
      <c r="FEG110" s="36"/>
      <c r="FEH110" s="38"/>
      <c r="FEI110" s="38"/>
      <c r="FEO110" s="36"/>
      <c r="FEP110" s="38"/>
      <c r="FEQ110" s="38"/>
      <c r="FEW110" s="36"/>
      <c r="FEX110" s="38"/>
      <c r="FEY110" s="38"/>
      <c r="FFE110" s="36"/>
      <c r="FFF110" s="38"/>
      <c r="FFG110" s="38"/>
      <c r="FFM110" s="36"/>
      <c r="FFN110" s="38"/>
      <c r="FFO110" s="38"/>
      <c r="FFU110" s="36"/>
      <c r="FFV110" s="38"/>
      <c r="FFW110" s="38"/>
      <c r="FGC110" s="36"/>
      <c r="FGD110" s="38"/>
      <c r="FGE110" s="38"/>
      <c r="FGK110" s="36"/>
      <c r="FGL110" s="38"/>
      <c r="FGM110" s="38"/>
      <c r="FGS110" s="36"/>
      <c r="FGT110" s="38"/>
      <c r="FGU110" s="38"/>
      <c r="FHA110" s="36"/>
      <c r="FHB110" s="38"/>
      <c r="FHC110" s="38"/>
      <c r="FHI110" s="36"/>
      <c r="FHJ110" s="38"/>
      <c r="FHK110" s="38"/>
      <c r="FHQ110" s="36"/>
      <c r="FHR110" s="38"/>
      <c r="FHS110" s="38"/>
      <c r="FHY110" s="36"/>
      <c r="FHZ110" s="38"/>
      <c r="FIA110" s="38"/>
      <c r="FIG110" s="36"/>
      <c r="FIH110" s="38"/>
      <c r="FII110" s="38"/>
      <c r="FIO110" s="36"/>
      <c r="FIP110" s="38"/>
      <c r="FIQ110" s="38"/>
      <c r="FIW110" s="36"/>
      <c r="FIX110" s="38"/>
      <c r="FIY110" s="38"/>
      <c r="FJE110" s="36"/>
      <c r="FJF110" s="38"/>
      <c r="FJG110" s="38"/>
      <c r="FJM110" s="36"/>
      <c r="FJN110" s="38"/>
      <c r="FJO110" s="38"/>
      <c r="FJU110" s="36"/>
      <c r="FJV110" s="38"/>
      <c r="FJW110" s="38"/>
      <c r="FKC110" s="36"/>
      <c r="FKD110" s="38"/>
      <c r="FKE110" s="38"/>
      <c r="FKK110" s="36"/>
      <c r="FKL110" s="38"/>
      <c r="FKM110" s="38"/>
      <c r="FKS110" s="36"/>
      <c r="FKT110" s="38"/>
      <c r="FKU110" s="38"/>
      <c r="FLA110" s="36"/>
      <c r="FLB110" s="38"/>
      <c r="FLC110" s="38"/>
      <c r="FLI110" s="36"/>
      <c r="FLJ110" s="38"/>
      <c r="FLK110" s="38"/>
      <c r="FLQ110" s="36"/>
      <c r="FLR110" s="38"/>
      <c r="FLS110" s="38"/>
      <c r="FLY110" s="36"/>
      <c r="FLZ110" s="38"/>
      <c r="FMA110" s="38"/>
      <c r="FMG110" s="36"/>
      <c r="FMH110" s="38"/>
      <c r="FMI110" s="38"/>
      <c r="FMO110" s="36"/>
      <c r="FMP110" s="38"/>
      <c r="FMQ110" s="38"/>
      <c r="FMW110" s="36"/>
      <c r="FMX110" s="38"/>
      <c r="FMY110" s="38"/>
      <c r="FNE110" s="36"/>
      <c r="FNF110" s="38"/>
      <c r="FNG110" s="38"/>
      <c r="FNM110" s="36"/>
      <c r="FNN110" s="38"/>
      <c r="FNO110" s="38"/>
      <c r="FNU110" s="36"/>
      <c r="FNV110" s="38"/>
      <c r="FNW110" s="38"/>
      <c r="FOC110" s="36"/>
      <c r="FOD110" s="38"/>
      <c r="FOE110" s="38"/>
      <c r="FOK110" s="36"/>
      <c r="FOL110" s="38"/>
      <c r="FOM110" s="38"/>
      <c r="FOS110" s="36"/>
      <c r="FOT110" s="38"/>
      <c r="FOU110" s="38"/>
      <c r="FPA110" s="36"/>
      <c r="FPB110" s="38"/>
      <c r="FPC110" s="38"/>
      <c r="FPI110" s="36"/>
      <c r="FPJ110" s="38"/>
      <c r="FPK110" s="38"/>
      <c r="FPQ110" s="36"/>
      <c r="FPR110" s="38"/>
      <c r="FPS110" s="38"/>
      <c r="FPY110" s="36"/>
      <c r="FPZ110" s="38"/>
      <c r="FQA110" s="38"/>
      <c r="FQG110" s="36"/>
      <c r="FQH110" s="38"/>
      <c r="FQI110" s="38"/>
      <c r="FQO110" s="36"/>
      <c r="FQP110" s="38"/>
      <c r="FQQ110" s="38"/>
      <c r="FQW110" s="36"/>
      <c r="FQX110" s="38"/>
      <c r="FQY110" s="38"/>
      <c r="FRE110" s="36"/>
      <c r="FRF110" s="38"/>
      <c r="FRG110" s="38"/>
      <c r="FRM110" s="36"/>
      <c r="FRN110" s="38"/>
      <c r="FRO110" s="38"/>
      <c r="FRU110" s="36"/>
      <c r="FRV110" s="38"/>
      <c r="FRW110" s="38"/>
      <c r="FSC110" s="36"/>
      <c r="FSD110" s="38"/>
      <c r="FSE110" s="38"/>
      <c r="FSK110" s="36"/>
      <c r="FSL110" s="38"/>
      <c r="FSM110" s="38"/>
      <c r="FSS110" s="36"/>
      <c r="FST110" s="38"/>
      <c r="FSU110" s="38"/>
      <c r="FTA110" s="36"/>
      <c r="FTB110" s="38"/>
      <c r="FTC110" s="38"/>
      <c r="FTI110" s="36"/>
      <c r="FTJ110" s="38"/>
      <c r="FTK110" s="38"/>
      <c r="FTQ110" s="36"/>
      <c r="FTR110" s="38"/>
      <c r="FTS110" s="38"/>
      <c r="FTY110" s="36"/>
      <c r="FTZ110" s="38"/>
      <c r="FUA110" s="38"/>
      <c r="FUG110" s="36"/>
      <c r="FUH110" s="38"/>
      <c r="FUI110" s="38"/>
      <c r="FUO110" s="36"/>
      <c r="FUP110" s="38"/>
      <c r="FUQ110" s="38"/>
      <c r="FUW110" s="36"/>
      <c r="FUX110" s="38"/>
      <c r="FUY110" s="38"/>
      <c r="FVE110" s="36"/>
      <c r="FVF110" s="38"/>
      <c r="FVG110" s="38"/>
      <c r="FVM110" s="36"/>
      <c r="FVN110" s="38"/>
      <c r="FVO110" s="38"/>
      <c r="FVU110" s="36"/>
      <c r="FVV110" s="38"/>
      <c r="FVW110" s="38"/>
      <c r="FWC110" s="36"/>
      <c r="FWD110" s="38"/>
      <c r="FWE110" s="38"/>
      <c r="FWK110" s="36"/>
      <c r="FWL110" s="38"/>
      <c r="FWM110" s="38"/>
      <c r="FWS110" s="36"/>
      <c r="FWT110" s="38"/>
      <c r="FWU110" s="38"/>
      <c r="FXA110" s="36"/>
      <c r="FXB110" s="38"/>
      <c r="FXC110" s="38"/>
      <c r="FXI110" s="36"/>
      <c r="FXJ110" s="38"/>
      <c r="FXK110" s="38"/>
      <c r="FXQ110" s="36"/>
      <c r="FXR110" s="38"/>
      <c r="FXS110" s="38"/>
      <c r="FXY110" s="36"/>
      <c r="FXZ110" s="38"/>
      <c r="FYA110" s="38"/>
      <c r="FYG110" s="36"/>
      <c r="FYH110" s="38"/>
      <c r="FYI110" s="38"/>
      <c r="FYO110" s="36"/>
      <c r="FYP110" s="38"/>
      <c r="FYQ110" s="38"/>
      <c r="FYW110" s="36"/>
      <c r="FYX110" s="38"/>
      <c r="FYY110" s="38"/>
      <c r="FZE110" s="36"/>
      <c r="FZF110" s="38"/>
      <c r="FZG110" s="38"/>
      <c r="FZM110" s="36"/>
      <c r="FZN110" s="38"/>
      <c r="FZO110" s="38"/>
      <c r="FZU110" s="36"/>
      <c r="FZV110" s="38"/>
      <c r="FZW110" s="38"/>
      <c r="GAC110" s="36"/>
      <c r="GAD110" s="38"/>
      <c r="GAE110" s="38"/>
      <c r="GAK110" s="36"/>
      <c r="GAL110" s="38"/>
      <c r="GAM110" s="38"/>
      <c r="GAS110" s="36"/>
      <c r="GAT110" s="38"/>
      <c r="GAU110" s="38"/>
      <c r="GBA110" s="36"/>
      <c r="GBB110" s="38"/>
      <c r="GBC110" s="38"/>
      <c r="GBI110" s="36"/>
      <c r="GBJ110" s="38"/>
      <c r="GBK110" s="38"/>
      <c r="GBQ110" s="36"/>
      <c r="GBR110" s="38"/>
      <c r="GBS110" s="38"/>
      <c r="GBY110" s="36"/>
      <c r="GBZ110" s="38"/>
      <c r="GCA110" s="38"/>
      <c r="GCG110" s="36"/>
      <c r="GCH110" s="38"/>
      <c r="GCI110" s="38"/>
      <c r="GCO110" s="36"/>
      <c r="GCP110" s="38"/>
      <c r="GCQ110" s="38"/>
      <c r="GCW110" s="36"/>
      <c r="GCX110" s="38"/>
      <c r="GCY110" s="38"/>
      <c r="GDE110" s="36"/>
      <c r="GDF110" s="38"/>
      <c r="GDG110" s="38"/>
      <c r="GDM110" s="36"/>
      <c r="GDN110" s="38"/>
      <c r="GDO110" s="38"/>
      <c r="GDU110" s="36"/>
      <c r="GDV110" s="38"/>
      <c r="GDW110" s="38"/>
      <c r="GEC110" s="36"/>
      <c r="GED110" s="38"/>
      <c r="GEE110" s="38"/>
      <c r="GEK110" s="36"/>
      <c r="GEL110" s="38"/>
      <c r="GEM110" s="38"/>
      <c r="GES110" s="36"/>
      <c r="GET110" s="38"/>
      <c r="GEU110" s="38"/>
      <c r="GFA110" s="36"/>
      <c r="GFB110" s="38"/>
      <c r="GFC110" s="38"/>
      <c r="GFI110" s="36"/>
      <c r="GFJ110" s="38"/>
      <c r="GFK110" s="38"/>
      <c r="GFQ110" s="36"/>
      <c r="GFR110" s="38"/>
      <c r="GFS110" s="38"/>
      <c r="GFY110" s="36"/>
      <c r="GFZ110" s="38"/>
      <c r="GGA110" s="38"/>
      <c r="GGG110" s="36"/>
      <c r="GGH110" s="38"/>
      <c r="GGI110" s="38"/>
      <c r="GGO110" s="36"/>
      <c r="GGP110" s="38"/>
      <c r="GGQ110" s="38"/>
      <c r="GGW110" s="36"/>
      <c r="GGX110" s="38"/>
      <c r="GGY110" s="38"/>
      <c r="GHE110" s="36"/>
      <c r="GHF110" s="38"/>
      <c r="GHG110" s="38"/>
      <c r="GHM110" s="36"/>
      <c r="GHN110" s="38"/>
      <c r="GHO110" s="38"/>
      <c r="GHU110" s="36"/>
      <c r="GHV110" s="38"/>
      <c r="GHW110" s="38"/>
      <c r="GIC110" s="36"/>
      <c r="GID110" s="38"/>
      <c r="GIE110" s="38"/>
      <c r="GIK110" s="36"/>
      <c r="GIL110" s="38"/>
      <c r="GIM110" s="38"/>
      <c r="GIS110" s="36"/>
      <c r="GIT110" s="38"/>
      <c r="GIU110" s="38"/>
      <c r="GJA110" s="36"/>
      <c r="GJB110" s="38"/>
      <c r="GJC110" s="38"/>
      <c r="GJI110" s="36"/>
      <c r="GJJ110" s="38"/>
      <c r="GJK110" s="38"/>
      <c r="GJQ110" s="36"/>
      <c r="GJR110" s="38"/>
      <c r="GJS110" s="38"/>
      <c r="GJY110" s="36"/>
      <c r="GJZ110" s="38"/>
      <c r="GKA110" s="38"/>
      <c r="GKG110" s="36"/>
      <c r="GKH110" s="38"/>
      <c r="GKI110" s="38"/>
      <c r="GKO110" s="36"/>
      <c r="GKP110" s="38"/>
      <c r="GKQ110" s="38"/>
      <c r="GKW110" s="36"/>
      <c r="GKX110" s="38"/>
      <c r="GKY110" s="38"/>
      <c r="GLE110" s="36"/>
      <c r="GLF110" s="38"/>
      <c r="GLG110" s="38"/>
      <c r="GLM110" s="36"/>
      <c r="GLN110" s="38"/>
      <c r="GLO110" s="38"/>
      <c r="GLU110" s="36"/>
      <c r="GLV110" s="38"/>
      <c r="GLW110" s="38"/>
      <c r="GMC110" s="36"/>
      <c r="GMD110" s="38"/>
      <c r="GME110" s="38"/>
      <c r="GMK110" s="36"/>
      <c r="GML110" s="38"/>
      <c r="GMM110" s="38"/>
      <c r="GMS110" s="36"/>
      <c r="GMT110" s="38"/>
      <c r="GMU110" s="38"/>
      <c r="GNA110" s="36"/>
      <c r="GNB110" s="38"/>
      <c r="GNC110" s="38"/>
      <c r="GNI110" s="36"/>
      <c r="GNJ110" s="38"/>
      <c r="GNK110" s="38"/>
      <c r="GNQ110" s="36"/>
      <c r="GNR110" s="38"/>
      <c r="GNS110" s="38"/>
      <c r="GNY110" s="36"/>
      <c r="GNZ110" s="38"/>
      <c r="GOA110" s="38"/>
      <c r="GOG110" s="36"/>
      <c r="GOH110" s="38"/>
      <c r="GOI110" s="38"/>
      <c r="GOO110" s="36"/>
      <c r="GOP110" s="38"/>
      <c r="GOQ110" s="38"/>
      <c r="GOW110" s="36"/>
      <c r="GOX110" s="38"/>
      <c r="GOY110" s="38"/>
      <c r="GPE110" s="36"/>
      <c r="GPF110" s="38"/>
      <c r="GPG110" s="38"/>
      <c r="GPM110" s="36"/>
      <c r="GPN110" s="38"/>
      <c r="GPO110" s="38"/>
      <c r="GPU110" s="36"/>
      <c r="GPV110" s="38"/>
      <c r="GPW110" s="38"/>
      <c r="GQC110" s="36"/>
      <c r="GQD110" s="38"/>
      <c r="GQE110" s="38"/>
      <c r="GQK110" s="36"/>
      <c r="GQL110" s="38"/>
      <c r="GQM110" s="38"/>
      <c r="GQS110" s="36"/>
      <c r="GQT110" s="38"/>
      <c r="GQU110" s="38"/>
      <c r="GRA110" s="36"/>
      <c r="GRB110" s="38"/>
      <c r="GRC110" s="38"/>
      <c r="GRI110" s="36"/>
      <c r="GRJ110" s="38"/>
      <c r="GRK110" s="38"/>
      <c r="GRQ110" s="36"/>
      <c r="GRR110" s="38"/>
      <c r="GRS110" s="38"/>
      <c r="GRY110" s="36"/>
      <c r="GRZ110" s="38"/>
      <c r="GSA110" s="38"/>
      <c r="GSG110" s="36"/>
      <c r="GSH110" s="38"/>
      <c r="GSI110" s="38"/>
      <c r="GSO110" s="36"/>
      <c r="GSP110" s="38"/>
      <c r="GSQ110" s="38"/>
      <c r="GSW110" s="36"/>
      <c r="GSX110" s="38"/>
      <c r="GSY110" s="38"/>
      <c r="GTE110" s="36"/>
      <c r="GTF110" s="38"/>
      <c r="GTG110" s="38"/>
      <c r="GTM110" s="36"/>
      <c r="GTN110" s="38"/>
      <c r="GTO110" s="38"/>
      <c r="GTU110" s="36"/>
      <c r="GTV110" s="38"/>
      <c r="GTW110" s="38"/>
      <c r="GUC110" s="36"/>
      <c r="GUD110" s="38"/>
      <c r="GUE110" s="38"/>
      <c r="GUK110" s="36"/>
      <c r="GUL110" s="38"/>
      <c r="GUM110" s="38"/>
      <c r="GUS110" s="36"/>
      <c r="GUT110" s="38"/>
      <c r="GUU110" s="38"/>
      <c r="GVA110" s="36"/>
      <c r="GVB110" s="38"/>
      <c r="GVC110" s="38"/>
      <c r="GVI110" s="36"/>
      <c r="GVJ110" s="38"/>
      <c r="GVK110" s="38"/>
      <c r="GVQ110" s="36"/>
      <c r="GVR110" s="38"/>
      <c r="GVS110" s="38"/>
      <c r="GVY110" s="36"/>
      <c r="GVZ110" s="38"/>
      <c r="GWA110" s="38"/>
      <c r="GWG110" s="36"/>
      <c r="GWH110" s="38"/>
      <c r="GWI110" s="38"/>
      <c r="GWO110" s="36"/>
      <c r="GWP110" s="38"/>
      <c r="GWQ110" s="38"/>
      <c r="GWW110" s="36"/>
      <c r="GWX110" s="38"/>
      <c r="GWY110" s="38"/>
      <c r="GXE110" s="36"/>
      <c r="GXF110" s="38"/>
      <c r="GXG110" s="38"/>
      <c r="GXM110" s="36"/>
      <c r="GXN110" s="38"/>
      <c r="GXO110" s="38"/>
      <c r="GXU110" s="36"/>
      <c r="GXV110" s="38"/>
      <c r="GXW110" s="38"/>
      <c r="GYC110" s="36"/>
      <c r="GYD110" s="38"/>
      <c r="GYE110" s="38"/>
      <c r="GYK110" s="36"/>
      <c r="GYL110" s="38"/>
      <c r="GYM110" s="38"/>
      <c r="GYS110" s="36"/>
      <c r="GYT110" s="38"/>
      <c r="GYU110" s="38"/>
      <c r="GZA110" s="36"/>
      <c r="GZB110" s="38"/>
      <c r="GZC110" s="38"/>
      <c r="GZI110" s="36"/>
      <c r="GZJ110" s="38"/>
      <c r="GZK110" s="38"/>
      <c r="GZQ110" s="36"/>
      <c r="GZR110" s="38"/>
      <c r="GZS110" s="38"/>
      <c r="GZY110" s="36"/>
      <c r="GZZ110" s="38"/>
      <c r="HAA110" s="38"/>
      <c r="HAG110" s="36"/>
      <c r="HAH110" s="38"/>
      <c r="HAI110" s="38"/>
      <c r="HAO110" s="36"/>
      <c r="HAP110" s="38"/>
      <c r="HAQ110" s="38"/>
      <c r="HAW110" s="36"/>
      <c r="HAX110" s="38"/>
      <c r="HAY110" s="38"/>
      <c r="HBE110" s="36"/>
      <c r="HBF110" s="38"/>
      <c r="HBG110" s="38"/>
      <c r="HBM110" s="36"/>
      <c r="HBN110" s="38"/>
      <c r="HBO110" s="38"/>
      <c r="HBU110" s="36"/>
      <c r="HBV110" s="38"/>
      <c r="HBW110" s="38"/>
      <c r="HCC110" s="36"/>
      <c r="HCD110" s="38"/>
      <c r="HCE110" s="38"/>
      <c r="HCK110" s="36"/>
      <c r="HCL110" s="38"/>
      <c r="HCM110" s="38"/>
      <c r="HCS110" s="36"/>
      <c r="HCT110" s="38"/>
      <c r="HCU110" s="38"/>
      <c r="HDA110" s="36"/>
      <c r="HDB110" s="38"/>
      <c r="HDC110" s="38"/>
      <c r="HDI110" s="36"/>
      <c r="HDJ110" s="38"/>
      <c r="HDK110" s="38"/>
      <c r="HDQ110" s="36"/>
      <c r="HDR110" s="38"/>
      <c r="HDS110" s="38"/>
      <c r="HDY110" s="36"/>
      <c r="HDZ110" s="38"/>
      <c r="HEA110" s="38"/>
      <c r="HEG110" s="36"/>
      <c r="HEH110" s="38"/>
      <c r="HEI110" s="38"/>
      <c r="HEO110" s="36"/>
      <c r="HEP110" s="38"/>
      <c r="HEQ110" s="38"/>
      <c r="HEW110" s="36"/>
      <c r="HEX110" s="38"/>
      <c r="HEY110" s="38"/>
      <c r="HFE110" s="36"/>
      <c r="HFF110" s="38"/>
      <c r="HFG110" s="38"/>
      <c r="HFM110" s="36"/>
      <c r="HFN110" s="38"/>
      <c r="HFO110" s="38"/>
      <c r="HFU110" s="36"/>
      <c r="HFV110" s="38"/>
      <c r="HFW110" s="38"/>
      <c r="HGC110" s="36"/>
      <c r="HGD110" s="38"/>
      <c r="HGE110" s="38"/>
      <c r="HGK110" s="36"/>
      <c r="HGL110" s="38"/>
      <c r="HGM110" s="38"/>
      <c r="HGS110" s="36"/>
      <c r="HGT110" s="38"/>
      <c r="HGU110" s="38"/>
      <c r="HHA110" s="36"/>
      <c r="HHB110" s="38"/>
      <c r="HHC110" s="38"/>
      <c r="HHI110" s="36"/>
      <c r="HHJ110" s="38"/>
      <c r="HHK110" s="38"/>
      <c r="HHQ110" s="36"/>
      <c r="HHR110" s="38"/>
      <c r="HHS110" s="38"/>
      <c r="HHY110" s="36"/>
      <c r="HHZ110" s="38"/>
      <c r="HIA110" s="38"/>
      <c r="HIG110" s="36"/>
      <c r="HIH110" s="38"/>
      <c r="HII110" s="38"/>
      <c r="HIO110" s="36"/>
      <c r="HIP110" s="38"/>
      <c r="HIQ110" s="38"/>
      <c r="HIW110" s="36"/>
      <c r="HIX110" s="38"/>
      <c r="HIY110" s="38"/>
      <c r="HJE110" s="36"/>
      <c r="HJF110" s="38"/>
      <c r="HJG110" s="38"/>
      <c r="HJM110" s="36"/>
      <c r="HJN110" s="38"/>
      <c r="HJO110" s="38"/>
      <c r="HJU110" s="36"/>
      <c r="HJV110" s="38"/>
      <c r="HJW110" s="38"/>
      <c r="HKC110" s="36"/>
      <c r="HKD110" s="38"/>
      <c r="HKE110" s="38"/>
      <c r="HKK110" s="36"/>
      <c r="HKL110" s="38"/>
      <c r="HKM110" s="38"/>
      <c r="HKS110" s="36"/>
      <c r="HKT110" s="38"/>
      <c r="HKU110" s="38"/>
      <c r="HLA110" s="36"/>
      <c r="HLB110" s="38"/>
      <c r="HLC110" s="38"/>
      <c r="HLI110" s="36"/>
      <c r="HLJ110" s="38"/>
      <c r="HLK110" s="38"/>
      <c r="HLQ110" s="36"/>
      <c r="HLR110" s="38"/>
      <c r="HLS110" s="38"/>
      <c r="HLY110" s="36"/>
      <c r="HLZ110" s="38"/>
      <c r="HMA110" s="38"/>
      <c r="HMG110" s="36"/>
      <c r="HMH110" s="38"/>
      <c r="HMI110" s="38"/>
      <c r="HMO110" s="36"/>
      <c r="HMP110" s="38"/>
      <c r="HMQ110" s="38"/>
      <c r="HMW110" s="36"/>
      <c r="HMX110" s="38"/>
      <c r="HMY110" s="38"/>
      <c r="HNE110" s="36"/>
      <c r="HNF110" s="38"/>
      <c r="HNG110" s="38"/>
      <c r="HNM110" s="36"/>
      <c r="HNN110" s="38"/>
      <c r="HNO110" s="38"/>
      <c r="HNU110" s="36"/>
      <c r="HNV110" s="38"/>
      <c r="HNW110" s="38"/>
      <c r="HOC110" s="36"/>
      <c r="HOD110" s="38"/>
      <c r="HOE110" s="38"/>
      <c r="HOK110" s="36"/>
      <c r="HOL110" s="38"/>
      <c r="HOM110" s="38"/>
      <c r="HOS110" s="36"/>
      <c r="HOT110" s="38"/>
      <c r="HOU110" s="38"/>
      <c r="HPA110" s="36"/>
      <c r="HPB110" s="38"/>
      <c r="HPC110" s="38"/>
      <c r="HPI110" s="36"/>
      <c r="HPJ110" s="38"/>
      <c r="HPK110" s="38"/>
      <c r="HPQ110" s="36"/>
      <c r="HPR110" s="38"/>
      <c r="HPS110" s="38"/>
      <c r="HPY110" s="36"/>
      <c r="HPZ110" s="38"/>
      <c r="HQA110" s="38"/>
      <c r="HQG110" s="36"/>
      <c r="HQH110" s="38"/>
      <c r="HQI110" s="38"/>
      <c r="HQO110" s="36"/>
      <c r="HQP110" s="38"/>
      <c r="HQQ110" s="38"/>
      <c r="HQW110" s="36"/>
      <c r="HQX110" s="38"/>
      <c r="HQY110" s="38"/>
      <c r="HRE110" s="36"/>
      <c r="HRF110" s="38"/>
      <c r="HRG110" s="38"/>
      <c r="HRM110" s="36"/>
      <c r="HRN110" s="38"/>
      <c r="HRO110" s="38"/>
      <c r="HRU110" s="36"/>
      <c r="HRV110" s="38"/>
      <c r="HRW110" s="38"/>
      <c r="HSC110" s="36"/>
      <c r="HSD110" s="38"/>
      <c r="HSE110" s="38"/>
      <c r="HSK110" s="36"/>
      <c r="HSL110" s="38"/>
      <c r="HSM110" s="38"/>
      <c r="HSS110" s="36"/>
      <c r="HST110" s="38"/>
      <c r="HSU110" s="38"/>
      <c r="HTA110" s="36"/>
      <c r="HTB110" s="38"/>
      <c r="HTC110" s="38"/>
      <c r="HTI110" s="36"/>
      <c r="HTJ110" s="38"/>
      <c r="HTK110" s="38"/>
      <c r="HTQ110" s="36"/>
      <c r="HTR110" s="38"/>
      <c r="HTS110" s="38"/>
      <c r="HTY110" s="36"/>
      <c r="HTZ110" s="38"/>
      <c r="HUA110" s="38"/>
      <c r="HUG110" s="36"/>
      <c r="HUH110" s="38"/>
      <c r="HUI110" s="38"/>
      <c r="HUO110" s="36"/>
      <c r="HUP110" s="38"/>
      <c r="HUQ110" s="38"/>
      <c r="HUW110" s="36"/>
      <c r="HUX110" s="38"/>
      <c r="HUY110" s="38"/>
      <c r="HVE110" s="36"/>
      <c r="HVF110" s="38"/>
      <c r="HVG110" s="38"/>
      <c r="HVM110" s="36"/>
      <c r="HVN110" s="38"/>
      <c r="HVO110" s="38"/>
      <c r="HVU110" s="36"/>
      <c r="HVV110" s="38"/>
      <c r="HVW110" s="38"/>
      <c r="HWC110" s="36"/>
      <c r="HWD110" s="38"/>
      <c r="HWE110" s="38"/>
      <c r="HWK110" s="36"/>
      <c r="HWL110" s="38"/>
      <c r="HWM110" s="38"/>
      <c r="HWS110" s="36"/>
      <c r="HWT110" s="38"/>
      <c r="HWU110" s="38"/>
      <c r="HXA110" s="36"/>
      <c r="HXB110" s="38"/>
      <c r="HXC110" s="38"/>
      <c r="HXI110" s="36"/>
      <c r="HXJ110" s="38"/>
      <c r="HXK110" s="38"/>
      <c r="HXQ110" s="36"/>
      <c r="HXR110" s="38"/>
      <c r="HXS110" s="38"/>
      <c r="HXY110" s="36"/>
      <c r="HXZ110" s="38"/>
      <c r="HYA110" s="38"/>
      <c r="HYG110" s="36"/>
      <c r="HYH110" s="38"/>
      <c r="HYI110" s="38"/>
      <c r="HYO110" s="36"/>
      <c r="HYP110" s="38"/>
      <c r="HYQ110" s="38"/>
      <c r="HYW110" s="36"/>
      <c r="HYX110" s="38"/>
      <c r="HYY110" s="38"/>
      <c r="HZE110" s="36"/>
      <c r="HZF110" s="38"/>
      <c r="HZG110" s="38"/>
      <c r="HZM110" s="36"/>
      <c r="HZN110" s="38"/>
      <c r="HZO110" s="38"/>
      <c r="HZU110" s="36"/>
      <c r="HZV110" s="38"/>
      <c r="HZW110" s="38"/>
      <c r="IAC110" s="36"/>
      <c r="IAD110" s="38"/>
      <c r="IAE110" s="38"/>
      <c r="IAK110" s="36"/>
      <c r="IAL110" s="38"/>
      <c r="IAM110" s="38"/>
      <c r="IAS110" s="36"/>
      <c r="IAT110" s="38"/>
      <c r="IAU110" s="38"/>
      <c r="IBA110" s="36"/>
      <c r="IBB110" s="38"/>
      <c r="IBC110" s="38"/>
      <c r="IBI110" s="36"/>
      <c r="IBJ110" s="38"/>
      <c r="IBK110" s="38"/>
      <c r="IBQ110" s="36"/>
      <c r="IBR110" s="38"/>
      <c r="IBS110" s="38"/>
      <c r="IBY110" s="36"/>
      <c r="IBZ110" s="38"/>
      <c r="ICA110" s="38"/>
      <c r="ICG110" s="36"/>
      <c r="ICH110" s="38"/>
      <c r="ICI110" s="38"/>
      <c r="ICO110" s="36"/>
      <c r="ICP110" s="38"/>
      <c r="ICQ110" s="38"/>
      <c r="ICW110" s="36"/>
      <c r="ICX110" s="38"/>
      <c r="ICY110" s="38"/>
      <c r="IDE110" s="36"/>
      <c r="IDF110" s="38"/>
      <c r="IDG110" s="38"/>
      <c r="IDM110" s="36"/>
      <c r="IDN110" s="38"/>
      <c r="IDO110" s="38"/>
      <c r="IDU110" s="36"/>
      <c r="IDV110" s="38"/>
      <c r="IDW110" s="38"/>
      <c r="IEC110" s="36"/>
      <c r="IED110" s="38"/>
      <c r="IEE110" s="38"/>
      <c r="IEK110" s="36"/>
      <c r="IEL110" s="38"/>
      <c r="IEM110" s="38"/>
      <c r="IES110" s="36"/>
      <c r="IET110" s="38"/>
      <c r="IEU110" s="38"/>
      <c r="IFA110" s="36"/>
      <c r="IFB110" s="38"/>
      <c r="IFC110" s="38"/>
      <c r="IFI110" s="36"/>
      <c r="IFJ110" s="38"/>
      <c r="IFK110" s="38"/>
      <c r="IFQ110" s="36"/>
      <c r="IFR110" s="38"/>
      <c r="IFS110" s="38"/>
      <c r="IFY110" s="36"/>
      <c r="IFZ110" s="38"/>
      <c r="IGA110" s="38"/>
      <c r="IGG110" s="36"/>
      <c r="IGH110" s="38"/>
      <c r="IGI110" s="38"/>
      <c r="IGO110" s="36"/>
      <c r="IGP110" s="38"/>
      <c r="IGQ110" s="38"/>
      <c r="IGW110" s="36"/>
      <c r="IGX110" s="38"/>
      <c r="IGY110" s="38"/>
      <c r="IHE110" s="36"/>
      <c r="IHF110" s="38"/>
      <c r="IHG110" s="38"/>
      <c r="IHM110" s="36"/>
      <c r="IHN110" s="38"/>
      <c r="IHO110" s="38"/>
      <c r="IHU110" s="36"/>
      <c r="IHV110" s="38"/>
      <c r="IHW110" s="38"/>
      <c r="IIC110" s="36"/>
      <c r="IID110" s="38"/>
      <c r="IIE110" s="38"/>
      <c r="IIK110" s="36"/>
      <c r="IIL110" s="38"/>
      <c r="IIM110" s="38"/>
      <c r="IIS110" s="36"/>
      <c r="IIT110" s="38"/>
      <c r="IIU110" s="38"/>
      <c r="IJA110" s="36"/>
      <c r="IJB110" s="38"/>
      <c r="IJC110" s="38"/>
      <c r="IJI110" s="36"/>
      <c r="IJJ110" s="38"/>
      <c r="IJK110" s="38"/>
      <c r="IJQ110" s="36"/>
      <c r="IJR110" s="38"/>
      <c r="IJS110" s="38"/>
      <c r="IJY110" s="36"/>
      <c r="IJZ110" s="38"/>
      <c r="IKA110" s="38"/>
      <c r="IKG110" s="36"/>
      <c r="IKH110" s="38"/>
      <c r="IKI110" s="38"/>
      <c r="IKO110" s="36"/>
      <c r="IKP110" s="38"/>
      <c r="IKQ110" s="38"/>
      <c r="IKW110" s="36"/>
      <c r="IKX110" s="38"/>
      <c r="IKY110" s="38"/>
      <c r="ILE110" s="36"/>
      <c r="ILF110" s="38"/>
      <c r="ILG110" s="38"/>
      <c r="ILM110" s="36"/>
      <c r="ILN110" s="38"/>
      <c r="ILO110" s="38"/>
      <c r="ILU110" s="36"/>
      <c r="ILV110" s="38"/>
      <c r="ILW110" s="38"/>
      <c r="IMC110" s="36"/>
      <c r="IMD110" s="38"/>
      <c r="IME110" s="38"/>
      <c r="IMK110" s="36"/>
      <c r="IML110" s="38"/>
      <c r="IMM110" s="38"/>
      <c r="IMS110" s="36"/>
      <c r="IMT110" s="38"/>
      <c r="IMU110" s="38"/>
      <c r="INA110" s="36"/>
      <c r="INB110" s="38"/>
      <c r="INC110" s="38"/>
      <c r="INI110" s="36"/>
      <c r="INJ110" s="38"/>
      <c r="INK110" s="38"/>
      <c r="INQ110" s="36"/>
      <c r="INR110" s="38"/>
      <c r="INS110" s="38"/>
      <c r="INY110" s="36"/>
      <c r="INZ110" s="38"/>
      <c r="IOA110" s="38"/>
      <c r="IOG110" s="36"/>
      <c r="IOH110" s="38"/>
      <c r="IOI110" s="38"/>
      <c r="IOO110" s="36"/>
      <c r="IOP110" s="38"/>
      <c r="IOQ110" s="38"/>
      <c r="IOW110" s="36"/>
      <c r="IOX110" s="38"/>
      <c r="IOY110" s="38"/>
      <c r="IPE110" s="36"/>
      <c r="IPF110" s="38"/>
      <c r="IPG110" s="38"/>
      <c r="IPM110" s="36"/>
      <c r="IPN110" s="38"/>
      <c r="IPO110" s="38"/>
      <c r="IPU110" s="36"/>
      <c r="IPV110" s="38"/>
      <c r="IPW110" s="38"/>
      <c r="IQC110" s="36"/>
      <c r="IQD110" s="38"/>
      <c r="IQE110" s="38"/>
      <c r="IQK110" s="36"/>
      <c r="IQL110" s="38"/>
      <c r="IQM110" s="38"/>
      <c r="IQS110" s="36"/>
      <c r="IQT110" s="38"/>
      <c r="IQU110" s="38"/>
      <c r="IRA110" s="36"/>
      <c r="IRB110" s="38"/>
      <c r="IRC110" s="38"/>
      <c r="IRI110" s="36"/>
      <c r="IRJ110" s="38"/>
      <c r="IRK110" s="38"/>
      <c r="IRQ110" s="36"/>
      <c r="IRR110" s="38"/>
      <c r="IRS110" s="38"/>
      <c r="IRY110" s="36"/>
      <c r="IRZ110" s="38"/>
      <c r="ISA110" s="38"/>
      <c r="ISG110" s="36"/>
      <c r="ISH110" s="38"/>
      <c r="ISI110" s="38"/>
      <c r="ISO110" s="36"/>
      <c r="ISP110" s="38"/>
      <c r="ISQ110" s="38"/>
      <c r="ISW110" s="36"/>
      <c r="ISX110" s="38"/>
      <c r="ISY110" s="38"/>
      <c r="ITE110" s="36"/>
      <c r="ITF110" s="38"/>
      <c r="ITG110" s="38"/>
      <c r="ITM110" s="36"/>
      <c r="ITN110" s="38"/>
      <c r="ITO110" s="38"/>
      <c r="ITU110" s="36"/>
      <c r="ITV110" s="38"/>
      <c r="ITW110" s="38"/>
      <c r="IUC110" s="36"/>
      <c r="IUD110" s="38"/>
      <c r="IUE110" s="38"/>
      <c r="IUK110" s="36"/>
      <c r="IUL110" s="38"/>
      <c r="IUM110" s="38"/>
      <c r="IUS110" s="36"/>
      <c r="IUT110" s="38"/>
      <c r="IUU110" s="38"/>
      <c r="IVA110" s="36"/>
      <c r="IVB110" s="38"/>
      <c r="IVC110" s="38"/>
      <c r="IVI110" s="36"/>
      <c r="IVJ110" s="38"/>
      <c r="IVK110" s="38"/>
      <c r="IVQ110" s="36"/>
      <c r="IVR110" s="38"/>
      <c r="IVS110" s="38"/>
      <c r="IVY110" s="36"/>
      <c r="IVZ110" s="38"/>
      <c r="IWA110" s="38"/>
      <c r="IWG110" s="36"/>
      <c r="IWH110" s="38"/>
      <c r="IWI110" s="38"/>
      <c r="IWO110" s="36"/>
      <c r="IWP110" s="38"/>
      <c r="IWQ110" s="38"/>
      <c r="IWW110" s="36"/>
      <c r="IWX110" s="38"/>
      <c r="IWY110" s="38"/>
      <c r="IXE110" s="36"/>
      <c r="IXF110" s="38"/>
      <c r="IXG110" s="38"/>
      <c r="IXM110" s="36"/>
      <c r="IXN110" s="38"/>
      <c r="IXO110" s="38"/>
      <c r="IXU110" s="36"/>
      <c r="IXV110" s="38"/>
      <c r="IXW110" s="38"/>
      <c r="IYC110" s="36"/>
      <c r="IYD110" s="38"/>
      <c r="IYE110" s="38"/>
      <c r="IYK110" s="36"/>
      <c r="IYL110" s="38"/>
      <c r="IYM110" s="38"/>
      <c r="IYS110" s="36"/>
      <c r="IYT110" s="38"/>
      <c r="IYU110" s="38"/>
      <c r="IZA110" s="36"/>
      <c r="IZB110" s="38"/>
      <c r="IZC110" s="38"/>
      <c r="IZI110" s="36"/>
      <c r="IZJ110" s="38"/>
      <c r="IZK110" s="38"/>
      <c r="IZQ110" s="36"/>
      <c r="IZR110" s="38"/>
      <c r="IZS110" s="38"/>
      <c r="IZY110" s="36"/>
      <c r="IZZ110" s="38"/>
      <c r="JAA110" s="38"/>
      <c r="JAG110" s="36"/>
      <c r="JAH110" s="38"/>
      <c r="JAI110" s="38"/>
      <c r="JAO110" s="36"/>
      <c r="JAP110" s="38"/>
      <c r="JAQ110" s="38"/>
      <c r="JAW110" s="36"/>
      <c r="JAX110" s="38"/>
      <c r="JAY110" s="38"/>
      <c r="JBE110" s="36"/>
      <c r="JBF110" s="38"/>
      <c r="JBG110" s="38"/>
      <c r="JBM110" s="36"/>
      <c r="JBN110" s="38"/>
      <c r="JBO110" s="38"/>
      <c r="JBU110" s="36"/>
      <c r="JBV110" s="38"/>
      <c r="JBW110" s="38"/>
      <c r="JCC110" s="36"/>
      <c r="JCD110" s="38"/>
      <c r="JCE110" s="38"/>
      <c r="JCK110" s="36"/>
      <c r="JCL110" s="38"/>
      <c r="JCM110" s="38"/>
      <c r="JCS110" s="36"/>
      <c r="JCT110" s="38"/>
      <c r="JCU110" s="38"/>
      <c r="JDA110" s="36"/>
      <c r="JDB110" s="38"/>
      <c r="JDC110" s="38"/>
      <c r="JDI110" s="36"/>
      <c r="JDJ110" s="38"/>
      <c r="JDK110" s="38"/>
      <c r="JDQ110" s="36"/>
      <c r="JDR110" s="38"/>
      <c r="JDS110" s="38"/>
      <c r="JDY110" s="36"/>
      <c r="JDZ110" s="38"/>
      <c r="JEA110" s="38"/>
      <c r="JEG110" s="36"/>
      <c r="JEH110" s="38"/>
      <c r="JEI110" s="38"/>
      <c r="JEO110" s="36"/>
      <c r="JEP110" s="38"/>
      <c r="JEQ110" s="38"/>
      <c r="JEW110" s="36"/>
      <c r="JEX110" s="38"/>
      <c r="JEY110" s="38"/>
      <c r="JFE110" s="36"/>
      <c r="JFF110" s="38"/>
      <c r="JFG110" s="38"/>
      <c r="JFM110" s="36"/>
      <c r="JFN110" s="38"/>
      <c r="JFO110" s="38"/>
      <c r="JFU110" s="36"/>
      <c r="JFV110" s="38"/>
      <c r="JFW110" s="38"/>
      <c r="JGC110" s="36"/>
      <c r="JGD110" s="38"/>
      <c r="JGE110" s="38"/>
      <c r="JGK110" s="36"/>
      <c r="JGL110" s="38"/>
      <c r="JGM110" s="38"/>
      <c r="JGS110" s="36"/>
      <c r="JGT110" s="38"/>
      <c r="JGU110" s="38"/>
      <c r="JHA110" s="36"/>
      <c r="JHB110" s="38"/>
      <c r="JHC110" s="38"/>
      <c r="JHI110" s="36"/>
      <c r="JHJ110" s="38"/>
      <c r="JHK110" s="38"/>
      <c r="JHQ110" s="36"/>
      <c r="JHR110" s="38"/>
      <c r="JHS110" s="38"/>
      <c r="JHY110" s="36"/>
      <c r="JHZ110" s="38"/>
      <c r="JIA110" s="38"/>
      <c r="JIG110" s="36"/>
      <c r="JIH110" s="38"/>
      <c r="JII110" s="38"/>
      <c r="JIO110" s="36"/>
      <c r="JIP110" s="38"/>
      <c r="JIQ110" s="38"/>
      <c r="JIW110" s="36"/>
      <c r="JIX110" s="38"/>
      <c r="JIY110" s="38"/>
      <c r="JJE110" s="36"/>
      <c r="JJF110" s="38"/>
      <c r="JJG110" s="38"/>
      <c r="JJM110" s="36"/>
      <c r="JJN110" s="38"/>
      <c r="JJO110" s="38"/>
      <c r="JJU110" s="36"/>
      <c r="JJV110" s="38"/>
      <c r="JJW110" s="38"/>
      <c r="JKC110" s="36"/>
      <c r="JKD110" s="38"/>
      <c r="JKE110" s="38"/>
      <c r="JKK110" s="36"/>
      <c r="JKL110" s="38"/>
      <c r="JKM110" s="38"/>
      <c r="JKS110" s="36"/>
      <c r="JKT110" s="38"/>
      <c r="JKU110" s="38"/>
      <c r="JLA110" s="36"/>
      <c r="JLB110" s="38"/>
      <c r="JLC110" s="38"/>
      <c r="JLI110" s="36"/>
      <c r="JLJ110" s="38"/>
      <c r="JLK110" s="38"/>
      <c r="JLQ110" s="36"/>
      <c r="JLR110" s="38"/>
      <c r="JLS110" s="38"/>
      <c r="JLY110" s="36"/>
      <c r="JLZ110" s="38"/>
      <c r="JMA110" s="38"/>
      <c r="JMG110" s="36"/>
      <c r="JMH110" s="38"/>
      <c r="JMI110" s="38"/>
      <c r="JMO110" s="36"/>
      <c r="JMP110" s="38"/>
      <c r="JMQ110" s="38"/>
      <c r="JMW110" s="36"/>
      <c r="JMX110" s="38"/>
      <c r="JMY110" s="38"/>
      <c r="JNE110" s="36"/>
      <c r="JNF110" s="38"/>
      <c r="JNG110" s="38"/>
      <c r="JNM110" s="36"/>
      <c r="JNN110" s="38"/>
      <c r="JNO110" s="38"/>
      <c r="JNU110" s="36"/>
      <c r="JNV110" s="38"/>
      <c r="JNW110" s="38"/>
      <c r="JOC110" s="36"/>
      <c r="JOD110" s="38"/>
      <c r="JOE110" s="38"/>
      <c r="JOK110" s="36"/>
      <c r="JOL110" s="38"/>
      <c r="JOM110" s="38"/>
      <c r="JOS110" s="36"/>
      <c r="JOT110" s="38"/>
      <c r="JOU110" s="38"/>
      <c r="JPA110" s="36"/>
      <c r="JPB110" s="38"/>
      <c r="JPC110" s="38"/>
      <c r="JPI110" s="36"/>
      <c r="JPJ110" s="38"/>
      <c r="JPK110" s="38"/>
      <c r="JPQ110" s="36"/>
      <c r="JPR110" s="38"/>
      <c r="JPS110" s="38"/>
      <c r="JPY110" s="36"/>
      <c r="JPZ110" s="38"/>
      <c r="JQA110" s="38"/>
      <c r="JQG110" s="36"/>
      <c r="JQH110" s="38"/>
      <c r="JQI110" s="38"/>
      <c r="JQO110" s="36"/>
      <c r="JQP110" s="38"/>
      <c r="JQQ110" s="38"/>
      <c r="JQW110" s="36"/>
      <c r="JQX110" s="38"/>
      <c r="JQY110" s="38"/>
      <c r="JRE110" s="36"/>
      <c r="JRF110" s="38"/>
      <c r="JRG110" s="38"/>
      <c r="JRM110" s="36"/>
      <c r="JRN110" s="38"/>
      <c r="JRO110" s="38"/>
      <c r="JRU110" s="36"/>
      <c r="JRV110" s="38"/>
      <c r="JRW110" s="38"/>
      <c r="JSC110" s="36"/>
      <c r="JSD110" s="38"/>
      <c r="JSE110" s="38"/>
      <c r="JSK110" s="36"/>
      <c r="JSL110" s="38"/>
      <c r="JSM110" s="38"/>
      <c r="JSS110" s="36"/>
      <c r="JST110" s="38"/>
      <c r="JSU110" s="38"/>
      <c r="JTA110" s="36"/>
      <c r="JTB110" s="38"/>
      <c r="JTC110" s="38"/>
      <c r="JTI110" s="36"/>
      <c r="JTJ110" s="38"/>
      <c r="JTK110" s="38"/>
      <c r="JTQ110" s="36"/>
      <c r="JTR110" s="38"/>
      <c r="JTS110" s="38"/>
      <c r="JTY110" s="36"/>
      <c r="JTZ110" s="38"/>
      <c r="JUA110" s="38"/>
      <c r="JUG110" s="36"/>
      <c r="JUH110" s="38"/>
      <c r="JUI110" s="38"/>
      <c r="JUO110" s="36"/>
      <c r="JUP110" s="38"/>
      <c r="JUQ110" s="38"/>
      <c r="JUW110" s="36"/>
      <c r="JUX110" s="38"/>
      <c r="JUY110" s="38"/>
      <c r="JVE110" s="36"/>
      <c r="JVF110" s="38"/>
      <c r="JVG110" s="38"/>
      <c r="JVM110" s="36"/>
      <c r="JVN110" s="38"/>
      <c r="JVO110" s="38"/>
      <c r="JVU110" s="36"/>
      <c r="JVV110" s="38"/>
      <c r="JVW110" s="38"/>
      <c r="JWC110" s="36"/>
      <c r="JWD110" s="38"/>
      <c r="JWE110" s="38"/>
      <c r="JWK110" s="36"/>
      <c r="JWL110" s="38"/>
      <c r="JWM110" s="38"/>
      <c r="JWS110" s="36"/>
      <c r="JWT110" s="38"/>
      <c r="JWU110" s="38"/>
      <c r="JXA110" s="36"/>
      <c r="JXB110" s="38"/>
      <c r="JXC110" s="38"/>
      <c r="JXI110" s="36"/>
      <c r="JXJ110" s="38"/>
      <c r="JXK110" s="38"/>
      <c r="JXQ110" s="36"/>
      <c r="JXR110" s="38"/>
      <c r="JXS110" s="38"/>
      <c r="JXY110" s="36"/>
      <c r="JXZ110" s="38"/>
      <c r="JYA110" s="38"/>
      <c r="JYG110" s="36"/>
      <c r="JYH110" s="38"/>
      <c r="JYI110" s="38"/>
      <c r="JYO110" s="36"/>
      <c r="JYP110" s="38"/>
      <c r="JYQ110" s="38"/>
      <c r="JYW110" s="36"/>
      <c r="JYX110" s="38"/>
      <c r="JYY110" s="38"/>
      <c r="JZE110" s="36"/>
      <c r="JZF110" s="38"/>
      <c r="JZG110" s="38"/>
      <c r="JZM110" s="36"/>
      <c r="JZN110" s="38"/>
      <c r="JZO110" s="38"/>
      <c r="JZU110" s="36"/>
      <c r="JZV110" s="38"/>
      <c r="JZW110" s="38"/>
      <c r="KAC110" s="36"/>
      <c r="KAD110" s="38"/>
      <c r="KAE110" s="38"/>
      <c r="KAK110" s="36"/>
      <c r="KAL110" s="38"/>
      <c r="KAM110" s="38"/>
      <c r="KAS110" s="36"/>
      <c r="KAT110" s="38"/>
      <c r="KAU110" s="38"/>
      <c r="KBA110" s="36"/>
      <c r="KBB110" s="38"/>
      <c r="KBC110" s="38"/>
      <c r="KBI110" s="36"/>
      <c r="KBJ110" s="38"/>
      <c r="KBK110" s="38"/>
      <c r="KBQ110" s="36"/>
      <c r="KBR110" s="38"/>
      <c r="KBS110" s="38"/>
      <c r="KBY110" s="36"/>
      <c r="KBZ110" s="38"/>
      <c r="KCA110" s="38"/>
      <c r="KCG110" s="36"/>
      <c r="KCH110" s="38"/>
      <c r="KCI110" s="38"/>
      <c r="KCO110" s="36"/>
      <c r="KCP110" s="38"/>
      <c r="KCQ110" s="38"/>
      <c r="KCW110" s="36"/>
      <c r="KCX110" s="38"/>
      <c r="KCY110" s="38"/>
      <c r="KDE110" s="36"/>
      <c r="KDF110" s="38"/>
      <c r="KDG110" s="38"/>
      <c r="KDM110" s="36"/>
      <c r="KDN110" s="38"/>
      <c r="KDO110" s="38"/>
      <c r="KDU110" s="36"/>
      <c r="KDV110" s="38"/>
      <c r="KDW110" s="38"/>
      <c r="KEC110" s="36"/>
      <c r="KED110" s="38"/>
      <c r="KEE110" s="38"/>
      <c r="KEK110" s="36"/>
      <c r="KEL110" s="38"/>
      <c r="KEM110" s="38"/>
      <c r="KES110" s="36"/>
      <c r="KET110" s="38"/>
      <c r="KEU110" s="38"/>
      <c r="KFA110" s="36"/>
      <c r="KFB110" s="38"/>
      <c r="KFC110" s="38"/>
      <c r="KFI110" s="36"/>
      <c r="KFJ110" s="38"/>
      <c r="KFK110" s="38"/>
      <c r="KFQ110" s="36"/>
      <c r="KFR110" s="38"/>
      <c r="KFS110" s="38"/>
      <c r="KFY110" s="36"/>
      <c r="KFZ110" s="38"/>
      <c r="KGA110" s="38"/>
      <c r="KGG110" s="36"/>
      <c r="KGH110" s="38"/>
      <c r="KGI110" s="38"/>
      <c r="KGO110" s="36"/>
      <c r="KGP110" s="38"/>
      <c r="KGQ110" s="38"/>
      <c r="KGW110" s="36"/>
      <c r="KGX110" s="38"/>
      <c r="KGY110" s="38"/>
      <c r="KHE110" s="36"/>
      <c r="KHF110" s="38"/>
      <c r="KHG110" s="38"/>
      <c r="KHM110" s="36"/>
      <c r="KHN110" s="38"/>
      <c r="KHO110" s="38"/>
      <c r="KHU110" s="36"/>
      <c r="KHV110" s="38"/>
      <c r="KHW110" s="38"/>
      <c r="KIC110" s="36"/>
      <c r="KID110" s="38"/>
      <c r="KIE110" s="38"/>
      <c r="KIK110" s="36"/>
      <c r="KIL110" s="38"/>
      <c r="KIM110" s="38"/>
      <c r="KIS110" s="36"/>
      <c r="KIT110" s="38"/>
      <c r="KIU110" s="38"/>
      <c r="KJA110" s="36"/>
      <c r="KJB110" s="38"/>
      <c r="KJC110" s="38"/>
      <c r="KJI110" s="36"/>
      <c r="KJJ110" s="38"/>
      <c r="KJK110" s="38"/>
      <c r="KJQ110" s="36"/>
      <c r="KJR110" s="38"/>
      <c r="KJS110" s="38"/>
      <c r="KJY110" s="36"/>
      <c r="KJZ110" s="38"/>
      <c r="KKA110" s="38"/>
      <c r="KKG110" s="36"/>
      <c r="KKH110" s="38"/>
      <c r="KKI110" s="38"/>
      <c r="KKO110" s="36"/>
      <c r="KKP110" s="38"/>
      <c r="KKQ110" s="38"/>
      <c r="KKW110" s="36"/>
      <c r="KKX110" s="38"/>
      <c r="KKY110" s="38"/>
      <c r="KLE110" s="36"/>
      <c r="KLF110" s="38"/>
      <c r="KLG110" s="38"/>
      <c r="KLM110" s="36"/>
      <c r="KLN110" s="38"/>
      <c r="KLO110" s="38"/>
      <c r="KLU110" s="36"/>
      <c r="KLV110" s="38"/>
      <c r="KLW110" s="38"/>
      <c r="KMC110" s="36"/>
      <c r="KMD110" s="38"/>
      <c r="KME110" s="38"/>
      <c r="KMK110" s="36"/>
      <c r="KML110" s="38"/>
      <c r="KMM110" s="38"/>
      <c r="KMS110" s="36"/>
      <c r="KMT110" s="38"/>
      <c r="KMU110" s="38"/>
      <c r="KNA110" s="36"/>
      <c r="KNB110" s="38"/>
      <c r="KNC110" s="38"/>
      <c r="KNI110" s="36"/>
      <c r="KNJ110" s="38"/>
      <c r="KNK110" s="38"/>
      <c r="KNQ110" s="36"/>
      <c r="KNR110" s="38"/>
      <c r="KNS110" s="38"/>
      <c r="KNY110" s="36"/>
      <c r="KNZ110" s="38"/>
      <c r="KOA110" s="38"/>
      <c r="KOG110" s="36"/>
      <c r="KOH110" s="38"/>
      <c r="KOI110" s="38"/>
      <c r="KOO110" s="36"/>
      <c r="KOP110" s="38"/>
      <c r="KOQ110" s="38"/>
      <c r="KOW110" s="36"/>
      <c r="KOX110" s="38"/>
      <c r="KOY110" s="38"/>
      <c r="KPE110" s="36"/>
      <c r="KPF110" s="38"/>
      <c r="KPG110" s="38"/>
      <c r="KPM110" s="36"/>
      <c r="KPN110" s="38"/>
      <c r="KPO110" s="38"/>
      <c r="KPU110" s="36"/>
      <c r="KPV110" s="38"/>
      <c r="KPW110" s="38"/>
      <c r="KQC110" s="36"/>
      <c r="KQD110" s="38"/>
      <c r="KQE110" s="38"/>
      <c r="KQK110" s="36"/>
      <c r="KQL110" s="38"/>
      <c r="KQM110" s="38"/>
      <c r="KQS110" s="36"/>
      <c r="KQT110" s="38"/>
      <c r="KQU110" s="38"/>
      <c r="KRA110" s="36"/>
      <c r="KRB110" s="38"/>
      <c r="KRC110" s="38"/>
      <c r="KRI110" s="36"/>
      <c r="KRJ110" s="38"/>
      <c r="KRK110" s="38"/>
      <c r="KRQ110" s="36"/>
      <c r="KRR110" s="38"/>
      <c r="KRS110" s="38"/>
      <c r="KRY110" s="36"/>
      <c r="KRZ110" s="38"/>
      <c r="KSA110" s="38"/>
      <c r="KSG110" s="36"/>
      <c r="KSH110" s="38"/>
      <c r="KSI110" s="38"/>
      <c r="KSO110" s="36"/>
      <c r="KSP110" s="38"/>
      <c r="KSQ110" s="38"/>
      <c r="KSW110" s="36"/>
      <c r="KSX110" s="38"/>
      <c r="KSY110" s="38"/>
      <c r="KTE110" s="36"/>
      <c r="KTF110" s="38"/>
      <c r="KTG110" s="38"/>
      <c r="KTM110" s="36"/>
      <c r="KTN110" s="38"/>
      <c r="KTO110" s="38"/>
      <c r="KTU110" s="36"/>
      <c r="KTV110" s="38"/>
      <c r="KTW110" s="38"/>
      <c r="KUC110" s="36"/>
      <c r="KUD110" s="38"/>
      <c r="KUE110" s="38"/>
      <c r="KUK110" s="36"/>
      <c r="KUL110" s="38"/>
      <c r="KUM110" s="38"/>
      <c r="KUS110" s="36"/>
      <c r="KUT110" s="38"/>
      <c r="KUU110" s="38"/>
      <c r="KVA110" s="36"/>
      <c r="KVB110" s="38"/>
      <c r="KVC110" s="38"/>
      <c r="KVI110" s="36"/>
      <c r="KVJ110" s="38"/>
      <c r="KVK110" s="38"/>
      <c r="KVQ110" s="36"/>
      <c r="KVR110" s="38"/>
      <c r="KVS110" s="38"/>
      <c r="KVY110" s="36"/>
      <c r="KVZ110" s="38"/>
      <c r="KWA110" s="38"/>
      <c r="KWG110" s="36"/>
      <c r="KWH110" s="38"/>
      <c r="KWI110" s="38"/>
      <c r="KWO110" s="36"/>
      <c r="KWP110" s="38"/>
      <c r="KWQ110" s="38"/>
      <c r="KWW110" s="36"/>
      <c r="KWX110" s="38"/>
      <c r="KWY110" s="38"/>
      <c r="KXE110" s="36"/>
      <c r="KXF110" s="38"/>
      <c r="KXG110" s="38"/>
      <c r="KXM110" s="36"/>
      <c r="KXN110" s="38"/>
      <c r="KXO110" s="38"/>
      <c r="KXU110" s="36"/>
      <c r="KXV110" s="38"/>
      <c r="KXW110" s="38"/>
      <c r="KYC110" s="36"/>
      <c r="KYD110" s="38"/>
      <c r="KYE110" s="38"/>
      <c r="KYK110" s="36"/>
      <c r="KYL110" s="38"/>
      <c r="KYM110" s="38"/>
      <c r="KYS110" s="36"/>
      <c r="KYT110" s="38"/>
      <c r="KYU110" s="38"/>
      <c r="KZA110" s="36"/>
      <c r="KZB110" s="38"/>
      <c r="KZC110" s="38"/>
      <c r="KZI110" s="36"/>
      <c r="KZJ110" s="38"/>
      <c r="KZK110" s="38"/>
      <c r="KZQ110" s="36"/>
      <c r="KZR110" s="38"/>
      <c r="KZS110" s="38"/>
      <c r="KZY110" s="36"/>
      <c r="KZZ110" s="38"/>
      <c r="LAA110" s="38"/>
      <c r="LAG110" s="36"/>
      <c r="LAH110" s="38"/>
      <c r="LAI110" s="38"/>
      <c r="LAO110" s="36"/>
      <c r="LAP110" s="38"/>
      <c r="LAQ110" s="38"/>
      <c r="LAW110" s="36"/>
      <c r="LAX110" s="38"/>
      <c r="LAY110" s="38"/>
      <c r="LBE110" s="36"/>
      <c r="LBF110" s="38"/>
      <c r="LBG110" s="38"/>
      <c r="LBM110" s="36"/>
      <c r="LBN110" s="38"/>
      <c r="LBO110" s="38"/>
      <c r="LBU110" s="36"/>
      <c r="LBV110" s="38"/>
      <c r="LBW110" s="38"/>
      <c r="LCC110" s="36"/>
      <c r="LCD110" s="38"/>
      <c r="LCE110" s="38"/>
      <c r="LCK110" s="36"/>
      <c r="LCL110" s="38"/>
      <c r="LCM110" s="38"/>
      <c r="LCS110" s="36"/>
      <c r="LCT110" s="38"/>
      <c r="LCU110" s="38"/>
      <c r="LDA110" s="36"/>
      <c r="LDB110" s="38"/>
      <c r="LDC110" s="38"/>
      <c r="LDI110" s="36"/>
      <c r="LDJ110" s="38"/>
      <c r="LDK110" s="38"/>
      <c r="LDQ110" s="36"/>
      <c r="LDR110" s="38"/>
      <c r="LDS110" s="38"/>
      <c r="LDY110" s="36"/>
      <c r="LDZ110" s="38"/>
      <c r="LEA110" s="38"/>
      <c r="LEG110" s="36"/>
      <c r="LEH110" s="38"/>
      <c r="LEI110" s="38"/>
      <c r="LEO110" s="36"/>
      <c r="LEP110" s="38"/>
      <c r="LEQ110" s="38"/>
      <c r="LEW110" s="36"/>
      <c r="LEX110" s="38"/>
      <c r="LEY110" s="38"/>
      <c r="LFE110" s="36"/>
      <c r="LFF110" s="38"/>
      <c r="LFG110" s="38"/>
      <c r="LFM110" s="36"/>
      <c r="LFN110" s="38"/>
      <c r="LFO110" s="38"/>
      <c r="LFU110" s="36"/>
      <c r="LFV110" s="38"/>
      <c r="LFW110" s="38"/>
      <c r="LGC110" s="36"/>
      <c r="LGD110" s="38"/>
      <c r="LGE110" s="38"/>
      <c r="LGK110" s="36"/>
      <c r="LGL110" s="38"/>
      <c r="LGM110" s="38"/>
      <c r="LGS110" s="36"/>
      <c r="LGT110" s="38"/>
      <c r="LGU110" s="38"/>
      <c r="LHA110" s="36"/>
      <c r="LHB110" s="38"/>
      <c r="LHC110" s="38"/>
      <c r="LHI110" s="36"/>
      <c r="LHJ110" s="38"/>
      <c r="LHK110" s="38"/>
      <c r="LHQ110" s="36"/>
      <c r="LHR110" s="38"/>
      <c r="LHS110" s="38"/>
      <c r="LHY110" s="36"/>
      <c r="LHZ110" s="38"/>
      <c r="LIA110" s="38"/>
      <c r="LIG110" s="36"/>
      <c r="LIH110" s="38"/>
      <c r="LII110" s="38"/>
      <c r="LIO110" s="36"/>
      <c r="LIP110" s="38"/>
      <c r="LIQ110" s="38"/>
      <c r="LIW110" s="36"/>
      <c r="LIX110" s="38"/>
      <c r="LIY110" s="38"/>
      <c r="LJE110" s="36"/>
      <c r="LJF110" s="38"/>
      <c r="LJG110" s="38"/>
      <c r="LJM110" s="36"/>
      <c r="LJN110" s="38"/>
      <c r="LJO110" s="38"/>
      <c r="LJU110" s="36"/>
      <c r="LJV110" s="38"/>
      <c r="LJW110" s="38"/>
      <c r="LKC110" s="36"/>
      <c r="LKD110" s="38"/>
      <c r="LKE110" s="38"/>
      <c r="LKK110" s="36"/>
      <c r="LKL110" s="38"/>
      <c r="LKM110" s="38"/>
      <c r="LKS110" s="36"/>
      <c r="LKT110" s="38"/>
      <c r="LKU110" s="38"/>
      <c r="LLA110" s="36"/>
      <c r="LLB110" s="38"/>
      <c r="LLC110" s="38"/>
      <c r="LLI110" s="36"/>
      <c r="LLJ110" s="38"/>
      <c r="LLK110" s="38"/>
      <c r="LLQ110" s="36"/>
      <c r="LLR110" s="38"/>
      <c r="LLS110" s="38"/>
      <c r="LLY110" s="36"/>
      <c r="LLZ110" s="38"/>
      <c r="LMA110" s="38"/>
      <c r="LMG110" s="36"/>
      <c r="LMH110" s="38"/>
      <c r="LMI110" s="38"/>
      <c r="LMO110" s="36"/>
      <c r="LMP110" s="38"/>
      <c r="LMQ110" s="38"/>
      <c r="LMW110" s="36"/>
      <c r="LMX110" s="38"/>
      <c r="LMY110" s="38"/>
      <c r="LNE110" s="36"/>
      <c r="LNF110" s="38"/>
      <c r="LNG110" s="38"/>
      <c r="LNM110" s="36"/>
      <c r="LNN110" s="38"/>
      <c r="LNO110" s="38"/>
      <c r="LNU110" s="36"/>
      <c r="LNV110" s="38"/>
      <c r="LNW110" s="38"/>
      <c r="LOC110" s="36"/>
      <c r="LOD110" s="38"/>
      <c r="LOE110" s="38"/>
      <c r="LOK110" s="36"/>
      <c r="LOL110" s="38"/>
      <c r="LOM110" s="38"/>
      <c r="LOS110" s="36"/>
      <c r="LOT110" s="38"/>
      <c r="LOU110" s="38"/>
      <c r="LPA110" s="36"/>
      <c r="LPB110" s="38"/>
      <c r="LPC110" s="38"/>
      <c r="LPI110" s="36"/>
      <c r="LPJ110" s="38"/>
      <c r="LPK110" s="38"/>
      <c r="LPQ110" s="36"/>
      <c r="LPR110" s="38"/>
      <c r="LPS110" s="38"/>
      <c r="LPY110" s="36"/>
      <c r="LPZ110" s="38"/>
      <c r="LQA110" s="38"/>
      <c r="LQG110" s="36"/>
      <c r="LQH110" s="38"/>
      <c r="LQI110" s="38"/>
      <c r="LQO110" s="36"/>
      <c r="LQP110" s="38"/>
      <c r="LQQ110" s="38"/>
      <c r="LQW110" s="36"/>
      <c r="LQX110" s="38"/>
      <c r="LQY110" s="38"/>
      <c r="LRE110" s="36"/>
      <c r="LRF110" s="38"/>
      <c r="LRG110" s="38"/>
      <c r="LRM110" s="36"/>
      <c r="LRN110" s="38"/>
      <c r="LRO110" s="38"/>
      <c r="LRU110" s="36"/>
      <c r="LRV110" s="38"/>
      <c r="LRW110" s="38"/>
      <c r="LSC110" s="36"/>
      <c r="LSD110" s="38"/>
      <c r="LSE110" s="38"/>
      <c r="LSK110" s="36"/>
      <c r="LSL110" s="38"/>
      <c r="LSM110" s="38"/>
      <c r="LSS110" s="36"/>
      <c r="LST110" s="38"/>
      <c r="LSU110" s="38"/>
      <c r="LTA110" s="36"/>
      <c r="LTB110" s="38"/>
      <c r="LTC110" s="38"/>
      <c r="LTI110" s="36"/>
      <c r="LTJ110" s="38"/>
      <c r="LTK110" s="38"/>
      <c r="LTQ110" s="36"/>
      <c r="LTR110" s="38"/>
      <c r="LTS110" s="38"/>
      <c r="LTY110" s="36"/>
      <c r="LTZ110" s="38"/>
      <c r="LUA110" s="38"/>
      <c r="LUG110" s="36"/>
      <c r="LUH110" s="38"/>
      <c r="LUI110" s="38"/>
      <c r="LUO110" s="36"/>
      <c r="LUP110" s="38"/>
      <c r="LUQ110" s="38"/>
      <c r="LUW110" s="36"/>
      <c r="LUX110" s="38"/>
      <c r="LUY110" s="38"/>
      <c r="LVE110" s="36"/>
      <c r="LVF110" s="38"/>
      <c r="LVG110" s="38"/>
      <c r="LVM110" s="36"/>
      <c r="LVN110" s="38"/>
      <c r="LVO110" s="38"/>
      <c r="LVU110" s="36"/>
      <c r="LVV110" s="38"/>
      <c r="LVW110" s="38"/>
      <c r="LWC110" s="36"/>
      <c r="LWD110" s="38"/>
      <c r="LWE110" s="38"/>
      <c r="LWK110" s="36"/>
      <c r="LWL110" s="38"/>
      <c r="LWM110" s="38"/>
      <c r="LWS110" s="36"/>
      <c r="LWT110" s="38"/>
      <c r="LWU110" s="38"/>
      <c r="LXA110" s="36"/>
      <c r="LXB110" s="38"/>
      <c r="LXC110" s="38"/>
      <c r="LXI110" s="36"/>
      <c r="LXJ110" s="38"/>
      <c r="LXK110" s="38"/>
      <c r="LXQ110" s="36"/>
      <c r="LXR110" s="38"/>
      <c r="LXS110" s="38"/>
      <c r="LXY110" s="36"/>
      <c r="LXZ110" s="38"/>
      <c r="LYA110" s="38"/>
      <c r="LYG110" s="36"/>
      <c r="LYH110" s="38"/>
      <c r="LYI110" s="38"/>
      <c r="LYO110" s="36"/>
      <c r="LYP110" s="38"/>
      <c r="LYQ110" s="38"/>
      <c r="LYW110" s="36"/>
      <c r="LYX110" s="38"/>
      <c r="LYY110" s="38"/>
      <c r="LZE110" s="36"/>
      <c r="LZF110" s="38"/>
      <c r="LZG110" s="38"/>
      <c r="LZM110" s="36"/>
      <c r="LZN110" s="38"/>
      <c r="LZO110" s="38"/>
      <c r="LZU110" s="36"/>
      <c r="LZV110" s="38"/>
      <c r="LZW110" s="38"/>
      <c r="MAC110" s="36"/>
      <c r="MAD110" s="38"/>
      <c r="MAE110" s="38"/>
      <c r="MAK110" s="36"/>
      <c r="MAL110" s="38"/>
      <c r="MAM110" s="38"/>
      <c r="MAS110" s="36"/>
      <c r="MAT110" s="38"/>
      <c r="MAU110" s="38"/>
      <c r="MBA110" s="36"/>
      <c r="MBB110" s="38"/>
      <c r="MBC110" s="38"/>
      <c r="MBI110" s="36"/>
      <c r="MBJ110" s="38"/>
      <c r="MBK110" s="38"/>
      <c r="MBQ110" s="36"/>
      <c r="MBR110" s="38"/>
      <c r="MBS110" s="38"/>
      <c r="MBY110" s="36"/>
      <c r="MBZ110" s="38"/>
      <c r="MCA110" s="38"/>
      <c r="MCG110" s="36"/>
      <c r="MCH110" s="38"/>
      <c r="MCI110" s="38"/>
      <c r="MCO110" s="36"/>
      <c r="MCP110" s="38"/>
      <c r="MCQ110" s="38"/>
      <c r="MCW110" s="36"/>
      <c r="MCX110" s="38"/>
      <c r="MCY110" s="38"/>
      <c r="MDE110" s="36"/>
      <c r="MDF110" s="38"/>
      <c r="MDG110" s="38"/>
      <c r="MDM110" s="36"/>
      <c r="MDN110" s="38"/>
      <c r="MDO110" s="38"/>
      <c r="MDU110" s="36"/>
      <c r="MDV110" s="38"/>
      <c r="MDW110" s="38"/>
      <c r="MEC110" s="36"/>
      <c r="MED110" s="38"/>
      <c r="MEE110" s="38"/>
      <c r="MEK110" s="36"/>
      <c r="MEL110" s="38"/>
      <c r="MEM110" s="38"/>
      <c r="MES110" s="36"/>
      <c r="MET110" s="38"/>
      <c r="MEU110" s="38"/>
      <c r="MFA110" s="36"/>
      <c r="MFB110" s="38"/>
      <c r="MFC110" s="38"/>
      <c r="MFI110" s="36"/>
      <c r="MFJ110" s="38"/>
      <c r="MFK110" s="38"/>
      <c r="MFQ110" s="36"/>
      <c r="MFR110" s="38"/>
      <c r="MFS110" s="38"/>
      <c r="MFY110" s="36"/>
      <c r="MFZ110" s="38"/>
      <c r="MGA110" s="38"/>
      <c r="MGG110" s="36"/>
      <c r="MGH110" s="38"/>
      <c r="MGI110" s="38"/>
      <c r="MGO110" s="36"/>
      <c r="MGP110" s="38"/>
      <c r="MGQ110" s="38"/>
      <c r="MGW110" s="36"/>
      <c r="MGX110" s="38"/>
      <c r="MGY110" s="38"/>
      <c r="MHE110" s="36"/>
      <c r="MHF110" s="38"/>
      <c r="MHG110" s="38"/>
      <c r="MHM110" s="36"/>
      <c r="MHN110" s="38"/>
      <c r="MHO110" s="38"/>
      <c r="MHU110" s="36"/>
      <c r="MHV110" s="38"/>
      <c r="MHW110" s="38"/>
      <c r="MIC110" s="36"/>
      <c r="MID110" s="38"/>
      <c r="MIE110" s="38"/>
      <c r="MIK110" s="36"/>
      <c r="MIL110" s="38"/>
      <c r="MIM110" s="38"/>
      <c r="MIS110" s="36"/>
      <c r="MIT110" s="38"/>
      <c r="MIU110" s="38"/>
      <c r="MJA110" s="36"/>
      <c r="MJB110" s="38"/>
      <c r="MJC110" s="38"/>
      <c r="MJI110" s="36"/>
      <c r="MJJ110" s="38"/>
      <c r="MJK110" s="38"/>
      <c r="MJQ110" s="36"/>
      <c r="MJR110" s="38"/>
      <c r="MJS110" s="38"/>
      <c r="MJY110" s="36"/>
      <c r="MJZ110" s="38"/>
      <c r="MKA110" s="38"/>
      <c r="MKG110" s="36"/>
      <c r="MKH110" s="38"/>
      <c r="MKI110" s="38"/>
      <c r="MKO110" s="36"/>
      <c r="MKP110" s="38"/>
      <c r="MKQ110" s="38"/>
      <c r="MKW110" s="36"/>
      <c r="MKX110" s="38"/>
      <c r="MKY110" s="38"/>
      <c r="MLE110" s="36"/>
      <c r="MLF110" s="38"/>
      <c r="MLG110" s="38"/>
      <c r="MLM110" s="36"/>
      <c r="MLN110" s="38"/>
      <c r="MLO110" s="38"/>
      <c r="MLU110" s="36"/>
      <c r="MLV110" s="38"/>
      <c r="MLW110" s="38"/>
      <c r="MMC110" s="36"/>
      <c r="MMD110" s="38"/>
      <c r="MME110" s="38"/>
      <c r="MMK110" s="36"/>
      <c r="MML110" s="38"/>
      <c r="MMM110" s="38"/>
      <c r="MMS110" s="36"/>
      <c r="MMT110" s="38"/>
      <c r="MMU110" s="38"/>
      <c r="MNA110" s="36"/>
      <c r="MNB110" s="38"/>
      <c r="MNC110" s="38"/>
      <c r="MNI110" s="36"/>
      <c r="MNJ110" s="38"/>
      <c r="MNK110" s="38"/>
      <c r="MNQ110" s="36"/>
      <c r="MNR110" s="38"/>
      <c r="MNS110" s="38"/>
      <c r="MNY110" s="36"/>
      <c r="MNZ110" s="38"/>
      <c r="MOA110" s="38"/>
      <c r="MOG110" s="36"/>
      <c r="MOH110" s="38"/>
      <c r="MOI110" s="38"/>
      <c r="MOO110" s="36"/>
      <c r="MOP110" s="38"/>
      <c r="MOQ110" s="38"/>
      <c r="MOW110" s="36"/>
      <c r="MOX110" s="38"/>
      <c r="MOY110" s="38"/>
      <c r="MPE110" s="36"/>
      <c r="MPF110" s="38"/>
      <c r="MPG110" s="38"/>
      <c r="MPM110" s="36"/>
      <c r="MPN110" s="38"/>
      <c r="MPO110" s="38"/>
      <c r="MPU110" s="36"/>
      <c r="MPV110" s="38"/>
      <c r="MPW110" s="38"/>
      <c r="MQC110" s="36"/>
      <c r="MQD110" s="38"/>
      <c r="MQE110" s="38"/>
      <c r="MQK110" s="36"/>
      <c r="MQL110" s="38"/>
      <c r="MQM110" s="38"/>
      <c r="MQS110" s="36"/>
      <c r="MQT110" s="38"/>
      <c r="MQU110" s="38"/>
      <c r="MRA110" s="36"/>
      <c r="MRB110" s="38"/>
      <c r="MRC110" s="38"/>
      <c r="MRI110" s="36"/>
      <c r="MRJ110" s="38"/>
      <c r="MRK110" s="38"/>
      <c r="MRQ110" s="36"/>
      <c r="MRR110" s="38"/>
      <c r="MRS110" s="38"/>
      <c r="MRY110" s="36"/>
      <c r="MRZ110" s="38"/>
      <c r="MSA110" s="38"/>
      <c r="MSG110" s="36"/>
      <c r="MSH110" s="38"/>
      <c r="MSI110" s="38"/>
      <c r="MSO110" s="36"/>
      <c r="MSP110" s="38"/>
      <c r="MSQ110" s="38"/>
      <c r="MSW110" s="36"/>
      <c r="MSX110" s="38"/>
      <c r="MSY110" s="38"/>
      <c r="MTE110" s="36"/>
      <c r="MTF110" s="38"/>
      <c r="MTG110" s="38"/>
      <c r="MTM110" s="36"/>
      <c r="MTN110" s="38"/>
      <c r="MTO110" s="38"/>
      <c r="MTU110" s="36"/>
      <c r="MTV110" s="38"/>
      <c r="MTW110" s="38"/>
      <c r="MUC110" s="36"/>
      <c r="MUD110" s="38"/>
      <c r="MUE110" s="38"/>
      <c r="MUK110" s="36"/>
      <c r="MUL110" s="38"/>
      <c r="MUM110" s="38"/>
      <c r="MUS110" s="36"/>
      <c r="MUT110" s="38"/>
      <c r="MUU110" s="38"/>
      <c r="MVA110" s="36"/>
      <c r="MVB110" s="38"/>
      <c r="MVC110" s="38"/>
      <c r="MVI110" s="36"/>
      <c r="MVJ110" s="38"/>
      <c r="MVK110" s="38"/>
      <c r="MVQ110" s="36"/>
      <c r="MVR110" s="38"/>
      <c r="MVS110" s="38"/>
      <c r="MVY110" s="36"/>
      <c r="MVZ110" s="38"/>
      <c r="MWA110" s="38"/>
      <c r="MWG110" s="36"/>
      <c r="MWH110" s="38"/>
      <c r="MWI110" s="38"/>
      <c r="MWO110" s="36"/>
      <c r="MWP110" s="38"/>
      <c r="MWQ110" s="38"/>
      <c r="MWW110" s="36"/>
      <c r="MWX110" s="38"/>
      <c r="MWY110" s="38"/>
      <c r="MXE110" s="36"/>
      <c r="MXF110" s="38"/>
      <c r="MXG110" s="38"/>
      <c r="MXM110" s="36"/>
      <c r="MXN110" s="38"/>
      <c r="MXO110" s="38"/>
      <c r="MXU110" s="36"/>
      <c r="MXV110" s="38"/>
      <c r="MXW110" s="38"/>
      <c r="MYC110" s="36"/>
      <c r="MYD110" s="38"/>
      <c r="MYE110" s="38"/>
      <c r="MYK110" s="36"/>
      <c r="MYL110" s="38"/>
      <c r="MYM110" s="38"/>
      <c r="MYS110" s="36"/>
      <c r="MYT110" s="38"/>
      <c r="MYU110" s="38"/>
      <c r="MZA110" s="36"/>
      <c r="MZB110" s="38"/>
      <c r="MZC110" s="38"/>
      <c r="MZI110" s="36"/>
      <c r="MZJ110" s="38"/>
      <c r="MZK110" s="38"/>
      <c r="MZQ110" s="36"/>
      <c r="MZR110" s="38"/>
      <c r="MZS110" s="38"/>
      <c r="MZY110" s="36"/>
      <c r="MZZ110" s="38"/>
      <c r="NAA110" s="38"/>
      <c r="NAG110" s="36"/>
      <c r="NAH110" s="38"/>
      <c r="NAI110" s="38"/>
      <c r="NAO110" s="36"/>
      <c r="NAP110" s="38"/>
      <c r="NAQ110" s="38"/>
      <c r="NAW110" s="36"/>
      <c r="NAX110" s="38"/>
      <c r="NAY110" s="38"/>
      <c r="NBE110" s="36"/>
      <c r="NBF110" s="38"/>
      <c r="NBG110" s="38"/>
      <c r="NBM110" s="36"/>
      <c r="NBN110" s="38"/>
      <c r="NBO110" s="38"/>
      <c r="NBU110" s="36"/>
      <c r="NBV110" s="38"/>
      <c r="NBW110" s="38"/>
      <c r="NCC110" s="36"/>
      <c r="NCD110" s="38"/>
      <c r="NCE110" s="38"/>
      <c r="NCK110" s="36"/>
      <c r="NCL110" s="38"/>
      <c r="NCM110" s="38"/>
      <c r="NCS110" s="36"/>
      <c r="NCT110" s="38"/>
      <c r="NCU110" s="38"/>
      <c r="NDA110" s="36"/>
      <c r="NDB110" s="38"/>
      <c r="NDC110" s="38"/>
      <c r="NDI110" s="36"/>
      <c r="NDJ110" s="38"/>
      <c r="NDK110" s="38"/>
      <c r="NDQ110" s="36"/>
      <c r="NDR110" s="38"/>
      <c r="NDS110" s="38"/>
      <c r="NDY110" s="36"/>
      <c r="NDZ110" s="38"/>
      <c r="NEA110" s="38"/>
      <c r="NEG110" s="36"/>
      <c r="NEH110" s="38"/>
      <c r="NEI110" s="38"/>
      <c r="NEO110" s="36"/>
      <c r="NEP110" s="38"/>
      <c r="NEQ110" s="38"/>
      <c r="NEW110" s="36"/>
      <c r="NEX110" s="38"/>
      <c r="NEY110" s="38"/>
      <c r="NFE110" s="36"/>
      <c r="NFF110" s="38"/>
      <c r="NFG110" s="38"/>
      <c r="NFM110" s="36"/>
      <c r="NFN110" s="38"/>
      <c r="NFO110" s="38"/>
      <c r="NFU110" s="36"/>
      <c r="NFV110" s="38"/>
      <c r="NFW110" s="38"/>
      <c r="NGC110" s="36"/>
      <c r="NGD110" s="38"/>
      <c r="NGE110" s="38"/>
      <c r="NGK110" s="36"/>
      <c r="NGL110" s="38"/>
      <c r="NGM110" s="38"/>
      <c r="NGS110" s="36"/>
      <c r="NGT110" s="38"/>
      <c r="NGU110" s="38"/>
      <c r="NHA110" s="36"/>
      <c r="NHB110" s="38"/>
      <c r="NHC110" s="38"/>
      <c r="NHI110" s="36"/>
      <c r="NHJ110" s="38"/>
      <c r="NHK110" s="38"/>
      <c r="NHQ110" s="36"/>
      <c r="NHR110" s="38"/>
      <c r="NHS110" s="38"/>
      <c r="NHY110" s="36"/>
      <c r="NHZ110" s="38"/>
      <c r="NIA110" s="38"/>
      <c r="NIG110" s="36"/>
      <c r="NIH110" s="38"/>
      <c r="NII110" s="38"/>
      <c r="NIO110" s="36"/>
      <c r="NIP110" s="38"/>
      <c r="NIQ110" s="38"/>
      <c r="NIW110" s="36"/>
      <c r="NIX110" s="38"/>
      <c r="NIY110" s="38"/>
      <c r="NJE110" s="36"/>
      <c r="NJF110" s="38"/>
      <c r="NJG110" s="38"/>
      <c r="NJM110" s="36"/>
      <c r="NJN110" s="38"/>
      <c r="NJO110" s="38"/>
      <c r="NJU110" s="36"/>
      <c r="NJV110" s="38"/>
      <c r="NJW110" s="38"/>
      <c r="NKC110" s="36"/>
      <c r="NKD110" s="38"/>
      <c r="NKE110" s="38"/>
      <c r="NKK110" s="36"/>
      <c r="NKL110" s="38"/>
      <c r="NKM110" s="38"/>
      <c r="NKS110" s="36"/>
      <c r="NKT110" s="38"/>
      <c r="NKU110" s="38"/>
      <c r="NLA110" s="36"/>
      <c r="NLB110" s="38"/>
      <c r="NLC110" s="38"/>
      <c r="NLI110" s="36"/>
      <c r="NLJ110" s="38"/>
      <c r="NLK110" s="38"/>
      <c r="NLQ110" s="36"/>
      <c r="NLR110" s="38"/>
      <c r="NLS110" s="38"/>
      <c r="NLY110" s="36"/>
      <c r="NLZ110" s="38"/>
      <c r="NMA110" s="38"/>
      <c r="NMG110" s="36"/>
      <c r="NMH110" s="38"/>
      <c r="NMI110" s="38"/>
      <c r="NMO110" s="36"/>
      <c r="NMP110" s="38"/>
      <c r="NMQ110" s="38"/>
      <c r="NMW110" s="36"/>
      <c r="NMX110" s="38"/>
      <c r="NMY110" s="38"/>
      <c r="NNE110" s="36"/>
      <c r="NNF110" s="38"/>
      <c r="NNG110" s="38"/>
      <c r="NNM110" s="36"/>
      <c r="NNN110" s="38"/>
      <c r="NNO110" s="38"/>
      <c r="NNU110" s="36"/>
      <c r="NNV110" s="38"/>
      <c r="NNW110" s="38"/>
      <c r="NOC110" s="36"/>
      <c r="NOD110" s="38"/>
      <c r="NOE110" s="38"/>
      <c r="NOK110" s="36"/>
      <c r="NOL110" s="38"/>
      <c r="NOM110" s="38"/>
      <c r="NOS110" s="36"/>
      <c r="NOT110" s="38"/>
      <c r="NOU110" s="38"/>
      <c r="NPA110" s="36"/>
      <c r="NPB110" s="38"/>
      <c r="NPC110" s="38"/>
      <c r="NPI110" s="36"/>
      <c r="NPJ110" s="38"/>
      <c r="NPK110" s="38"/>
      <c r="NPQ110" s="36"/>
      <c r="NPR110" s="38"/>
      <c r="NPS110" s="38"/>
      <c r="NPY110" s="36"/>
      <c r="NPZ110" s="38"/>
      <c r="NQA110" s="38"/>
      <c r="NQG110" s="36"/>
      <c r="NQH110" s="38"/>
      <c r="NQI110" s="38"/>
      <c r="NQO110" s="36"/>
      <c r="NQP110" s="38"/>
      <c r="NQQ110" s="38"/>
      <c r="NQW110" s="36"/>
      <c r="NQX110" s="38"/>
      <c r="NQY110" s="38"/>
      <c r="NRE110" s="36"/>
      <c r="NRF110" s="38"/>
      <c r="NRG110" s="38"/>
      <c r="NRM110" s="36"/>
      <c r="NRN110" s="38"/>
      <c r="NRO110" s="38"/>
      <c r="NRU110" s="36"/>
      <c r="NRV110" s="38"/>
      <c r="NRW110" s="38"/>
      <c r="NSC110" s="36"/>
      <c r="NSD110" s="38"/>
      <c r="NSE110" s="38"/>
      <c r="NSK110" s="36"/>
      <c r="NSL110" s="38"/>
      <c r="NSM110" s="38"/>
      <c r="NSS110" s="36"/>
      <c r="NST110" s="38"/>
      <c r="NSU110" s="38"/>
      <c r="NTA110" s="36"/>
      <c r="NTB110" s="38"/>
      <c r="NTC110" s="38"/>
      <c r="NTI110" s="36"/>
      <c r="NTJ110" s="38"/>
      <c r="NTK110" s="38"/>
      <c r="NTQ110" s="36"/>
      <c r="NTR110" s="38"/>
      <c r="NTS110" s="38"/>
      <c r="NTY110" s="36"/>
      <c r="NTZ110" s="38"/>
      <c r="NUA110" s="38"/>
      <c r="NUG110" s="36"/>
      <c r="NUH110" s="38"/>
      <c r="NUI110" s="38"/>
      <c r="NUO110" s="36"/>
      <c r="NUP110" s="38"/>
      <c r="NUQ110" s="38"/>
      <c r="NUW110" s="36"/>
      <c r="NUX110" s="38"/>
      <c r="NUY110" s="38"/>
      <c r="NVE110" s="36"/>
      <c r="NVF110" s="38"/>
      <c r="NVG110" s="38"/>
      <c r="NVM110" s="36"/>
      <c r="NVN110" s="38"/>
      <c r="NVO110" s="38"/>
      <c r="NVU110" s="36"/>
      <c r="NVV110" s="38"/>
      <c r="NVW110" s="38"/>
      <c r="NWC110" s="36"/>
      <c r="NWD110" s="38"/>
      <c r="NWE110" s="38"/>
      <c r="NWK110" s="36"/>
      <c r="NWL110" s="38"/>
      <c r="NWM110" s="38"/>
      <c r="NWS110" s="36"/>
      <c r="NWT110" s="38"/>
      <c r="NWU110" s="38"/>
      <c r="NXA110" s="36"/>
      <c r="NXB110" s="38"/>
      <c r="NXC110" s="38"/>
      <c r="NXI110" s="36"/>
      <c r="NXJ110" s="38"/>
      <c r="NXK110" s="38"/>
      <c r="NXQ110" s="36"/>
      <c r="NXR110" s="38"/>
      <c r="NXS110" s="38"/>
      <c r="NXY110" s="36"/>
      <c r="NXZ110" s="38"/>
      <c r="NYA110" s="38"/>
      <c r="NYG110" s="36"/>
      <c r="NYH110" s="38"/>
      <c r="NYI110" s="38"/>
      <c r="NYO110" s="36"/>
      <c r="NYP110" s="38"/>
      <c r="NYQ110" s="38"/>
      <c r="NYW110" s="36"/>
      <c r="NYX110" s="38"/>
      <c r="NYY110" s="38"/>
      <c r="NZE110" s="36"/>
      <c r="NZF110" s="38"/>
      <c r="NZG110" s="38"/>
      <c r="NZM110" s="36"/>
      <c r="NZN110" s="38"/>
      <c r="NZO110" s="38"/>
      <c r="NZU110" s="36"/>
      <c r="NZV110" s="38"/>
      <c r="NZW110" s="38"/>
      <c r="OAC110" s="36"/>
      <c r="OAD110" s="38"/>
      <c r="OAE110" s="38"/>
      <c r="OAK110" s="36"/>
      <c r="OAL110" s="38"/>
      <c r="OAM110" s="38"/>
      <c r="OAS110" s="36"/>
      <c r="OAT110" s="38"/>
      <c r="OAU110" s="38"/>
      <c r="OBA110" s="36"/>
      <c r="OBB110" s="38"/>
      <c r="OBC110" s="38"/>
      <c r="OBI110" s="36"/>
      <c r="OBJ110" s="38"/>
      <c r="OBK110" s="38"/>
      <c r="OBQ110" s="36"/>
      <c r="OBR110" s="38"/>
      <c r="OBS110" s="38"/>
      <c r="OBY110" s="36"/>
      <c r="OBZ110" s="38"/>
      <c r="OCA110" s="38"/>
      <c r="OCG110" s="36"/>
      <c r="OCH110" s="38"/>
      <c r="OCI110" s="38"/>
      <c r="OCO110" s="36"/>
      <c r="OCP110" s="38"/>
      <c r="OCQ110" s="38"/>
      <c r="OCW110" s="36"/>
      <c r="OCX110" s="38"/>
      <c r="OCY110" s="38"/>
      <c r="ODE110" s="36"/>
      <c r="ODF110" s="38"/>
      <c r="ODG110" s="38"/>
      <c r="ODM110" s="36"/>
      <c r="ODN110" s="38"/>
      <c r="ODO110" s="38"/>
      <c r="ODU110" s="36"/>
      <c r="ODV110" s="38"/>
      <c r="ODW110" s="38"/>
      <c r="OEC110" s="36"/>
      <c r="OED110" s="38"/>
      <c r="OEE110" s="38"/>
      <c r="OEK110" s="36"/>
      <c r="OEL110" s="38"/>
      <c r="OEM110" s="38"/>
      <c r="OES110" s="36"/>
      <c r="OET110" s="38"/>
      <c r="OEU110" s="38"/>
      <c r="OFA110" s="36"/>
      <c r="OFB110" s="38"/>
      <c r="OFC110" s="38"/>
      <c r="OFI110" s="36"/>
      <c r="OFJ110" s="38"/>
      <c r="OFK110" s="38"/>
      <c r="OFQ110" s="36"/>
      <c r="OFR110" s="38"/>
      <c r="OFS110" s="38"/>
      <c r="OFY110" s="36"/>
      <c r="OFZ110" s="38"/>
      <c r="OGA110" s="38"/>
      <c r="OGG110" s="36"/>
      <c r="OGH110" s="38"/>
      <c r="OGI110" s="38"/>
      <c r="OGO110" s="36"/>
      <c r="OGP110" s="38"/>
      <c r="OGQ110" s="38"/>
      <c r="OGW110" s="36"/>
      <c r="OGX110" s="38"/>
      <c r="OGY110" s="38"/>
      <c r="OHE110" s="36"/>
      <c r="OHF110" s="38"/>
      <c r="OHG110" s="38"/>
      <c r="OHM110" s="36"/>
      <c r="OHN110" s="38"/>
      <c r="OHO110" s="38"/>
      <c r="OHU110" s="36"/>
      <c r="OHV110" s="38"/>
      <c r="OHW110" s="38"/>
      <c r="OIC110" s="36"/>
      <c r="OID110" s="38"/>
      <c r="OIE110" s="38"/>
      <c r="OIK110" s="36"/>
      <c r="OIL110" s="38"/>
      <c r="OIM110" s="38"/>
      <c r="OIS110" s="36"/>
      <c r="OIT110" s="38"/>
      <c r="OIU110" s="38"/>
      <c r="OJA110" s="36"/>
      <c r="OJB110" s="38"/>
      <c r="OJC110" s="38"/>
      <c r="OJI110" s="36"/>
      <c r="OJJ110" s="38"/>
      <c r="OJK110" s="38"/>
      <c r="OJQ110" s="36"/>
      <c r="OJR110" s="38"/>
      <c r="OJS110" s="38"/>
      <c r="OJY110" s="36"/>
      <c r="OJZ110" s="38"/>
      <c r="OKA110" s="38"/>
      <c r="OKG110" s="36"/>
      <c r="OKH110" s="38"/>
      <c r="OKI110" s="38"/>
      <c r="OKO110" s="36"/>
      <c r="OKP110" s="38"/>
      <c r="OKQ110" s="38"/>
      <c r="OKW110" s="36"/>
      <c r="OKX110" s="38"/>
      <c r="OKY110" s="38"/>
      <c r="OLE110" s="36"/>
      <c r="OLF110" s="38"/>
      <c r="OLG110" s="38"/>
      <c r="OLM110" s="36"/>
      <c r="OLN110" s="38"/>
      <c r="OLO110" s="38"/>
      <c r="OLU110" s="36"/>
      <c r="OLV110" s="38"/>
      <c r="OLW110" s="38"/>
      <c r="OMC110" s="36"/>
      <c r="OMD110" s="38"/>
      <c r="OME110" s="38"/>
      <c r="OMK110" s="36"/>
      <c r="OML110" s="38"/>
      <c r="OMM110" s="38"/>
      <c r="OMS110" s="36"/>
      <c r="OMT110" s="38"/>
      <c r="OMU110" s="38"/>
      <c r="ONA110" s="36"/>
      <c r="ONB110" s="38"/>
      <c r="ONC110" s="38"/>
      <c r="ONI110" s="36"/>
      <c r="ONJ110" s="38"/>
      <c r="ONK110" s="38"/>
      <c r="ONQ110" s="36"/>
      <c r="ONR110" s="38"/>
      <c r="ONS110" s="38"/>
      <c r="ONY110" s="36"/>
      <c r="ONZ110" s="38"/>
      <c r="OOA110" s="38"/>
      <c r="OOG110" s="36"/>
      <c r="OOH110" s="38"/>
      <c r="OOI110" s="38"/>
      <c r="OOO110" s="36"/>
      <c r="OOP110" s="38"/>
      <c r="OOQ110" s="38"/>
      <c r="OOW110" s="36"/>
      <c r="OOX110" s="38"/>
      <c r="OOY110" s="38"/>
      <c r="OPE110" s="36"/>
      <c r="OPF110" s="38"/>
      <c r="OPG110" s="38"/>
      <c r="OPM110" s="36"/>
      <c r="OPN110" s="38"/>
      <c r="OPO110" s="38"/>
      <c r="OPU110" s="36"/>
      <c r="OPV110" s="38"/>
      <c r="OPW110" s="38"/>
      <c r="OQC110" s="36"/>
      <c r="OQD110" s="38"/>
      <c r="OQE110" s="38"/>
      <c r="OQK110" s="36"/>
      <c r="OQL110" s="38"/>
      <c r="OQM110" s="38"/>
      <c r="OQS110" s="36"/>
      <c r="OQT110" s="38"/>
      <c r="OQU110" s="38"/>
      <c r="ORA110" s="36"/>
      <c r="ORB110" s="38"/>
      <c r="ORC110" s="38"/>
      <c r="ORI110" s="36"/>
      <c r="ORJ110" s="38"/>
      <c r="ORK110" s="38"/>
      <c r="ORQ110" s="36"/>
      <c r="ORR110" s="38"/>
      <c r="ORS110" s="38"/>
      <c r="ORY110" s="36"/>
      <c r="ORZ110" s="38"/>
      <c r="OSA110" s="38"/>
      <c r="OSG110" s="36"/>
      <c r="OSH110" s="38"/>
      <c r="OSI110" s="38"/>
      <c r="OSO110" s="36"/>
      <c r="OSP110" s="38"/>
      <c r="OSQ110" s="38"/>
      <c r="OSW110" s="36"/>
      <c r="OSX110" s="38"/>
      <c r="OSY110" s="38"/>
      <c r="OTE110" s="36"/>
      <c r="OTF110" s="38"/>
      <c r="OTG110" s="38"/>
      <c r="OTM110" s="36"/>
      <c r="OTN110" s="38"/>
      <c r="OTO110" s="38"/>
      <c r="OTU110" s="36"/>
      <c r="OTV110" s="38"/>
      <c r="OTW110" s="38"/>
      <c r="OUC110" s="36"/>
      <c r="OUD110" s="38"/>
      <c r="OUE110" s="38"/>
      <c r="OUK110" s="36"/>
      <c r="OUL110" s="38"/>
      <c r="OUM110" s="38"/>
      <c r="OUS110" s="36"/>
      <c r="OUT110" s="38"/>
      <c r="OUU110" s="38"/>
      <c r="OVA110" s="36"/>
      <c r="OVB110" s="38"/>
      <c r="OVC110" s="38"/>
      <c r="OVI110" s="36"/>
      <c r="OVJ110" s="38"/>
      <c r="OVK110" s="38"/>
      <c r="OVQ110" s="36"/>
      <c r="OVR110" s="38"/>
      <c r="OVS110" s="38"/>
      <c r="OVY110" s="36"/>
      <c r="OVZ110" s="38"/>
      <c r="OWA110" s="38"/>
      <c r="OWG110" s="36"/>
      <c r="OWH110" s="38"/>
      <c r="OWI110" s="38"/>
      <c r="OWO110" s="36"/>
      <c r="OWP110" s="38"/>
      <c r="OWQ110" s="38"/>
      <c r="OWW110" s="36"/>
      <c r="OWX110" s="38"/>
      <c r="OWY110" s="38"/>
      <c r="OXE110" s="36"/>
      <c r="OXF110" s="38"/>
      <c r="OXG110" s="38"/>
      <c r="OXM110" s="36"/>
      <c r="OXN110" s="38"/>
      <c r="OXO110" s="38"/>
      <c r="OXU110" s="36"/>
      <c r="OXV110" s="38"/>
      <c r="OXW110" s="38"/>
      <c r="OYC110" s="36"/>
      <c r="OYD110" s="38"/>
      <c r="OYE110" s="38"/>
      <c r="OYK110" s="36"/>
      <c r="OYL110" s="38"/>
      <c r="OYM110" s="38"/>
      <c r="OYS110" s="36"/>
      <c r="OYT110" s="38"/>
      <c r="OYU110" s="38"/>
      <c r="OZA110" s="36"/>
      <c r="OZB110" s="38"/>
      <c r="OZC110" s="38"/>
      <c r="OZI110" s="36"/>
      <c r="OZJ110" s="38"/>
      <c r="OZK110" s="38"/>
      <c r="OZQ110" s="36"/>
      <c r="OZR110" s="38"/>
      <c r="OZS110" s="38"/>
      <c r="OZY110" s="36"/>
      <c r="OZZ110" s="38"/>
      <c r="PAA110" s="38"/>
      <c r="PAG110" s="36"/>
      <c r="PAH110" s="38"/>
      <c r="PAI110" s="38"/>
      <c r="PAO110" s="36"/>
      <c r="PAP110" s="38"/>
      <c r="PAQ110" s="38"/>
      <c r="PAW110" s="36"/>
      <c r="PAX110" s="38"/>
      <c r="PAY110" s="38"/>
      <c r="PBE110" s="36"/>
      <c r="PBF110" s="38"/>
      <c r="PBG110" s="38"/>
      <c r="PBM110" s="36"/>
      <c r="PBN110" s="38"/>
      <c r="PBO110" s="38"/>
      <c r="PBU110" s="36"/>
      <c r="PBV110" s="38"/>
      <c r="PBW110" s="38"/>
      <c r="PCC110" s="36"/>
      <c r="PCD110" s="38"/>
      <c r="PCE110" s="38"/>
      <c r="PCK110" s="36"/>
      <c r="PCL110" s="38"/>
      <c r="PCM110" s="38"/>
      <c r="PCS110" s="36"/>
      <c r="PCT110" s="38"/>
      <c r="PCU110" s="38"/>
      <c r="PDA110" s="36"/>
      <c r="PDB110" s="38"/>
      <c r="PDC110" s="38"/>
      <c r="PDI110" s="36"/>
      <c r="PDJ110" s="38"/>
      <c r="PDK110" s="38"/>
      <c r="PDQ110" s="36"/>
      <c r="PDR110" s="38"/>
      <c r="PDS110" s="38"/>
      <c r="PDY110" s="36"/>
      <c r="PDZ110" s="38"/>
      <c r="PEA110" s="38"/>
      <c r="PEG110" s="36"/>
      <c r="PEH110" s="38"/>
      <c r="PEI110" s="38"/>
      <c r="PEO110" s="36"/>
      <c r="PEP110" s="38"/>
      <c r="PEQ110" s="38"/>
      <c r="PEW110" s="36"/>
      <c r="PEX110" s="38"/>
      <c r="PEY110" s="38"/>
      <c r="PFE110" s="36"/>
      <c r="PFF110" s="38"/>
      <c r="PFG110" s="38"/>
      <c r="PFM110" s="36"/>
      <c r="PFN110" s="38"/>
      <c r="PFO110" s="38"/>
      <c r="PFU110" s="36"/>
      <c r="PFV110" s="38"/>
      <c r="PFW110" s="38"/>
      <c r="PGC110" s="36"/>
      <c r="PGD110" s="38"/>
      <c r="PGE110" s="38"/>
      <c r="PGK110" s="36"/>
      <c r="PGL110" s="38"/>
      <c r="PGM110" s="38"/>
      <c r="PGS110" s="36"/>
      <c r="PGT110" s="38"/>
      <c r="PGU110" s="38"/>
      <c r="PHA110" s="36"/>
      <c r="PHB110" s="38"/>
      <c r="PHC110" s="38"/>
      <c r="PHI110" s="36"/>
      <c r="PHJ110" s="38"/>
      <c r="PHK110" s="38"/>
      <c r="PHQ110" s="36"/>
      <c r="PHR110" s="38"/>
      <c r="PHS110" s="38"/>
      <c r="PHY110" s="36"/>
      <c r="PHZ110" s="38"/>
      <c r="PIA110" s="38"/>
      <c r="PIG110" s="36"/>
      <c r="PIH110" s="38"/>
      <c r="PII110" s="38"/>
      <c r="PIO110" s="36"/>
      <c r="PIP110" s="38"/>
      <c r="PIQ110" s="38"/>
      <c r="PIW110" s="36"/>
      <c r="PIX110" s="38"/>
      <c r="PIY110" s="38"/>
      <c r="PJE110" s="36"/>
      <c r="PJF110" s="38"/>
      <c r="PJG110" s="38"/>
      <c r="PJM110" s="36"/>
      <c r="PJN110" s="38"/>
      <c r="PJO110" s="38"/>
      <c r="PJU110" s="36"/>
      <c r="PJV110" s="38"/>
      <c r="PJW110" s="38"/>
      <c r="PKC110" s="36"/>
      <c r="PKD110" s="38"/>
      <c r="PKE110" s="38"/>
      <c r="PKK110" s="36"/>
      <c r="PKL110" s="38"/>
      <c r="PKM110" s="38"/>
      <c r="PKS110" s="36"/>
      <c r="PKT110" s="38"/>
      <c r="PKU110" s="38"/>
      <c r="PLA110" s="36"/>
      <c r="PLB110" s="38"/>
      <c r="PLC110" s="38"/>
      <c r="PLI110" s="36"/>
      <c r="PLJ110" s="38"/>
      <c r="PLK110" s="38"/>
      <c r="PLQ110" s="36"/>
      <c r="PLR110" s="38"/>
      <c r="PLS110" s="38"/>
      <c r="PLY110" s="36"/>
      <c r="PLZ110" s="38"/>
      <c r="PMA110" s="38"/>
      <c r="PMG110" s="36"/>
      <c r="PMH110" s="38"/>
      <c r="PMI110" s="38"/>
      <c r="PMO110" s="36"/>
      <c r="PMP110" s="38"/>
      <c r="PMQ110" s="38"/>
      <c r="PMW110" s="36"/>
      <c r="PMX110" s="38"/>
      <c r="PMY110" s="38"/>
      <c r="PNE110" s="36"/>
      <c r="PNF110" s="38"/>
      <c r="PNG110" s="38"/>
      <c r="PNM110" s="36"/>
      <c r="PNN110" s="38"/>
      <c r="PNO110" s="38"/>
      <c r="PNU110" s="36"/>
      <c r="PNV110" s="38"/>
      <c r="PNW110" s="38"/>
      <c r="POC110" s="36"/>
      <c r="POD110" s="38"/>
      <c r="POE110" s="38"/>
      <c r="POK110" s="36"/>
      <c r="POL110" s="38"/>
      <c r="POM110" s="38"/>
      <c r="POS110" s="36"/>
      <c r="POT110" s="38"/>
      <c r="POU110" s="38"/>
      <c r="PPA110" s="36"/>
      <c r="PPB110" s="38"/>
      <c r="PPC110" s="38"/>
      <c r="PPI110" s="36"/>
      <c r="PPJ110" s="38"/>
      <c r="PPK110" s="38"/>
      <c r="PPQ110" s="36"/>
      <c r="PPR110" s="38"/>
      <c r="PPS110" s="38"/>
      <c r="PPY110" s="36"/>
      <c r="PPZ110" s="38"/>
      <c r="PQA110" s="38"/>
      <c r="PQG110" s="36"/>
      <c r="PQH110" s="38"/>
      <c r="PQI110" s="38"/>
      <c r="PQO110" s="36"/>
      <c r="PQP110" s="38"/>
      <c r="PQQ110" s="38"/>
      <c r="PQW110" s="36"/>
      <c r="PQX110" s="38"/>
      <c r="PQY110" s="38"/>
      <c r="PRE110" s="36"/>
      <c r="PRF110" s="38"/>
      <c r="PRG110" s="38"/>
      <c r="PRM110" s="36"/>
      <c r="PRN110" s="38"/>
      <c r="PRO110" s="38"/>
      <c r="PRU110" s="36"/>
      <c r="PRV110" s="38"/>
      <c r="PRW110" s="38"/>
      <c r="PSC110" s="36"/>
      <c r="PSD110" s="38"/>
      <c r="PSE110" s="38"/>
      <c r="PSK110" s="36"/>
      <c r="PSL110" s="38"/>
      <c r="PSM110" s="38"/>
      <c r="PSS110" s="36"/>
      <c r="PST110" s="38"/>
      <c r="PSU110" s="38"/>
      <c r="PTA110" s="36"/>
      <c r="PTB110" s="38"/>
      <c r="PTC110" s="38"/>
      <c r="PTI110" s="36"/>
      <c r="PTJ110" s="38"/>
      <c r="PTK110" s="38"/>
      <c r="PTQ110" s="36"/>
      <c r="PTR110" s="38"/>
      <c r="PTS110" s="38"/>
      <c r="PTY110" s="36"/>
      <c r="PTZ110" s="38"/>
      <c r="PUA110" s="38"/>
      <c r="PUG110" s="36"/>
      <c r="PUH110" s="38"/>
      <c r="PUI110" s="38"/>
      <c r="PUO110" s="36"/>
      <c r="PUP110" s="38"/>
      <c r="PUQ110" s="38"/>
      <c r="PUW110" s="36"/>
      <c r="PUX110" s="38"/>
      <c r="PUY110" s="38"/>
      <c r="PVE110" s="36"/>
      <c r="PVF110" s="38"/>
      <c r="PVG110" s="38"/>
      <c r="PVM110" s="36"/>
      <c r="PVN110" s="38"/>
      <c r="PVO110" s="38"/>
      <c r="PVU110" s="36"/>
      <c r="PVV110" s="38"/>
      <c r="PVW110" s="38"/>
      <c r="PWC110" s="36"/>
      <c r="PWD110" s="38"/>
      <c r="PWE110" s="38"/>
      <c r="PWK110" s="36"/>
      <c r="PWL110" s="38"/>
      <c r="PWM110" s="38"/>
      <c r="PWS110" s="36"/>
      <c r="PWT110" s="38"/>
      <c r="PWU110" s="38"/>
      <c r="PXA110" s="36"/>
      <c r="PXB110" s="38"/>
      <c r="PXC110" s="38"/>
      <c r="PXI110" s="36"/>
      <c r="PXJ110" s="38"/>
      <c r="PXK110" s="38"/>
      <c r="PXQ110" s="36"/>
      <c r="PXR110" s="38"/>
      <c r="PXS110" s="38"/>
      <c r="PXY110" s="36"/>
      <c r="PXZ110" s="38"/>
      <c r="PYA110" s="38"/>
      <c r="PYG110" s="36"/>
      <c r="PYH110" s="38"/>
      <c r="PYI110" s="38"/>
      <c r="PYO110" s="36"/>
      <c r="PYP110" s="38"/>
      <c r="PYQ110" s="38"/>
      <c r="PYW110" s="36"/>
      <c r="PYX110" s="38"/>
      <c r="PYY110" s="38"/>
      <c r="PZE110" s="36"/>
      <c r="PZF110" s="38"/>
      <c r="PZG110" s="38"/>
      <c r="PZM110" s="36"/>
      <c r="PZN110" s="38"/>
      <c r="PZO110" s="38"/>
      <c r="PZU110" s="36"/>
      <c r="PZV110" s="38"/>
      <c r="PZW110" s="38"/>
      <c r="QAC110" s="36"/>
      <c r="QAD110" s="38"/>
      <c r="QAE110" s="38"/>
      <c r="QAK110" s="36"/>
      <c r="QAL110" s="38"/>
      <c r="QAM110" s="38"/>
      <c r="QAS110" s="36"/>
      <c r="QAT110" s="38"/>
      <c r="QAU110" s="38"/>
      <c r="QBA110" s="36"/>
      <c r="QBB110" s="38"/>
      <c r="QBC110" s="38"/>
      <c r="QBI110" s="36"/>
      <c r="QBJ110" s="38"/>
      <c r="QBK110" s="38"/>
      <c r="QBQ110" s="36"/>
      <c r="QBR110" s="38"/>
      <c r="QBS110" s="38"/>
      <c r="QBY110" s="36"/>
      <c r="QBZ110" s="38"/>
      <c r="QCA110" s="38"/>
      <c r="QCG110" s="36"/>
      <c r="QCH110" s="38"/>
      <c r="QCI110" s="38"/>
      <c r="QCO110" s="36"/>
      <c r="QCP110" s="38"/>
      <c r="QCQ110" s="38"/>
      <c r="QCW110" s="36"/>
      <c r="QCX110" s="38"/>
      <c r="QCY110" s="38"/>
      <c r="QDE110" s="36"/>
      <c r="QDF110" s="38"/>
      <c r="QDG110" s="38"/>
      <c r="QDM110" s="36"/>
      <c r="QDN110" s="38"/>
      <c r="QDO110" s="38"/>
      <c r="QDU110" s="36"/>
      <c r="QDV110" s="38"/>
      <c r="QDW110" s="38"/>
      <c r="QEC110" s="36"/>
      <c r="QED110" s="38"/>
      <c r="QEE110" s="38"/>
      <c r="QEK110" s="36"/>
      <c r="QEL110" s="38"/>
      <c r="QEM110" s="38"/>
      <c r="QES110" s="36"/>
      <c r="QET110" s="38"/>
      <c r="QEU110" s="38"/>
      <c r="QFA110" s="36"/>
      <c r="QFB110" s="38"/>
      <c r="QFC110" s="38"/>
      <c r="QFI110" s="36"/>
      <c r="QFJ110" s="38"/>
      <c r="QFK110" s="38"/>
      <c r="QFQ110" s="36"/>
      <c r="QFR110" s="38"/>
      <c r="QFS110" s="38"/>
      <c r="QFY110" s="36"/>
      <c r="QFZ110" s="38"/>
      <c r="QGA110" s="38"/>
      <c r="QGG110" s="36"/>
      <c r="QGH110" s="38"/>
      <c r="QGI110" s="38"/>
      <c r="QGO110" s="36"/>
      <c r="QGP110" s="38"/>
      <c r="QGQ110" s="38"/>
      <c r="QGW110" s="36"/>
      <c r="QGX110" s="38"/>
      <c r="QGY110" s="38"/>
      <c r="QHE110" s="36"/>
      <c r="QHF110" s="38"/>
      <c r="QHG110" s="38"/>
      <c r="QHM110" s="36"/>
      <c r="QHN110" s="38"/>
      <c r="QHO110" s="38"/>
      <c r="QHU110" s="36"/>
      <c r="QHV110" s="38"/>
      <c r="QHW110" s="38"/>
      <c r="QIC110" s="36"/>
      <c r="QID110" s="38"/>
      <c r="QIE110" s="38"/>
      <c r="QIK110" s="36"/>
      <c r="QIL110" s="38"/>
      <c r="QIM110" s="38"/>
      <c r="QIS110" s="36"/>
      <c r="QIT110" s="38"/>
      <c r="QIU110" s="38"/>
      <c r="QJA110" s="36"/>
      <c r="QJB110" s="38"/>
      <c r="QJC110" s="38"/>
      <c r="QJI110" s="36"/>
      <c r="QJJ110" s="38"/>
      <c r="QJK110" s="38"/>
      <c r="QJQ110" s="36"/>
      <c r="QJR110" s="38"/>
      <c r="QJS110" s="38"/>
      <c r="QJY110" s="36"/>
      <c r="QJZ110" s="38"/>
      <c r="QKA110" s="38"/>
      <c r="QKG110" s="36"/>
      <c r="QKH110" s="38"/>
      <c r="QKI110" s="38"/>
      <c r="QKO110" s="36"/>
      <c r="QKP110" s="38"/>
      <c r="QKQ110" s="38"/>
      <c r="QKW110" s="36"/>
      <c r="QKX110" s="38"/>
      <c r="QKY110" s="38"/>
      <c r="QLE110" s="36"/>
      <c r="QLF110" s="38"/>
      <c r="QLG110" s="38"/>
      <c r="QLM110" s="36"/>
      <c r="QLN110" s="38"/>
      <c r="QLO110" s="38"/>
      <c r="QLU110" s="36"/>
      <c r="QLV110" s="38"/>
      <c r="QLW110" s="38"/>
      <c r="QMC110" s="36"/>
      <c r="QMD110" s="38"/>
      <c r="QME110" s="38"/>
      <c r="QMK110" s="36"/>
      <c r="QML110" s="38"/>
      <c r="QMM110" s="38"/>
      <c r="QMS110" s="36"/>
      <c r="QMT110" s="38"/>
      <c r="QMU110" s="38"/>
      <c r="QNA110" s="36"/>
      <c r="QNB110" s="38"/>
      <c r="QNC110" s="38"/>
      <c r="QNI110" s="36"/>
      <c r="QNJ110" s="38"/>
      <c r="QNK110" s="38"/>
      <c r="QNQ110" s="36"/>
      <c r="QNR110" s="38"/>
      <c r="QNS110" s="38"/>
      <c r="QNY110" s="36"/>
      <c r="QNZ110" s="38"/>
      <c r="QOA110" s="38"/>
      <c r="QOG110" s="36"/>
      <c r="QOH110" s="38"/>
      <c r="QOI110" s="38"/>
      <c r="QOO110" s="36"/>
      <c r="QOP110" s="38"/>
      <c r="QOQ110" s="38"/>
      <c r="QOW110" s="36"/>
      <c r="QOX110" s="38"/>
      <c r="QOY110" s="38"/>
      <c r="QPE110" s="36"/>
      <c r="QPF110" s="38"/>
      <c r="QPG110" s="38"/>
      <c r="QPM110" s="36"/>
      <c r="QPN110" s="38"/>
      <c r="QPO110" s="38"/>
      <c r="QPU110" s="36"/>
      <c r="QPV110" s="38"/>
      <c r="QPW110" s="38"/>
      <c r="QQC110" s="36"/>
      <c r="QQD110" s="38"/>
      <c r="QQE110" s="38"/>
      <c r="QQK110" s="36"/>
      <c r="QQL110" s="38"/>
      <c r="QQM110" s="38"/>
      <c r="QQS110" s="36"/>
      <c r="QQT110" s="38"/>
      <c r="QQU110" s="38"/>
      <c r="QRA110" s="36"/>
      <c r="QRB110" s="38"/>
      <c r="QRC110" s="38"/>
      <c r="QRI110" s="36"/>
      <c r="QRJ110" s="38"/>
      <c r="QRK110" s="38"/>
      <c r="QRQ110" s="36"/>
      <c r="QRR110" s="38"/>
      <c r="QRS110" s="38"/>
      <c r="QRY110" s="36"/>
      <c r="QRZ110" s="38"/>
      <c r="QSA110" s="38"/>
      <c r="QSG110" s="36"/>
      <c r="QSH110" s="38"/>
      <c r="QSI110" s="38"/>
      <c r="QSO110" s="36"/>
      <c r="QSP110" s="38"/>
      <c r="QSQ110" s="38"/>
      <c r="QSW110" s="36"/>
      <c r="QSX110" s="38"/>
      <c r="QSY110" s="38"/>
      <c r="QTE110" s="36"/>
      <c r="QTF110" s="38"/>
      <c r="QTG110" s="38"/>
      <c r="QTM110" s="36"/>
      <c r="QTN110" s="38"/>
      <c r="QTO110" s="38"/>
      <c r="QTU110" s="36"/>
      <c r="QTV110" s="38"/>
      <c r="QTW110" s="38"/>
      <c r="QUC110" s="36"/>
      <c r="QUD110" s="38"/>
      <c r="QUE110" s="38"/>
      <c r="QUK110" s="36"/>
      <c r="QUL110" s="38"/>
      <c r="QUM110" s="38"/>
      <c r="QUS110" s="36"/>
      <c r="QUT110" s="38"/>
      <c r="QUU110" s="38"/>
      <c r="QVA110" s="36"/>
      <c r="QVB110" s="38"/>
      <c r="QVC110" s="38"/>
      <c r="QVI110" s="36"/>
      <c r="QVJ110" s="38"/>
      <c r="QVK110" s="38"/>
      <c r="QVQ110" s="36"/>
      <c r="QVR110" s="38"/>
      <c r="QVS110" s="38"/>
      <c r="QVY110" s="36"/>
      <c r="QVZ110" s="38"/>
      <c r="QWA110" s="38"/>
      <c r="QWG110" s="36"/>
      <c r="QWH110" s="38"/>
      <c r="QWI110" s="38"/>
      <c r="QWO110" s="36"/>
      <c r="QWP110" s="38"/>
      <c r="QWQ110" s="38"/>
      <c r="QWW110" s="36"/>
      <c r="QWX110" s="38"/>
      <c r="QWY110" s="38"/>
      <c r="QXE110" s="36"/>
      <c r="QXF110" s="38"/>
      <c r="QXG110" s="38"/>
      <c r="QXM110" s="36"/>
      <c r="QXN110" s="38"/>
      <c r="QXO110" s="38"/>
      <c r="QXU110" s="36"/>
      <c r="QXV110" s="38"/>
      <c r="QXW110" s="38"/>
      <c r="QYC110" s="36"/>
      <c r="QYD110" s="38"/>
      <c r="QYE110" s="38"/>
      <c r="QYK110" s="36"/>
      <c r="QYL110" s="38"/>
      <c r="QYM110" s="38"/>
      <c r="QYS110" s="36"/>
      <c r="QYT110" s="38"/>
      <c r="QYU110" s="38"/>
      <c r="QZA110" s="36"/>
      <c r="QZB110" s="38"/>
      <c r="QZC110" s="38"/>
      <c r="QZI110" s="36"/>
      <c r="QZJ110" s="38"/>
      <c r="QZK110" s="38"/>
      <c r="QZQ110" s="36"/>
      <c r="QZR110" s="38"/>
      <c r="QZS110" s="38"/>
      <c r="QZY110" s="36"/>
      <c r="QZZ110" s="38"/>
      <c r="RAA110" s="38"/>
      <c r="RAG110" s="36"/>
      <c r="RAH110" s="38"/>
      <c r="RAI110" s="38"/>
      <c r="RAO110" s="36"/>
      <c r="RAP110" s="38"/>
      <c r="RAQ110" s="38"/>
      <c r="RAW110" s="36"/>
      <c r="RAX110" s="38"/>
      <c r="RAY110" s="38"/>
      <c r="RBE110" s="36"/>
      <c r="RBF110" s="38"/>
      <c r="RBG110" s="38"/>
      <c r="RBM110" s="36"/>
      <c r="RBN110" s="38"/>
      <c r="RBO110" s="38"/>
      <c r="RBU110" s="36"/>
      <c r="RBV110" s="38"/>
      <c r="RBW110" s="38"/>
      <c r="RCC110" s="36"/>
      <c r="RCD110" s="38"/>
      <c r="RCE110" s="38"/>
      <c r="RCK110" s="36"/>
      <c r="RCL110" s="38"/>
      <c r="RCM110" s="38"/>
      <c r="RCS110" s="36"/>
      <c r="RCT110" s="38"/>
      <c r="RCU110" s="38"/>
      <c r="RDA110" s="36"/>
      <c r="RDB110" s="38"/>
      <c r="RDC110" s="38"/>
      <c r="RDI110" s="36"/>
      <c r="RDJ110" s="38"/>
      <c r="RDK110" s="38"/>
      <c r="RDQ110" s="36"/>
      <c r="RDR110" s="38"/>
      <c r="RDS110" s="38"/>
      <c r="RDY110" s="36"/>
      <c r="RDZ110" s="38"/>
      <c r="REA110" s="38"/>
      <c r="REG110" s="36"/>
      <c r="REH110" s="38"/>
      <c r="REI110" s="38"/>
      <c r="REO110" s="36"/>
      <c r="REP110" s="38"/>
      <c r="REQ110" s="38"/>
      <c r="REW110" s="36"/>
      <c r="REX110" s="38"/>
      <c r="REY110" s="38"/>
      <c r="RFE110" s="36"/>
      <c r="RFF110" s="38"/>
      <c r="RFG110" s="38"/>
      <c r="RFM110" s="36"/>
      <c r="RFN110" s="38"/>
      <c r="RFO110" s="38"/>
      <c r="RFU110" s="36"/>
      <c r="RFV110" s="38"/>
      <c r="RFW110" s="38"/>
      <c r="RGC110" s="36"/>
      <c r="RGD110" s="38"/>
      <c r="RGE110" s="38"/>
      <c r="RGK110" s="36"/>
      <c r="RGL110" s="38"/>
      <c r="RGM110" s="38"/>
      <c r="RGS110" s="36"/>
      <c r="RGT110" s="38"/>
      <c r="RGU110" s="38"/>
      <c r="RHA110" s="36"/>
      <c r="RHB110" s="38"/>
      <c r="RHC110" s="38"/>
      <c r="RHI110" s="36"/>
      <c r="RHJ110" s="38"/>
      <c r="RHK110" s="38"/>
      <c r="RHQ110" s="36"/>
      <c r="RHR110" s="38"/>
      <c r="RHS110" s="38"/>
      <c r="RHY110" s="36"/>
      <c r="RHZ110" s="38"/>
      <c r="RIA110" s="38"/>
      <c r="RIG110" s="36"/>
      <c r="RIH110" s="38"/>
      <c r="RII110" s="38"/>
      <c r="RIO110" s="36"/>
      <c r="RIP110" s="38"/>
      <c r="RIQ110" s="38"/>
      <c r="RIW110" s="36"/>
      <c r="RIX110" s="38"/>
      <c r="RIY110" s="38"/>
      <c r="RJE110" s="36"/>
      <c r="RJF110" s="38"/>
      <c r="RJG110" s="38"/>
      <c r="RJM110" s="36"/>
      <c r="RJN110" s="38"/>
      <c r="RJO110" s="38"/>
      <c r="RJU110" s="36"/>
      <c r="RJV110" s="38"/>
      <c r="RJW110" s="38"/>
      <c r="RKC110" s="36"/>
      <c r="RKD110" s="38"/>
      <c r="RKE110" s="38"/>
      <c r="RKK110" s="36"/>
      <c r="RKL110" s="38"/>
      <c r="RKM110" s="38"/>
      <c r="RKS110" s="36"/>
      <c r="RKT110" s="38"/>
      <c r="RKU110" s="38"/>
      <c r="RLA110" s="36"/>
      <c r="RLB110" s="38"/>
      <c r="RLC110" s="38"/>
      <c r="RLI110" s="36"/>
      <c r="RLJ110" s="38"/>
      <c r="RLK110" s="38"/>
      <c r="RLQ110" s="36"/>
      <c r="RLR110" s="38"/>
      <c r="RLS110" s="38"/>
      <c r="RLY110" s="36"/>
      <c r="RLZ110" s="38"/>
      <c r="RMA110" s="38"/>
      <c r="RMG110" s="36"/>
      <c r="RMH110" s="38"/>
      <c r="RMI110" s="38"/>
      <c r="RMO110" s="36"/>
      <c r="RMP110" s="38"/>
      <c r="RMQ110" s="38"/>
      <c r="RMW110" s="36"/>
      <c r="RMX110" s="38"/>
      <c r="RMY110" s="38"/>
      <c r="RNE110" s="36"/>
      <c r="RNF110" s="38"/>
      <c r="RNG110" s="38"/>
      <c r="RNM110" s="36"/>
      <c r="RNN110" s="38"/>
      <c r="RNO110" s="38"/>
      <c r="RNU110" s="36"/>
      <c r="RNV110" s="38"/>
      <c r="RNW110" s="38"/>
      <c r="ROC110" s="36"/>
      <c r="ROD110" s="38"/>
      <c r="ROE110" s="38"/>
      <c r="ROK110" s="36"/>
      <c r="ROL110" s="38"/>
      <c r="ROM110" s="38"/>
      <c r="ROS110" s="36"/>
      <c r="ROT110" s="38"/>
      <c r="ROU110" s="38"/>
      <c r="RPA110" s="36"/>
      <c r="RPB110" s="38"/>
      <c r="RPC110" s="38"/>
      <c r="RPI110" s="36"/>
      <c r="RPJ110" s="38"/>
      <c r="RPK110" s="38"/>
      <c r="RPQ110" s="36"/>
      <c r="RPR110" s="38"/>
      <c r="RPS110" s="38"/>
      <c r="RPY110" s="36"/>
      <c r="RPZ110" s="38"/>
      <c r="RQA110" s="38"/>
      <c r="RQG110" s="36"/>
      <c r="RQH110" s="38"/>
      <c r="RQI110" s="38"/>
      <c r="RQO110" s="36"/>
      <c r="RQP110" s="38"/>
      <c r="RQQ110" s="38"/>
      <c r="RQW110" s="36"/>
      <c r="RQX110" s="38"/>
      <c r="RQY110" s="38"/>
      <c r="RRE110" s="36"/>
      <c r="RRF110" s="38"/>
      <c r="RRG110" s="38"/>
      <c r="RRM110" s="36"/>
      <c r="RRN110" s="38"/>
      <c r="RRO110" s="38"/>
      <c r="RRU110" s="36"/>
      <c r="RRV110" s="38"/>
      <c r="RRW110" s="38"/>
      <c r="RSC110" s="36"/>
      <c r="RSD110" s="38"/>
      <c r="RSE110" s="38"/>
      <c r="RSK110" s="36"/>
      <c r="RSL110" s="38"/>
      <c r="RSM110" s="38"/>
      <c r="RSS110" s="36"/>
      <c r="RST110" s="38"/>
      <c r="RSU110" s="38"/>
      <c r="RTA110" s="36"/>
      <c r="RTB110" s="38"/>
      <c r="RTC110" s="38"/>
      <c r="RTI110" s="36"/>
      <c r="RTJ110" s="38"/>
      <c r="RTK110" s="38"/>
      <c r="RTQ110" s="36"/>
      <c r="RTR110" s="38"/>
      <c r="RTS110" s="38"/>
      <c r="RTY110" s="36"/>
      <c r="RTZ110" s="38"/>
      <c r="RUA110" s="38"/>
      <c r="RUG110" s="36"/>
      <c r="RUH110" s="38"/>
      <c r="RUI110" s="38"/>
      <c r="RUO110" s="36"/>
      <c r="RUP110" s="38"/>
      <c r="RUQ110" s="38"/>
      <c r="RUW110" s="36"/>
      <c r="RUX110" s="38"/>
      <c r="RUY110" s="38"/>
      <c r="RVE110" s="36"/>
      <c r="RVF110" s="38"/>
      <c r="RVG110" s="38"/>
      <c r="RVM110" s="36"/>
      <c r="RVN110" s="38"/>
      <c r="RVO110" s="38"/>
      <c r="RVU110" s="36"/>
      <c r="RVV110" s="38"/>
      <c r="RVW110" s="38"/>
      <c r="RWC110" s="36"/>
      <c r="RWD110" s="38"/>
      <c r="RWE110" s="38"/>
      <c r="RWK110" s="36"/>
      <c r="RWL110" s="38"/>
      <c r="RWM110" s="38"/>
      <c r="RWS110" s="36"/>
      <c r="RWT110" s="38"/>
      <c r="RWU110" s="38"/>
      <c r="RXA110" s="36"/>
      <c r="RXB110" s="38"/>
      <c r="RXC110" s="38"/>
      <c r="RXI110" s="36"/>
      <c r="RXJ110" s="38"/>
      <c r="RXK110" s="38"/>
      <c r="RXQ110" s="36"/>
      <c r="RXR110" s="38"/>
      <c r="RXS110" s="38"/>
      <c r="RXY110" s="36"/>
      <c r="RXZ110" s="38"/>
      <c r="RYA110" s="38"/>
      <c r="RYG110" s="36"/>
      <c r="RYH110" s="38"/>
      <c r="RYI110" s="38"/>
      <c r="RYO110" s="36"/>
      <c r="RYP110" s="38"/>
      <c r="RYQ110" s="38"/>
      <c r="RYW110" s="36"/>
      <c r="RYX110" s="38"/>
      <c r="RYY110" s="38"/>
      <c r="RZE110" s="36"/>
      <c r="RZF110" s="38"/>
      <c r="RZG110" s="38"/>
      <c r="RZM110" s="36"/>
      <c r="RZN110" s="38"/>
      <c r="RZO110" s="38"/>
      <c r="RZU110" s="36"/>
      <c r="RZV110" s="38"/>
      <c r="RZW110" s="38"/>
      <c r="SAC110" s="36"/>
      <c r="SAD110" s="38"/>
      <c r="SAE110" s="38"/>
      <c r="SAK110" s="36"/>
      <c r="SAL110" s="38"/>
      <c r="SAM110" s="38"/>
      <c r="SAS110" s="36"/>
      <c r="SAT110" s="38"/>
      <c r="SAU110" s="38"/>
      <c r="SBA110" s="36"/>
      <c r="SBB110" s="38"/>
      <c r="SBC110" s="38"/>
      <c r="SBI110" s="36"/>
      <c r="SBJ110" s="38"/>
      <c r="SBK110" s="38"/>
      <c r="SBQ110" s="36"/>
      <c r="SBR110" s="38"/>
      <c r="SBS110" s="38"/>
      <c r="SBY110" s="36"/>
      <c r="SBZ110" s="38"/>
      <c r="SCA110" s="38"/>
      <c r="SCG110" s="36"/>
      <c r="SCH110" s="38"/>
      <c r="SCI110" s="38"/>
      <c r="SCO110" s="36"/>
      <c r="SCP110" s="38"/>
      <c r="SCQ110" s="38"/>
      <c r="SCW110" s="36"/>
      <c r="SCX110" s="38"/>
      <c r="SCY110" s="38"/>
      <c r="SDE110" s="36"/>
      <c r="SDF110" s="38"/>
      <c r="SDG110" s="38"/>
      <c r="SDM110" s="36"/>
      <c r="SDN110" s="38"/>
      <c r="SDO110" s="38"/>
      <c r="SDU110" s="36"/>
      <c r="SDV110" s="38"/>
      <c r="SDW110" s="38"/>
      <c r="SEC110" s="36"/>
      <c r="SED110" s="38"/>
      <c r="SEE110" s="38"/>
      <c r="SEK110" s="36"/>
      <c r="SEL110" s="38"/>
      <c r="SEM110" s="38"/>
      <c r="SES110" s="36"/>
      <c r="SET110" s="38"/>
      <c r="SEU110" s="38"/>
      <c r="SFA110" s="36"/>
      <c r="SFB110" s="38"/>
      <c r="SFC110" s="38"/>
      <c r="SFI110" s="36"/>
      <c r="SFJ110" s="38"/>
      <c r="SFK110" s="38"/>
      <c r="SFQ110" s="36"/>
      <c r="SFR110" s="38"/>
      <c r="SFS110" s="38"/>
      <c r="SFY110" s="36"/>
      <c r="SFZ110" s="38"/>
      <c r="SGA110" s="38"/>
      <c r="SGG110" s="36"/>
      <c r="SGH110" s="38"/>
      <c r="SGI110" s="38"/>
      <c r="SGO110" s="36"/>
      <c r="SGP110" s="38"/>
      <c r="SGQ110" s="38"/>
      <c r="SGW110" s="36"/>
      <c r="SGX110" s="38"/>
      <c r="SGY110" s="38"/>
      <c r="SHE110" s="36"/>
      <c r="SHF110" s="38"/>
      <c r="SHG110" s="38"/>
      <c r="SHM110" s="36"/>
      <c r="SHN110" s="38"/>
      <c r="SHO110" s="38"/>
      <c r="SHU110" s="36"/>
      <c r="SHV110" s="38"/>
      <c r="SHW110" s="38"/>
      <c r="SIC110" s="36"/>
      <c r="SID110" s="38"/>
      <c r="SIE110" s="38"/>
      <c r="SIK110" s="36"/>
      <c r="SIL110" s="38"/>
      <c r="SIM110" s="38"/>
      <c r="SIS110" s="36"/>
      <c r="SIT110" s="38"/>
      <c r="SIU110" s="38"/>
      <c r="SJA110" s="36"/>
      <c r="SJB110" s="38"/>
      <c r="SJC110" s="38"/>
      <c r="SJI110" s="36"/>
      <c r="SJJ110" s="38"/>
      <c r="SJK110" s="38"/>
      <c r="SJQ110" s="36"/>
      <c r="SJR110" s="38"/>
      <c r="SJS110" s="38"/>
      <c r="SJY110" s="36"/>
      <c r="SJZ110" s="38"/>
      <c r="SKA110" s="38"/>
      <c r="SKG110" s="36"/>
      <c r="SKH110" s="38"/>
      <c r="SKI110" s="38"/>
      <c r="SKO110" s="36"/>
      <c r="SKP110" s="38"/>
      <c r="SKQ110" s="38"/>
      <c r="SKW110" s="36"/>
      <c r="SKX110" s="38"/>
      <c r="SKY110" s="38"/>
      <c r="SLE110" s="36"/>
      <c r="SLF110" s="38"/>
      <c r="SLG110" s="38"/>
      <c r="SLM110" s="36"/>
      <c r="SLN110" s="38"/>
      <c r="SLO110" s="38"/>
      <c r="SLU110" s="36"/>
      <c r="SLV110" s="38"/>
      <c r="SLW110" s="38"/>
      <c r="SMC110" s="36"/>
      <c r="SMD110" s="38"/>
      <c r="SME110" s="38"/>
      <c r="SMK110" s="36"/>
      <c r="SML110" s="38"/>
      <c r="SMM110" s="38"/>
      <c r="SMS110" s="36"/>
      <c r="SMT110" s="38"/>
      <c r="SMU110" s="38"/>
      <c r="SNA110" s="36"/>
      <c r="SNB110" s="38"/>
      <c r="SNC110" s="38"/>
      <c r="SNI110" s="36"/>
      <c r="SNJ110" s="38"/>
      <c r="SNK110" s="38"/>
      <c r="SNQ110" s="36"/>
      <c r="SNR110" s="38"/>
      <c r="SNS110" s="38"/>
      <c r="SNY110" s="36"/>
      <c r="SNZ110" s="38"/>
      <c r="SOA110" s="38"/>
      <c r="SOG110" s="36"/>
      <c r="SOH110" s="38"/>
      <c r="SOI110" s="38"/>
      <c r="SOO110" s="36"/>
      <c r="SOP110" s="38"/>
      <c r="SOQ110" s="38"/>
      <c r="SOW110" s="36"/>
      <c r="SOX110" s="38"/>
      <c r="SOY110" s="38"/>
      <c r="SPE110" s="36"/>
      <c r="SPF110" s="38"/>
      <c r="SPG110" s="38"/>
      <c r="SPM110" s="36"/>
      <c r="SPN110" s="38"/>
      <c r="SPO110" s="38"/>
      <c r="SPU110" s="36"/>
      <c r="SPV110" s="38"/>
      <c r="SPW110" s="38"/>
      <c r="SQC110" s="36"/>
      <c r="SQD110" s="38"/>
      <c r="SQE110" s="38"/>
      <c r="SQK110" s="36"/>
      <c r="SQL110" s="38"/>
      <c r="SQM110" s="38"/>
      <c r="SQS110" s="36"/>
      <c r="SQT110" s="38"/>
      <c r="SQU110" s="38"/>
      <c r="SRA110" s="36"/>
      <c r="SRB110" s="38"/>
      <c r="SRC110" s="38"/>
      <c r="SRI110" s="36"/>
      <c r="SRJ110" s="38"/>
      <c r="SRK110" s="38"/>
      <c r="SRQ110" s="36"/>
      <c r="SRR110" s="38"/>
      <c r="SRS110" s="38"/>
      <c r="SRY110" s="36"/>
      <c r="SRZ110" s="38"/>
      <c r="SSA110" s="38"/>
      <c r="SSG110" s="36"/>
      <c r="SSH110" s="38"/>
      <c r="SSI110" s="38"/>
      <c r="SSO110" s="36"/>
      <c r="SSP110" s="38"/>
      <c r="SSQ110" s="38"/>
      <c r="SSW110" s="36"/>
      <c r="SSX110" s="38"/>
      <c r="SSY110" s="38"/>
      <c r="STE110" s="36"/>
      <c r="STF110" s="38"/>
      <c r="STG110" s="38"/>
      <c r="STM110" s="36"/>
      <c r="STN110" s="38"/>
      <c r="STO110" s="38"/>
      <c r="STU110" s="36"/>
      <c r="STV110" s="38"/>
      <c r="STW110" s="38"/>
      <c r="SUC110" s="36"/>
      <c r="SUD110" s="38"/>
      <c r="SUE110" s="38"/>
      <c r="SUK110" s="36"/>
      <c r="SUL110" s="38"/>
      <c r="SUM110" s="38"/>
      <c r="SUS110" s="36"/>
      <c r="SUT110" s="38"/>
      <c r="SUU110" s="38"/>
      <c r="SVA110" s="36"/>
      <c r="SVB110" s="38"/>
      <c r="SVC110" s="38"/>
      <c r="SVI110" s="36"/>
      <c r="SVJ110" s="38"/>
      <c r="SVK110" s="38"/>
      <c r="SVQ110" s="36"/>
      <c r="SVR110" s="38"/>
      <c r="SVS110" s="38"/>
      <c r="SVY110" s="36"/>
      <c r="SVZ110" s="38"/>
      <c r="SWA110" s="38"/>
      <c r="SWG110" s="36"/>
      <c r="SWH110" s="38"/>
      <c r="SWI110" s="38"/>
      <c r="SWO110" s="36"/>
      <c r="SWP110" s="38"/>
      <c r="SWQ110" s="38"/>
      <c r="SWW110" s="36"/>
      <c r="SWX110" s="38"/>
      <c r="SWY110" s="38"/>
      <c r="SXE110" s="36"/>
      <c r="SXF110" s="38"/>
      <c r="SXG110" s="38"/>
      <c r="SXM110" s="36"/>
      <c r="SXN110" s="38"/>
      <c r="SXO110" s="38"/>
      <c r="SXU110" s="36"/>
      <c r="SXV110" s="38"/>
      <c r="SXW110" s="38"/>
      <c r="SYC110" s="36"/>
      <c r="SYD110" s="38"/>
      <c r="SYE110" s="38"/>
      <c r="SYK110" s="36"/>
      <c r="SYL110" s="38"/>
      <c r="SYM110" s="38"/>
      <c r="SYS110" s="36"/>
      <c r="SYT110" s="38"/>
      <c r="SYU110" s="38"/>
      <c r="SZA110" s="36"/>
      <c r="SZB110" s="38"/>
      <c r="SZC110" s="38"/>
      <c r="SZI110" s="36"/>
      <c r="SZJ110" s="38"/>
      <c r="SZK110" s="38"/>
      <c r="SZQ110" s="36"/>
      <c r="SZR110" s="38"/>
      <c r="SZS110" s="38"/>
      <c r="SZY110" s="36"/>
      <c r="SZZ110" s="38"/>
      <c r="TAA110" s="38"/>
      <c r="TAG110" s="36"/>
      <c r="TAH110" s="38"/>
      <c r="TAI110" s="38"/>
      <c r="TAO110" s="36"/>
      <c r="TAP110" s="38"/>
      <c r="TAQ110" s="38"/>
      <c r="TAW110" s="36"/>
      <c r="TAX110" s="38"/>
      <c r="TAY110" s="38"/>
      <c r="TBE110" s="36"/>
      <c r="TBF110" s="38"/>
      <c r="TBG110" s="38"/>
      <c r="TBM110" s="36"/>
      <c r="TBN110" s="38"/>
      <c r="TBO110" s="38"/>
      <c r="TBU110" s="36"/>
      <c r="TBV110" s="38"/>
      <c r="TBW110" s="38"/>
      <c r="TCC110" s="36"/>
      <c r="TCD110" s="38"/>
      <c r="TCE110" s="38"/>
      <c r="TCK110" s="36"/>
      <c r="TCL110" s="38"/>
      <c r="TCM110" s="38"/>
      <c r="TCS110" s="36"/>
      <c r="TCT110" s="38"/>
      <c r="TCU110" s="38"/>
      <c r="TDA110" s="36"/>
      <c r="TDB110" s="38"/>
      <c r="TDC110" s="38"/>
      <c r="TDI110" s="36"/>
      <c r="TDJ110" s="38"/>
      <c r="TDK110" s="38"/>
      <c r="TDQ110" s="36"/>
      <c r="TDR110" s="38"/>
      <c r="TDS110" s="38"/>
      <c r="TDY110" s="36"/>
      <c r="TDZ110" s="38"/>
      <c r="TEA110" s="38"/>
      <c r="TEG110" s="36"/>
      <c r="TEH110" s="38"/>
      <c r="TEI110" s="38"/>
      <c r="TEO110" s="36"/>
      <c r="TEP110" s="38"/>
      <c r="TEQ110" s="38"/>
      <c r="TEW110" s="36"/>
      <c r="TEX110" s="38"/>
      <c r="TEY110" s="38"/>
      <c r="TFE110" s="36"/>
      <c r="TFF110" s="38"/>
      <c r="TFG110" s="38"/>
      <c r="TFM110" s="36"/>
      <c r="TFN110" s="38"/>
      <c r="TFO110" s="38"/>
      <c r="TFU110" s="36"/>
      <c r="TFV110" s="38"/>
      <c r="TFW110" s="38"/>
      <c r="TGC110" s="36"/>
      <c r="TGD110" s="38"/>
      <c r="TGE110" s="38"/>
      <c r="TGK110" s="36"/>
      <c r="TGL110" s="38"/>
      <c r="TGM110" s="38"/>
      <c r="TGS110" s="36"/>
      <c r="TGT110" s="38"/>
      <c r="TGU110" s="38"/>
      <c r="THA110" s="36"/>
      <c r="THB110" s="38"/>
      <c r="THC110" s="38"/>
      <c r="THI110" s="36"/>
      <c r="THJ110" s="38"/>
      <c r="THK110" s="38"/>
      <c r="THQ110" s="36"/>
      <c r="THR110" s="38"/>
      <c r="THS110" s="38"/>
      <c r="THY110" s="36"/>
      <c r="THZ110" s="38"/>
      <c r="TIA110" s="38"/>
      <c r="TIG110" s="36"/>
      <c r="TIH110" s="38"/>
      <c r="TII110" s="38"/>
      <c r="TIO110" s="36"/>
      <c r="TIP110" s="38"/>
      <c r="TIQ110" s="38"/>
      <c r="TIW110" s="36"/>
      <c r="TIX110" s="38"/>
      <c r="TIY110" s="38"/>
      <c r="TJE110" s="36"/>
      <c r="TJF110" s="38"/>
      <c r="TJG110" s="38"/>
      <c r="TJM110" s="36"/>
      <c r="TJN110" s="38"/>
      <c r="TJO110" s="38"/>
      <c r="TJU110" s="36"/>
      <c r="TJV110" s="38"/>
      <c r="TJW110" s="38"/>
      <c r="TKC110" s="36"/>
      <c r="TKD110" s="38"/>
      <c r="TKE110" s="38"/>
      <c r="TKK110" s="36"/>
      <c r="TKL110" s="38"/>
      <c r="TKM110" s="38"/>
      <c r="TKS110" s="36"/>
      <c r="TKT110" s="38"/>
      <c r="TKU110" s="38"/>
      <c r="TLA110" s="36"/>
      <c r="TLB110" s="38"/>
      <c r="TLC110" s="38"/>
      <c r="TLI110" s="36"/>
      <c r="TLJ110" s="38"/>
      <c r="TLK110" s="38"/>
      <c r="TLQ110" s="36"/>
      <c r="TLR110" s="38"/>
      <c r="TLS110" s="38"/>
      <c r="TLY110" s="36"/>
      <c r="TLZ110" s="38"/>
      <c r="TMA110" s="38"/>
      <c r="TMG110" s="36"/>
      <c r="TMH110" s="38"/>
      <c r="TMI110" s="38"/>
      <c r="TMO110" s="36"/>
      <c r="TMP110" s="38"/>
      <c r="TMQ110" s="38"/>
      <c r="TMW110" s="36"/>
      <c r="TMX110" s="38"/>
      <c r="TMY110" s="38"/>
      <c r="TNE110" s="36"/>
      <c r="TNF110" s="38"/>
      <c r="TNG110" s="38"/>
      <c r="TNM110" s="36"/>
      <c r="TNN110" s="38"/>
      <c r="TNO110" s="38"/>
      <c r="TNU110" s="36"/>
      <c r="TNV110" s="38"/>
      <c r="TNW110" s="38"/>
      <c r="TOC110" s="36"/>
      <c r="TOD110" s="38"/>
      <c r="TOE110" s="38"/>
      <c r="TOK110" s="36"/>
      <c r="TOL110" s="38"/>
      <c r="TOM110" s="38"/>
      <c r="TOS110" s="36"/>
      <c r="TOT110" s="38"/>
      <c r="TOU110" s="38"/>
      <c r="TPA110" s="36"/>
      <c r="TPB110" s="38"/>
      <c r="TPC110" s="38"/>
      <c r="TPI110" s="36"/>
      <c r="TPJ110" s="38"/>
      <c r="TPK110" s="38"/>
      <c r="TPQ110" s="36"/>
      <c r="TPR110" s="38"/>
      <c r="TPS110" s="38"/>
      <c r="TPY110" s="36"/>
      <c r="TPZ110" s="38"/>
      <c r="TQA110" s="38"/>
      <c r="TQG110" s="36"/>
      <c r="TQH110" s="38"/>
      <c r="TQI110" s="38"/>
      <c r="TQO110" s="36"/>
      <c r="TQP110" s="38"/>
      <c r="TQQ110" s="38"/>
      <c r="TQW110" s="36"/>
      <c r="TQX110" s="38"/>
      <c r="TQY110" s="38"/>
      <c r="TRE110" s="36"/>
      <c r="TRF110" s="38"/>
      <c r="TRG110" s="38"/>
      <c r="TRM110" s="36"/>
      <c r="TRN110" s="38"/>
      <c r="TRO110" s="38"/>
      <c r="TRU110" s="36"/>
      <c r="TRV110" s="38"/>
      <c r="TRW110" s="38"/>
      <c r="TSC110" s="36"/>
      <c r="TSD110" s="38"/>
      <c r="TSE110" s="38"/>
      <c r="TSK110" s="36"/>
      <c r="TSL110" s="38"/>
      <c r="TSM110" s="38"/>
      <c r="TSS110" s="36"/>
      <c r="TST110" s="38"/>
      <c r="TSU110" s="38"/>
      <c r="TTA110" s="36"/>
      <c r="TTB110" s="38"/>
      <c r="TTC110" s="38"/>
      <c r="TTI110" s="36"/>
      <c r="TTJ110" s="38"/>
      <c r="TTK110" s="38"/>
      <c r="TTQ110" s="36"/>
      <c r="TTR110" s="38"/>
      <c r="TTS110" s="38"/>
      <c r="TTY110" s="36"/>
      <c r="TTZ110" s="38"/>
      <c r="TUA110" s="38"/>
      <c r="TUG110" s="36"/>
      <c r="TUH110" s="38"/>
      <c r="TUI110" s="38"/>
      <c r="TUO110" s="36"/>
      <c r="TUP110" s="38"/>
      <c r="TUQ110" s="38"/>
      <c r="TUW110" s="36"/>
      <c r="TUX110" s="38"/>
      <c r="TUY110" s="38"/>
      <c r="TVE110" s="36"/>
      <c r="TVF110" s="38"/>
      <c r="TVG110" s="38"/>
      <c r="TVM110" s="36"/>
      <c r="TVN110" s="38"/>
      <c r="TVO110" s="38"/>
      <c r="TVU110" s="36"/>
      <c r="TVV110" s="38"/>
      <c r="TVW110" s="38"/>
      <c r="TWC110" s="36"/>
      <c r="TWD110" s="38"/>
      <c r="TWE110" s="38"/>
      <c r="TWK110" s="36"/>
      <c r="TWL110" s="38"/>
      <c r="TWM110" s="38"/>
      <c r="TWS110" s="36"/>
      <c r="TWT110" s="38"/>
      <c r="TWU110" s="38"/>
      <c r="TXA110" s="36"/>
      <c r="TXB110" s="38"/>
      <c r="TXC110" s="38"/>
      <c r="TXI110" s="36"/>
      <c r="TXJ110" s="38"/>
      <c r="TXK110" s="38"/>
      <c r="TXQ110" s="36"/>
      <c r="TXR110" s="38"/>
      <c r="TXS110" s="38"/>
      <c r="TXY110" s="36"/>
      <c r="TXZ110" s="38"/>
      <c r="TYA110" s="38"/>
      <c r="TYG110" s="36"/>
      <c r="TYH110" s="38"/>
      <c r="TYI110" s="38"/>
      <c r="TYO110" s="36"/>
      <c r="TYP110" s="38"/>
      <c r="TYQ110" s="38"/>
      <c r="TYW110" s="36"/>
      <c r="TYX110" s="38"/>
      <c r="TYY110" s="38"/>
      <c r="TZE110" s="36"/>
      <c r="TZF110" s="38"/>
      <c r="TZG110" s="38"/>
      <c r="TZM110" s="36"/>
      <c r="TZN110" s="38"/>
      <c r="TZO110" s="38"/>
      <c r="TZU110" s="36"/>
      <c r="TZV110" s="38"/>
      <c r="TZW110" s="38"/>
      <c r="UAC110" s="36"/>
      <c r="UAD110" s="38"/>
      <c r="UAE110" s="38"/>
      <c r="UAK110" s="36"/>
      <c r="UAL110" s="38"/>
      <c r="UAM110" s="38"/>
      <c r="UAS110" s="36"/>
      <c r="UAT110" s="38"/>
      <c r="UAU110" s="38"/>
      <c r="UBA110" s="36"/>
      <c r="UBB110" s="38"/>
      <c r="UBC110" s="38"/>
      <c r="UBI110" s="36"/>
      <c r="UBJ110" s="38"/>
      <c r="UBK110" s="38"/>
      <c r="UBQ110" s="36"/>
      <c r="UBR110" s="38"/>
      <c r="UBS110" s="38"/>
      <c r="UBY110" s="36"/>
      <c r="UBZ110" s="38"/>
      <c r="UCA110" s="38"/>
      <c r="UCG110" s="36"/>
      <c r="UCH110" s="38"/>
      <c r="UCI110" s="38"/>
      <c r="UCO110" s="36"/>
      <c r="UCP110" s="38"/>
      <c r="UCQ110" s="38"/>
      <c r="UCW110" s="36"/>
      <c r="UCX110" s="38"/>
      <c r="UCY110" s="38"/>
      <c r="UDE110" s="36"/>
      <c r="UDF110" s="38"/>
      <c r="UDG110" s="38"/>
      <c r="UDM110" s="36"/>
      <c r="UDN110" s="38"/>
      <c r="UDO110" s="38"/>
      <c r="UDU110" s="36"/>
      <c r="UDV110" s="38"/>
      <c r="UDW110" s="38"/>
      <c r="UEC110" s="36"/>
      <c r="UED110" s="38"/>
      <c r="UEE110" s="38"/>
      <c r="UEK110" s="36"/>
      <c r="UEL110" s="38"/>
      <c r="UEM110" s="38"/>
      <c r="UES110" s="36"/>
      <c r="UET110" s="38"/>
      <c r="UEU110" s="38"/>
      <c r="UFA110" s="36"/>
      <c r="UFB110" s="38"/>
      <c r="UFC110" s="38"/>
      <c r="UFI110" s="36"/>
      <c r="UFJ110" s="38"/>
      <c r="UFK110" s="38"/>
      <c r="UFQ110" s="36"/>
      <c r="UFR110" s="38"/>
      <c r="UFS110" s="38"/>
      <c r="UFY110" s="36"/>
      <c r="UFZ110" s="38"/>
      <c r="UGA110" s="38"/>
      <c r="UGG110" s="36"/>
      <c r="UGH110" s="38"/>
      <c r="UGI110" s="38"/>
      <c r="UGO110" s="36"/>
      <c r="UGP110" s="38"/>
      <c r="UGQ110" s="38"/>
      <c r="UGW110" s="36"/>
      <c r="UGX110" s="38"/>
      <c r="UGY110" s="38"/>
      <c r="UHE110" s="36"/>
      <c r="UHF110" s="38"/>
      <c r="UHG110" s="38"/>
      <c r="UHM110" s="36"/>
      <c r="UHN110" s="38"/>
      <c r="UHO110" s="38"/>
      <c r="UHU110" s="36"/>
      <c r="UHV110" s="38"/>
      <c r="UHW110" s="38"/>
      <c r="UIC110" s="36"/>
      <c r="UID110" s="38"/>
      <c r="UIE110" s="38"/>
      <c r="UIK110" s="36"/>
      <c r="UIL110" s="38"/>
      <c r="UIM110" s="38"/>
      <c r="UIS110" s="36"/>
      <c r="UIT110" s="38"/>
      <c r="UIU110" s="38"/>
      <c r="UJA110" s="36"/>
      <c r="UJB110" s="38"/>
      <c r="UJC110" s="38"/>
      <c r="UJI110" s="36"/>
      <c r="UJJ110" s="38"/>
      <c r="UJK110" s="38"/>
      <c r="UJQ110" s="36"/>
      <c r="UJR110" s="38"/>
      <c r="UJS110" s="38"/>
      <c r="UJY110" s="36"/>
      <c r="UJZ110" s="38"/>
      <c r="UKA110" s="38"/>
      <c r="UKG110" s="36"/>
      <c r="UKH110" s="38"/>
      <c r="UKI110" s="38"/>
      <c r="UKO110" s="36"/>
      <c r="UKP110" s="38"/>
      <c r="UKQ110" s="38"/>
      <c r="UKW110" s="36"/>
      <c r="UKX110" s="38"/>
      <c r="UKY110" s="38"/>
      <c r="ULE110" s="36"/>
      <c r="ULF110" s="38"/>
      <c r="ULG110" s="38"/>
      <c r="ULM110" s="36"/>
      <c r="ULN110" s="38"/>
      <c r="ULO110" s="38"/>
      <c r="ULU110" s="36"/>
      <c r="ULV110" s="38"/>
      <c r="ULW110" s="38"/>
      <c r="UMC110" s="36"/>
      <c r="UMD110" s="38"/>
      <c r="UME110" s="38"/>
      <c r="UMK110" s="36"/>
      <c r="UML110" s="38"/>
      <c r="UMM110" s="38"/>
      <c r="UMS110" s="36"/>
      <c r="UMT110" s="38"/>
      <c r="UMU110" s="38"/>
      <c r="UNA110" s="36"/>
      <c r="UNB110" s="38"/>
      <c r="UNC110" s="38"/>
      <c r="UNI110" s="36"/>
      <c r="UNJ110" s="38"/>
      <c r="UNK110" s="38"/>
      <c r="UNQ110" s="36"/>
      <c r="UNR110" s="38"/>
      <c r="UNS110" s="38"/>
      <c r="UNY110" s="36"/>
      <c r="UNZ110" s="38"/>
      <c r="UOA110" s="38"/>
      <c r="UOG110" s="36"/>
      <c r="UOH110" s="38"/>
      <c r="UOI110" s="38"/>
      <c r="UOO110" s="36"/>
      <c r="UOP110" s="38"/>
      <c r="UOQ110" s="38"/>
      <c r="UOW110" s="36"/>
      <c r="UOX110" s="38"/>
      <c r="UOY110" s="38"/>
      <c r="UPE110" s="36"/>
      <c r="UPF110" s="38"/>
      <c r="UPG110" s="38"/>
      <c r="UPM110" s="36"/>
      <c r="UPN110" s="38"/>
      <c r="UPO110" s="38"/>
      <c r="UPU110" s="36"/>
      <c r="UPV110" s="38"/>
      <c r="UPW110" s="38"/>
      <c r="UQC110" s="36"/>
      <c r="UQD110" s="38"/>
      <c r="UQE110" s="38"/>
      <c r="UQK110" s="36"/>
      <c r="UQL110" s="38"/>
      <c r="UQM110" s="38"/>
      <c r="UQS110" s="36"/>
      <c r="UQT110" s="38"/>
      <c r="UQU110" s="38"/>
      <c r="URA110" s="36"/>
      <c r="URB110" s="38"/>
      <c r="URC110" s="38"/>
      <c r="URI110" s="36"/>
      <c r="URJ110" s="38"/>
      <c r="URK110" s="38"/>
      <c r="URQ110" s="36"/>
      <c r="URR110" s="38"/>
      <c r="URS110" s="38"/>
      <c r="URY110" s="36"/>
      <c r="URZ110" s="38"/>
      <c r="USA110" s="38"/>
      <c r="USG110" s="36"/>
      <c r="USH110" s="38"/>
      <c r="USI110" s="38"/>
      <c r="USO110" s="36"/>
      <c r="USP110" s="38"/>
      <c r="USQ110" s="38"/>
      <c r="USW110" s="36"/>
      <c r="USX110" s="38"/>
      <c r="USY110" s="38"/>
      <c r="UTE110" s="36"/>
      <c r="UTF110" s="38"/>
      <c r="UTG110" s="38"/>
      <c r="UTM110" s="36"/>
      <c r="UTN110" s="38"/>
      <c r="UTO110" s="38"/>
      <c r="UTU110" s="36"/>
      <c r="UTV110" s="38"/>
      <c r="UTW110" s="38"/>
      <c r="UUC110" s="36"/>
      <c r="UUD110" s="38"/>
      <c r="UUE110" s="38"/>
      <c r="UUK110" s="36"/>
      <c r="UUL110" s="38"/>
      <c r="UUM110" s="38"/>
      <c r="UUS110" s="36"/>
      <c r="UUT110" s="38"/>
      <c r="UUU110" s="38"/>
      <c r="UVA110" s="36"/>
      <c r="UVB110" s="38"/>
      <c r="UVC110" s="38"/>
      <c r="UVI110" s="36"/>
      <c r="UVJ110" s="38"/>
      <c r="UVK110" s="38"/>
      <c r="UVQ110" s="36"/>
      <c r="UVR110" s="38"/>
      <c r="UVS110" s="38"/>
      <c r="UVY110" s="36"/>
      <c r="UVZ110" s="38"/>
      <c r="UWA110" s="38"/>
      <c r="UWG110" s="36"/>
      <c r="UWH110" s="38"/>
      <c r="UWI110" s="38"/>
      <c r="UWO110" s="36"/>
      <c r="UWP110" s="38"/>
      <c r="UWQ110" s="38"/>
      <c r="UWW110" s="36"/>
      <c r="UWX110" s="38"/>
      <c r="UWY110" s="38"/>
      <c r="UXE110" s="36"/>
      <c r="UXF110" s="38"/>
      <c r="UXG110" s="38"/>
      <c r="UXM110" s="36"/>
      <c r="UXN110" s="38"/>
      <c r="UXO110" s="38"/>
      <c r="UXU110" s="36"/>
      <c r="UXV110" s="38"/>
      <c r="UXW110" s="38"/>
      <c r="UYC110" s="36"/>
      <c r="UYD110" s="38"/>
      <c r="UYE110" s="38"/>
      <c r="UYK110" s="36"/>
      <c r="UYL110" s="38"/>
      <c r="UYM110" s="38"/>
      <c r="UYS110" s="36"/>
      <c r="UYT110" s="38"/>
      <c r="UYU110" s="38"/>
      <c r="UZA110" s="36"/>
      <c r="UZB110" s="38"/>
      <c r="UZC110" s="38"/>
      <c r="UZI110" s="36"/>
      <c r="UZJ110" s="38"/>
      <c r="UZK110" s="38"/>
      <c r="UZQ110" s="36"/>
      <c r="UZR110" s="38"/>
      <c r="UZS110" s="38"/>
      <c r="UZY110" s="36"/>
      <c r="UZZ110" s="38"/>
      <c r="VAA110" s="38"/>
      <c r="VAG110" s="36"/>
      <c r="VAH110" s="38"/>
      <c r="VAI110" s="38"/>
      <c r="VAO110" s="36"/>
      <c r="VAP110" s="38"/>
      <c r="VAQ110" s="38"/>
      <c r="VAW110" s="36"/>
      <c r="VAX110" s="38"/>
      <c r="VAY110" s="38"/>
      <c r="VBE110" s="36"/>
      <c r="VBF110" s="38"/>
      <c r="VBG110" s="38"/>
      <c r="VBM110" s="36"/>
      <c r="VBN110" s="38"/>
      <c r="VBO110" s="38"/>
      <c r="VBU110" s="36"/>
      <c r="VBV110" s="38"/>
      <c r="VBW110" s="38"/>
      <c r="VCC110" s="36"/>
      <c r="VCD110" s="38"/>
      <c r="VCE110" s="38"/>
      <c r="VCK110" s="36"/>
      <c r="VCL110" s="38"/>
      <c r="VCM110" s="38"/>
      <c r="VCS110" s="36"/>
      <c r="VCT110" s="38"/>
      <c r="VCU110" s="38"/>
      <c r="VDA110" s="36"/>
      <c r="VDB110" s="38"/>
      <c r="VDC110" s="38"/>
      <c r="VDI110" s="36"/>
      <c r="VDJ110" s="38"/>
      <c r="VDK110" s="38"/>
      <c r="VDQ110" s="36"/>
      <c r="VDR110" s="38"/>
      <c r="VDS110" s="38"/>
      <c r="VDY110" s="36"/>
      <c r="VDZ110" s="38"/>
      <c r="VEA110" s="38"/>
      <c r="VEG110" s="36"/>
      <c r="VEH110" s="38"/>
      <c r="VEI110" s="38"/>
      <c r="VEO110" s="36"/>
      <c r="VEP110" s="38"/>
      <c r="VEQ110" s="38"/>
      <c r="VEW110" s="36"/>
      <c r="VEX110" s="38"/>
      <c r="VEY110" s="38"/>
      <c r="VFE110" s="36"/>
      <c r="VFF110" s="38"/>
      <c r="VFG110" s="38"/>
      <c r="VFM110" s="36"/>
      <c r="VFN110" s="38"/>
      <c r="VFO110" s="38"/>
      <c r="VFU110" s="36"/>
      <c r="VFV110" s="38"/>
      <c r="VFW110" s="38"/>
      <c r="VGC110" s="36"/>
      <c r="VGD110" s="38"/>
      <c r="VGE110" s="38"/>
      <c r="VGK110" s="36"/>
      <c r="VGL110" s="38"/>
      <c r="VGM110" s="38"/>
      <c r="VGS110" s="36"/>
      <c r="VGT110" s="38"/>
      <c r="VGU110" s="38"/>
      <c r="VHA110" s="36"/>
      <c r="VHB110" s="38"/>
      <c r="VHC110" s="38"/>
      <c r="VHI110" s="36"/>
      <c r="VHJ110" s="38"/>
      <c r="VHK110" s="38"/>
      <c r="VHQ110" s="36"/>
      <c r="VHR110" s="38"/>
      <c r="VHS110" s="38"/>
      <c r="VHY110" s="36"/>
      <c r="VHZ110" s="38"/>
      <c r="VIA110" s="38"/>
      <c r="VIG110" s="36"/>
      <c r="VIH110" s="38"/>
      <c r="VII110" s="38"/>
      <c r="VIO110" s="36"/>
      <c r="VIP110" s="38"/>
      <c r="VIQ110" s="38"/>
      <c r="VIW110" s="36"/>
      <c r="VIX110" s="38"/>
      <c r="VIY110" s="38"/>
      <c r="VJE110" s="36"/>
      <c r="VJF110" s="38"/>
      <c r="VJG110" s="38"/>
      <c r="VJM110" s="36"/>
      <c r="VJN110" s="38"/>
      <c r="VJO110" s="38"/>
      <c r="VJU110" s="36"/>
      <c r="VJV110" s="38"/>
      <c r="VJW110" s="38"/>
      <c r="VKC110" s="36"/>
      <c r="VKD110" s="38"/>
      <c r="VKE110" s="38"/>
      <c r="VKK110" s="36"/>
      <c r="VKL110" s="38"/>
      <c r="VKM110" s="38"/>
      <c r="VKS110" s="36"/>
      <c r="VKT110" s="38"/>
      <c r="VKU110" s="38"/>
      <c r="VLA110" s="36"/>
      <c r="VLB110" s="38"/>
      <c r="VLC110" s="38"/>
      <c r="VLI110" s="36"/>
      <c r="VLJ110" s="38"/>
      <c r="VLK110" s="38"/>
      <c r="VLQ110" s="36"/>
      <c r="VLR110" s="38"/>
      <c r="VLS110" s="38"/>
      <c r="VLY110" s="36"/>
      <c r="VLZ110" s="38"/>
      <c r="VMA110" s="38"/>
      <c r="VMG110" s="36"/>
      <c r="VMH110" s="38"/>
      <c r="VMI110" s="38"/>
      <c r="VMO110" s="36"/>
      <c r="VMP110" s="38"/>
      <c r="VMQ110" s="38"/>
      <c r="VMW110" s="36"/>
      <c r="VMX110" s="38"/>
      <c r="VMY110" s="38"/>
      <c r="VNE110" s="36"/>
      <c r="VNF110" s="38"/>
      <c r="VNG110" s="38"/>
      <c r="VNM110" s="36"/>
      <c r="VNN110" s="38"/>
      <c r="VNO110" s="38"/>
      <c r="VNU110" s="36"/>
      <c r="VNV110" s="38"/>
      <c r="VNW110" s="38"/>
      <c r="VOC110" s="36"/>
      <c r="VOD110" s="38"/>
      <c r="VOE110" s="38"/>
      <c r="VOK110" s="36"/>
      <c r="VOL110" s="38"/>
      <c r="VOM110" s="38"/>
      <c r="VOS110" s="36"/>
      <c r="VOT110" s="38"/>
      <c r="VOU110" s="38"/>
      <c r="VPA110" s="36"/>
      <c r="VPB110" s="38"/>
      <c r="VPC110" s="38"/>
      <c r="VPI110" s="36"/>
      <c r="VPJ110" s="38"/>
      <c r="VPK110" s="38"/>
      <c r="VPQ110" s="36"/>
      <c r="VPR110" s="38"/>
      <c r="VPS110" s="38"/>
      <c r="VPY110" s="36"/>
      <c r="VPZ110" s="38"/>
      <c r="VQA110" s="38"/>
      <c r="VQG110" s="36"/>
      <c r="VQH110" s="38"/>
      <c r="VQI110" s="38"/>
      <c r="VQO110" s="36"/>
      <c r="VQP110" s="38"/>
      <c r="VQQ110" s="38"/>
      <c r="VQW110" s="36"/>
      <c r="VQX110" s="38"/>
      <c r="VQY110" s="38"/>
      <c r="VRE110" s="36"/>
      <c r="VRF110" s="38"/>
      <c r="VRG110" s="38"/>
      <c r="VRM110" s="36"/>
      <c r="VRN110" s="38"/>
      <c r="VRO110" s="38"/>
      <c r="VRU110" s="36"/>
      <c r="VRV110" s="38"/>
      <c r="VRW110" s="38"/>
      <c r="VSC110" s="36"/>
      <c r="VSD110" s="38"/>
      <c r="VSE110" s="38"/>
      <c r="VSK110" s="36"/>
      <c r="VSL110" s="38"/>
      <c r="VSM110" s="38"/>
      <c r="VSS110" s="36"/>
      <c r="VST110" s="38"/>
      <c r="VSU110" s="38"/>
      <c r="VTA110" s="36"/>
      <c r="VTB110" s="38"/>
      <c r="VTC110" s="38"/>
      <c r="VTI110" s="36"/>
      <c r="VTJ110" s="38"/>
      <c r="VTK110" s="38"/>
      <c r="VTQ110" s="36"/>
      <c r="VTR110" s="38"/>
      <c r="VTS110" s="38"/>
      <c r="VTY110" s="36"/>
      <c r="VTZ110" s="38"/>
      <c r="VUA110" s="38"/>
      <c r="VUG110" s="36"/>
      <c r="VUH110" s="38"/>
      <c r="VUI110" s="38"/>
      <c r="VUO110" s="36"/>
      <c r="VUP110" s="38"/>
      <c r="VUQ110" s="38"/>
      <c r="VUW110" s="36"/>
      <c r="VUX110" s="38"/>
      <c r="VUY110" s="38"/>
      <c r="VVE110" s="36"/>
      <c r="VVF110" s="38"/>
      <c r="VVG110" s="38"/>
      <c r="VVM110" s="36"/>
      <c r="VVN110" s="38"/>
      <c r="VVO110" s="38"/>
      <c r="VVU110" s="36"/>
      <c r="VVV110" s="38"/>
      <c r="VVW110" s="38"/>
      <c r="VWC110" s="36"/>
      <c r="VWD110" s="38"/>
      <c r="VWE110" s="38"/>
      <c r="VWK110" s="36"/>
      <c r="VWL110" s="38"/>
      <c r="VWM110" s="38"/>
      <c r="VWS110" s="36"/>
      <c r="VWT110" s="38"/>
      <c r="VWU110" s="38"/>
      <c r="VXA110" s="36"/>
      <c r="VXB110" s="38"/>
      <c r="VXC110" s="38"/>
      <c r="VXI110" s="36"/>
      <c r="VXJ110" s="38"/>
      <c r="VXK110" s="38"/>
      <c r="VXQ110" s="36"/>
      <c r="VXR110" s="38"/>
      <c r="VXS110" s="38"/>
      <c r="VXY110" s="36"/>
      <c r="VXZ110" s="38"/>
      <c r="VYA110" s="38"/>
      <c r="VYG110" s="36"/>
      <c r="VYH110" s="38"/>
      <c r="VYI110" s="38"/>
      <c r="VYO110" s="36"/>
      <c r="VYP110" s="38"/>
      <c r="VYQ110" s="38"/>
      <c r="VYW110" s="36"/>
      <c r="VYX110" s="38"/>
      <c r="VYY110" s="38"/>
      <c r="VZE110" s="36"/>
      <c r="VZF110" s="38"/>
      <c r="VZG110" s="38"/>
      <c r="VZM110" s="36"/>
      <c r="VZN110" s="38"/>
      <c r="VZO110" s="38"/>
      <c r="VZU110" s="36"/>
      <c r="VZV110" s="38"/>
      <c r="VZW110" s="38"/>
      <c r="WAC110" s="36"/>
      <c r="WAD110" s="38"/>
      <c r="WAE110" s="38"/>
      <c r="WAK110" s="36"/>
      <c r="WAL110" s="38"/>
      <c r="WAM110" s="38"/>
      <c r="WAS110" s="36"/>
      <c r="WAT110" s="38"/>
      <c r="WAU110" s="38"/>
      <c r="WBA110" s="36"/>
      <c r="WBB110" s="38"/>
      <c r="WBC110" s="38"/>
      <c r="WBI110" s="36"/>
      <c r="WBJ110" s="38"/>
      <c r="WBK110" s="38"/>
      <c r="WBQ110" s="36"/>
      <c r="WBR110" s="38"/>
      <c r="WBS110" s="38"/>
      <c r="WBY110" s="36"/>
      <c r="WBZ110" s="38"/>
      <c r="WCA110" s="38"/>
      <c r="WCG110" s="36"/>
      <c r="WCH110" s="38"/>
      <c r="WCI110" s="38"/>
      <c r="WCO110" s="36"/>
      <c r="WCP110" s="38"/>
      <c r="WCQ110" s="38"/>
      <c r="WCW110" s="36"/>
      <c r="WCX110" s="38"/>
      <c r="WCY110" s="38"/>
      <c r="WDE110" s="36"/>
      <c r="WDF110" s="38"/>
      <c r="WDG110" s="38"/>
      <c r="WDM110" s="36"/>
      <c r="WDN110" s="38"/>
      <c r="WDO110" s="38"/>
      <c r="WDU110" s="36"/>
      <c r="WDV110" s="38"/>
      <c r="WDW110" s="38"/>
      <c r="WEC110" s="36"/>
      <c r="WED110" s="38"/>
      <c r="WEE110" s="38"/>
      <c r="WEK110" s="36"/>
      <c r="WEL110" s="38"/>
      <c r="WEM110" s="38"/>
      <c r="WES110" s="36"/>
      <c r="WET110" s="38"/>
      <c r="WEU110" s="38"/>
      <c r="WFA110" s="36"/>
      <c r="WFB110" s="38"/>
      <c r="WFC110" s="38"/>
      <c r="WFI110" s="36"/>
      <c r="WFJ110" s="38"/>
      <c r="WFK110" s="38"/>
      <c r="WFQ110" s="36"/>
      <c r="WFR110" s="38"/>
      <c r="WFS110" s="38"/>
      <c r="WFY110" s="36"/>
      <c r="WFZ110" s="38"/>
      <c r="WGA110" s="38"/>
      <c r="WGG110" s="36"/>
      <c r="WGH110" s="38"/>
      <c r="WGI110" s="38"/>
      <c r="WGO110" s="36"/>
      <c r="WGP110" s="38"/>
      <c r="WGQ110" s="38"/>
      <c r="WGW110" s="36"/>
      <c r="WGX110" s="38"/>
      <c r="WGY110" s="38"/>
      <c r="WHE110" s="36"/>
      <c r="WHF110" s="38"/>
      <c r="WHG110" s="38"/>
      <c r="WHM110" s="36"/>
      <c r="WHN110" s="38"/>
      <c r="WHO110" s="38"/>
      <c r="WHU110" s="36"/>
      <c r="WHV110" s="38"/>
      <c r="WHW110" s="38"/>
      <c r="WIC110" s="36"/>
      <c r="WID110" s="38"/>
      <c r="WIE110" s="38"/>
      <c r="WIK110" s="36"/>
      <c r="WIL110" s="38"/>
      <c r="WIM110" s="38"/>
      <c r="WIS110" s="36"/>
      <c r="WIT110" s="38"/>
      <c r="WIU110" s="38"/>
      <c r="WJA110" s="36"/>
      <c r="WJB110" s="38"/>
      <c r="WJC110" s="38"/>
      <c r="WJI110" s="36"/>
      <c r="WJJ110" s="38"/>
      <c r="WJK110" s="38"/>
      <c r="WJQ110" s="36"/>
      <c r="WJR110" s="38"/>
      <c r="WJS110" s="38"/>
      <c r="WJY110" s="36"/>
      <c r="WJZ110" s="38"/>
      <c r="WKA110" s="38"/>
      <c r="WKG110" s="36"/>
      <c r="WKH110" s="38"/>
      <c r="WKI110" s="38"/>
      <c r="WKO110" s="36"/>
      <c r="WKP110" s="38"/>
      <c r="WKQ110" s="38"/>
      <c r="WKW110" s="36"/>
      <c r="WKX110" s="38"/>
      <c r="WKY110" s="38"/>
      <c r="WLE110" s="36"/>
      <c r="WLF110" s="38"/>
      <c r="WLG110" s="38"/>
      <c r="WLM110" s="36"/>
      <c r="WLN110" s="38"/>
      <c r="WLO110" s="38"/>
      <c r="WLU110" s="36"/>
      <c r="WLV110" s="38"/>
      <c r="WLW110" s="38"/>
      <c r="WMC110" s="36"/>
      <c r="WMD110" s="38"/>
      <c r="WME110" s="38"/>
      <c r="WMK110" s="36"/>
      <c r="WML110" s="38"/>
      <c r="WMM110" s="38"/>
      <c r="WMS110" s="36"/>
      <c r="WMT110" s="38"/>
      <c r="WMU110" s="38"/>
      <c r="WNA110" s="36"/>
      <c r="WNB110" s="38"/>
      <c r="WNC110" s="38"/>
      <c r="WNI110" s="36"/>
      <c r="WNJ110" s="38"/>
      <c r="WNK110" s="38"/>
      <c r="WNQ110" s="36"/>
      <c r="WNR110" s="38"/>
      <c r="WNS110" s="38"/>
      <c r="WNY110" s="36"/>
      <c r="WNZ110" s="38"/>
      <c r="WOA110" s="38"/>
      <c r="WOG110" s="36"/>
      <c r="WOH110" s="38"/>
      <c r="WOI110" s="38"/>
      <c r="WOO110" s="36"/>
      <c r="WOP110" s="38"/>
      <c r="WOQ110" s="38"/>
      <c r="WOW110" s="36"/>
      <c r="WOX110" s="38"/>
      <c r="WOY110" s="38"/>
      <c r="WPE110" s="36"/>
      <c r="WPF110" s="38"/>
      <c r="WPG110" s="38"/>
      <c r="WPM110" s="36"/>
      <c r="WPN110" s="38"/>
      <c r="WPO110" s="38"/>
      <c r="WPU110" s="36"/>
      <c r="WPV110" s="38"/>
      <c r="WPW110" s="38"/>
      <c r="WQC110" s="36"/>
      <c r="WQD110" s="38"/>
      <c r="WQE110" s="38"/>
      <c r="WQK110" s="36"/>
      <c r="WQL110" s="38"/>
      <c r="WQM110" s="38"/>
      <c r="WQS110" s="36"/>
      <c r="WQT110" s="38"/>
      <c r="WQU110" s="38"/>
      <c r="WRA110" s="36"/>
      <c r="WRB110" s="38"/>
      <c r="WRC110" s="38"/>
      <c r="WRI110" s="36"/>
      <c r="WRJ110" s="38"/>
      <c r="WRK110" s="38"/>
      <c r="WRQ110" s="36"/>
      <c r="WRR110" s="38"/>
      <c r="WRS110" s="38"/>
      <c r="WRY110" s="36"/>
      <c r="WRZ110" s="38"/>
      <c r="WSA110" s="38"/>
      <c r="WSG110" s="36"/>
      <c r="WSH110" s="38"/>
      <c r="WSI110" s="38"/>
      <c r="WSO110" s="36"/>
      <c r="WSP110" s="38"/>
      <c r="WSQ110" s="38"/>
      <c r="WSW110" s="36"/>
      <c r="WSX110" s="38"/>
      <c r="WSY110" s="38"/>
      <c r="WTE110" s="36"/>
      <c r="WTF110" s="38"/>
      <c r="WTG110" s="38"/>
      <c r="WTM110" s="36"/>
      <c r="WTN110" s="38"/>
      <c r="WTO110" s="38"/>
      <c r="WTU110" s="36"/>
      <c r="WTV110" s="38"/>
      <c r="WTW110" s="38"/>
      <c r="WUC110" s="36"/>
      <c r="WUD110" s="38"/>
      <c r="WUE110" s="38"/>
      <c r="WUK110" s="36"/>
      <c r="WUL110" s="38"/>
      <c r="WUM110" s="38"/>
      <c r="WUS110" s="36"/>
      <c r="WUT110" s="38"/>
      <c r="WUU110" s="38"/>
      <c r="WVA110" s="36"/>
      <c r="WVB110" s="38"/>
      <c r="WVC110" s="38"/>
      <c r="WVI110" s="36"/>
      <c r="WVJ110" s="38"/>
      <c r="WVK110" s="38"/>
      <c r="WVQ110" s="36"/>
      <c r="WVR110" s="38"/>
      <c r="WVS110" s="38"/>
      <c r="WVY110" s="36"/>
      <c r="WVZ110" s="38"/>
      <c r="WWA110" s="38"/>
      <c r="WWG110" s="36"/>
      <c r="WWH110" s="38"/>
      <c r="WWI110" s="38"/>
      <c r="WWO110" s="36"/>
      <c r="WWP110" s="38"/>
      <c r="WWQ110" s="38"/>
      <c r="WWW110" s="36"/>
      <c r="WWX110" s="38"/>
      <c r="WWY110" s="38"/>
      <c r="WXE110" s="36"/>
      <c r="WXF110" s="38"/>
      <c r="WXG110" s="38"/>
      <c r="WXM110" s="36"/>
      <c r="WXN110" s="38"/>
      <c r="WXO110" s="38"/>
      <c r="WXU110" s="36"/>
      <c r="WXV110" s="38"/>
      <c r="WXW110" s="38"/>
      <c r="WYC110" s="36"/>
      <c r="WYD110" s="38"/>
      <c r="WYE110" s="38"/>
      <c r="WYK110" s="36"/>
      <c r="WYL110" s="38"/>
      <c r="WYM110" s="38"/>
      <c r="WYS110" s="36"/>
      <c r="WYT110" s="38"/>
      <c r="WYU110" s="38"/>
      <c r="WZA110" s="36"/>
      <c r="WZB110" s="38"/>
      <c r="WZC110" s="38"/>
      <c r="WZI110" s="36"/>
      <c r="WZJ110" s="38"/>
      <c r="WZK110" s="38"/>
      <c r="WZQ110" s="36"/>
      <c r="WZR110" s="38"/>
      <c r="WZS110" s="38"/>
      <c r="WZY110" s="36"/>
      <c r="WZZ110" s="38"/>
      <c r="XAA110" s="38"/>
      <c r="XAG110" s="36"/>
      <c r="XAH110" s="38"/>
      <c r="XAI110" s="38"/>
      <c r="XAO110" s="36"/>
      <c r="XAP110" s="38"/>
      <c r="XAQ110" s="38"/>
      <c r="XAW110" s="36"/>
      <c r="XAX110" s="38"/>
      <c r="XAY110" s="38"/>
      <c r="XBE110" s="36"/>
      <c r="XBF110" s="38"/>
      <c r="XBG110" s="38"/>
      <c r="XBM110" s="36"/>
      <c r="XBN110" s="38"/>
      <c r="XBO110" s="38"/>
      <c r="XBU110" s="36"/>
      <c r="XBV110" s="38"/>
      <c r="XBW110" s="38"/>
      <c r="XCC110" s="36"/>
      <c r="XCD110" s="38"/>
      <c r="XCE110" s="38"/>
      <c r="XCK110" s="36"/>
      <c r="XCL110" s="38"/>
      <c r="XCM110" s="38"/>
      <c r="XCS110" s="36"/>
      <c r="XCT110" s="38"/>
      <c r="XCU110" s="38"/>
      <c r="XDA110" s="36"/>
      <c r="XDB110" s="38"/>
      <c r="XDC110" s="38"/>
      <c r="XDI110" s="36"/>
      <c r="XDJ110" s="38"/>
      <c r="XDK110" s="38"/>
      <c r="XDQ110" s="36"/>
      <c r="XDR110" s="38"/>
      <c r="XDS110" s="38"/>
      <c r="XDY110" s="36"/>
      <c r="XDZ110" s="38"/>
      <c r="XEA110" s="38"/>
      <c r="XEG110" s="36"/>
      <c r="XEH110" s="38"/>
      <c r="XEI110" s="38"/>
      <c r="XEO110" s="36"/>
      <c r="XEP110" s="38"/>
      <c r="XEQ110" s="38"/>
      <c r="XEW110" s="36"/>
      <c r="XEX110" s="38"/>
      <c r="XEY110" s="38"/>
    </row>
    <row r="111" spans="1:1019 1025:2043 2049:3067 3073:4091 4097:5115 5121:6139 6145:7163 7169:8187 8193:9211 9217:10235 10241:11259 11265:12283 12289:13307 13313:14331 14337:15355 15361:16379" s="24" customFormat="1" ht="15" customHeight="1">
      <c r="A111" s="36"/>
      <c r="B111" s="38" t="s">
        <v>31</v>
      </c>
      <c r="C111" s="38">
        <v>1153218</v>
      </c>
      <c r="D111" s="24">
        <v>262846</v>
      </c>
      <c r="E111" s="24">
        <v>71159</v>
      </c>
      <c r="F111" s="24">
        <v>616871</v>
      </c>
      <c r="G111" s="24">
        <v>197037</v>
      </c>
      <c r="H111" s="24">
        <v>5305</v>
      </c>
      <c r="J111" s="23"/>
      <c r="K111" s="38"/>
      <c r="Q111" s="36"/>
      <c r="R111" s="38"/>
      <c r="S111" s="38"/>
      <c r="Y111" s="36"/>
      <c r="Z111" s="38"/>
      <c r="AA111" s="38"/>
      <c r="AG111" s="36"/>
      <c r="AH111" s="38"/>
      <c r="AI111" s="38"/>
      <c r="AO111" s="36"/>
      <c r="AP111" s="38"/>
      <c r="AQ111" s="38"/>
      <c r="AW111" s="36"/>
      <c r="AX111" s="38"/>
      <c r="AY111" s="38"/>
      <c r="BE111" s="36"/>
      <c r="BF111" s="38"/>
      <c r="BG111" s="38"/>
      <c r="BM111" s="36"/>
      <c r="BN111" s="38"/>
      <c r="BO111" s="38"/>
      <c r="BU111" s="36"/>
      <c r="BV111" s="38"/>
      <c r="BW111" s="38"/>
      <c r="CC111" s="36"/>
      <c r="CD111" s="38"/>
      <c r="CE111" s="38"/>
      <c r="CK111" s="36"/>
      <c r="CL111" s="38"/>
      <c r="CM111" s="38"/>
      <c r="CS111" s="36"/>
      <c r="CT111" s="38"/>
      <c r="CU111" s="38"/>
      <c r="DA111" s="36"/>
      <c r="DB111" s="38"/>
      <c r="DC111" s="38"/>
      <c r="DI111" s="36"/>
      <c r="DJ111" s="38"/>
      <c r="DK111" s="38"/>
      <c r="DQ111" s="36"/>
      <c r="DR111" s="38"/>
      <c r="DS111" s="38"/>
      <c r="DY111" s="36"/>
      <c r="DZ111" s="38"/>
      <c r="EA111" s="38"/>
      <c r="EG111" s="36"/>
      <c r="EH111" s="38"/>
      <c r="EI111" s="38"/>
      <c r="EO111" s="36"/>
      <c r="EP111" s="38"/>
      <c r="EQ111" s="38"/>
      <c r="EW111" s="36"/>
      <c r="EX111" s="38"/>
      <c r="EY111" s="38"/>
      <c r="FE111" s="36"/>
      <c r="FF111" s="38"/>
      <c r="FG111" s="38"/>
      <c r="FM111" s="36"/>
      <c r="FN111" s="38"/>
      <c r="FO111" s="38"/>
      <c r="FU111" s="36"/>
      <c r="FV111" s="38"/>
      <c r="FW111" s="38"/>
      <c r="GC111" s="36"/>
      <c r="GD111" s="38"/>
      <c r="GE111" s="38"/>
      <c r="GK111" s="36"/>
      <c r="GL111" s="38"/>
      <c r="GM111" s="38"/>
      <c r="GS111" s="36"/>
      <c r="GT111" s="38"/>
      <c r="GU111" s="38"/>
      <c r="HA111" s="36"/>
      <c r="HB111" s="38"/>
      <c r="HC111" s="38"/>
      <c r="HI111" s="36"/>
      <c r="HJ111" s="38"/>
      <c r="HK111" s="38"/>
      <c r="HQ111" s="36"/>
      <c r="HR111" s="38"/>
      <c r="HS111" s="38"/>
      <c r="HY111" s="36"/>
      <c r="HZ111" s="38"/>
      <c r="IA111" s="38"/>
      <c r="IG111" s="36"/>
      <c r="IH111" s="38"/>
      <c r="II111" s="38"/>
      <c r="IO111" s="36"/>
      <c r="IP111" s="38"/>
      <c r="IQ111" s="38"/>
      <c r="IW111" s="36"/>
      <c r="IX111" s="38"/>
      <c r="IY111" s="38"/>
      <c r="JE111" s="36"/>
      <c r="JF111" s="38"/>
      <c r="JG111" s="38"/>
      <c r="JM111" s="36"/>
      <c r="JN111" s="38"/>
      <c r="JO111" s="38"/>
      <c r="JU111" s="36"/>
      <c r="JV111" s="38"/>
      <c r="JW111" s="38"/>
      <c r="KC111" s="36"/>
      <c r="KD111" s="38"/>
      <c r="KE111" s="38"/>
      <c r="KK111" s="36"/>
      <c r="KL111" s="38"/>
      <c r="KM111" s="38"/>
      <c r="KS111" s="36"/>
      <c r="KT111" s="38"/>
      <c r="KU111" s="38"/>
      <c r="LA111" s="36"/>
      <c r="LB111" s="38"/>
      <c r="LC111" s="38"/>
      <c r="LI111" s="36"/>
      <c r="LJ111" s="38"/>
      <c r="LK111" s="38"/>
      <c r="LQ111" s="36"/>
      <c r="LR111" s="38"/>
      <c r="LS111" s="38"/>
      <c r="LY111" s="36"/>
      <c r="LZ111" s="38"/>
      <c r="MA111" s="38"/>
      <c r="MG111" s="36"/>
      <c r="MH111" s="38"/>
      <c r="MI111" s="38"/>
      <c r="MO111" s="36"/>
      <c r="MP111" s="38"/>
      <c r="MQ111" s="38"/>
      <c r="MW111" s="36"/>
      <c r="MX111" s="38"/>
      <c r="MY111" s="38"/>
      <c r="NE111" s="36"/>
      <c r="NF111" s="38"/>
      <c r="NG111" s="38"/>
      <c r="NM111" s="36"/>
      <c r="NN111" s="38"/>
      <c r="NO111" s="38"/>
      <c r="NU111" s="36"/>
      <c r="NV111" s="38"/>
      <c r="NW111" s="38"/>
      <c r="OC111" s="36"/>
      <c r="OD111" s="38"/>
      <c r="OE111" s="38"/>
      <c r="OK111" s="36"/>
      <c r="OL111" s="38"/>
      <c r="OM111" s="38"/>
      <c r="OS111" s="36"/>
      <c r="OT111" s="38"/>
      <c r="OU111" s="38"/>
      <c r="PA111" s="36"/>
      <c r="PB111" s="38"/>
      <c r="PC111" s="38"/>
      <c r="PI111" s="36"/>
      <c r="PJ111" s="38"/>
      <c r="PK111" s="38"/>
      <c r="PQ111" s="36"/>
      <c r="PR111" s="38"/>
      <c r="PS111" s="38"/>
      <c r="PY111" s="36"/>
      <c r="PZ111" s="38"/>
      <c r="QA111" s="38"/>
      <c r="QG111" s="36"/>
      <c r="QH111" s="38"/>
      <c r="QI111" s="38"/>
      <c r="QO111" s="36"/>
      <c r="QP111" s="38"/>
      <c r="QQ111" s="38"/>
      <c r="QW111" s="36"/>
      <c r="QX111" s="38"/>
      <c r="QY111" s="38"/>
      <c r="RE111" s="36"/>
      <c r="RF111" s="38"/>
      <c r="RG111" s="38"/>
      <c r="RM111" s="36"/>
      <c r="RN111" s="38"/>
      <c r="RO111" s="38"/>
      <c r="RU111" s="36"/>
      <c r="RV111" s="38"/>
      <c r="RW111" s="38"/>
      <c r="SC111" s="36"/>
      <c r="SD111" s="38"/>
      <c r="SE111" s="38"/>
      <c r="SK111" s="36"/>
      <c r="SL111" s="38"/>
      <c r="SM111" s="38"/>
      <c r="SS111" s="36"/>
      <c r="ST111" s="38"/>
      <c r="SU111" s="38"/>
      <c r="TA111" s="36"/>
      <c r="TB111" s="38"/>
      <c r="TC111" s="38"/>
      <c r="TI111" s="36"/>
      <c r="TJ111" s="38"/>
      <c r="TK111" s="38"/>
      <c r="TQ111" s="36"/>
      <c r="TR111" s="38"/>
      <c r="TS111" s="38"/>
      <c r="TY111" s="36"/>
      <c r="TZ111" s="38"/>
      <c r="UA111" s="38"/>
      <c r="UG111" s="36"/>
      <c r="UH111" s="38"/>
      <c r="UI111" s="38"/>
      <c r="UO111" s="36"/>
      <c r="UP111" s="38"/>
      <c r="UQ111" s="38"/>
      <c r="UW111" s="36"/>
      <c r="UX111" s="38"/>
      <c r="UY111" s="38"/>
      <c r="VE111" s="36"/>
      <c r="VF111" s="38"/>
      <c r="VG111" s="38"/>
      <c r="VM111" s="36"/>
      <c r="VN111" s="38"/>
      <c r="VO111" s="38"/>
      <c r="VU111" s="36"/>
      <c r="VV111" s="38"/>
      <c r="VW111" s="38"/>
      <c r="WC111" s="36"/>
      <c r="WD111" s="38"/>
      <c r="WE111" s="38"/>
      <c r="WK111" s="36"/>
      <c r="WL111" s="38"/>
      <c r="WM111" s="38"/>
      <c r="WS111" s="36"/>
      <c r="WT111" s="38"/>
      <c r="WU111" s="38"/>
      <c r="XA111" s="36"/>
      <c r="XB111" s="38"/>
      <c r="XC111" s="38"/>
      <c r="XI111" s="36"/>
      <c r="XJ111" s="38"/>
      <c r="XK111" s="38"/>
      <c r="XQ111" s="36"/>
      <c r="XR111" s="38"/>
      <c r="XS111" s="38"/>
      <c r="XY111" s="36"/>
      <c r="XZ111" s="38"/>
      <c r="YA111" s="38"/>
      <c r="YG111" s="36"/>
      <c r="YH111" s="38"/>
      <c r="YI111" s="38"/>
      <c r="YO111" s="36"/>
      <c r="YP111" s="38"/>
      <c r="YQ111" s="38"/>
      <c r="YW111" s="36"/>
      <c r="YX111" s="38"/>
      <c r="YY111" s="38"/>
      <c r="ZE111" s="36"/>
      <c r="ZF111" s="38"/>
      <c r="ZG111" s="38"/>
      <c r="ZM111" s="36"/>
      <c r="ZN111" s="38"/>
      <c r="ZO111" s="38"/>
      <c r="ZU111" s="36"/>
      <c r="ZV111" s="38"/>
      <c r="ZW111" s="38"/>
      <c r="AAC111" s="36"/>
      <c r="AAD111" s="38"/>
      <c r="AAE111" s="38"/>
      <c r="AAK111" s="36"/>
      <c r="AAL111" s="38"/>
      <c r="AAM111" s="38"/>
      <c r="AAS111" s="36"/>
      <c r="AAT111" s="38"/>
      <c r="AAU111" s="38"/>
      <c r="ABA111" s="36"/>
      <c r="ABB111" s="38"/>
      <c r="ABC111" s="38"/>
      <c r="ABI111" s="36"/>
      <c r="ABJ111" s="38"/>
      <c r="ABK111" s="38"/>
      <c r="ABQ111" s="36"/>
      <c r="ABR111" s="38"/>
      <c r="ABS111" s="38"/>
      <c r="ABY111" s="36"/>
      <c r="ABZ111" s="38"/>
      <c r="ACA111" s="38"/>
      <c r="ACG111" s="36"/>
      <c r="ACH111" s="38"/>
      <c r="ACI111" s="38"/>
      <c r="ACO111" s="36"/>
      <c r="ACP111" s="38"/>
      <c r="ACQ111" s="38"/>
      <c r="ACW111" s="36"/>
      <c r="ACX111" s="38"/>
      <c r="ACY111" s="38"/>
      <c r="ADE111" s="36"/>
      <c r="ADF111" s="38"/>
      <c r="ADG111" s="38"/>
      <c r="ADM111" s="36"/>
      <c r="ADN111" s="38"/>
      <c r="ADO111" s="38"/>
      <c r="ADU111" s="36"/>
      <c r="ADV111" s="38"/>
      <c r="ADW111" s="38"/>
      <c r="AEC111" s="36"/>
      <c r="AED111" s="38"/>
      <c r="AEE111" s="38"/>
      <c r="AEK111" s="36"/>
      <c r="AEL111" s="38"/>
      <c r="AEM111" s="38"/>
      <c r="AES111" s="36"/>
      <c r="AET111" s="38"/>
      <c r="AEU111" s="38"/>
      <c r="AFA111" s="36"/>
      <c r="AFB111" s="38"/>
      <c r="AFC111" s="38"/>
      <c r="AFI111" s="36"/>
      <c r="AFJ111" s="38"/>
      <c r="AFK111" s="38"/>
      <c r="AFQ111" s="36"/>
      <c r="AFR111" s="38"/>
      <c r="AFS111" s="38"/>
      <c r="AFY111" s="36"/>
      <c r="AFZ111" s="38"/>
      <c r="AGA111" s="38"/>
      <c r="AGG111" s="36"/>
      <c r="AGH111" s="38"/>
      <c r="AGI111" s="38"/>
      <c r="AGO111" s="36"/>
      <c r="AGP111" s="38"/>
      <c r="AGQ111" s="38"/>
      <c r="AGW111" s="36"/>
      <c r="AGX111" s="38"/>
      <c r="AGY111" s="38"/>
      <c r="AHE111" s="36"/>
      <c r="AHF111" s="38"/>
      <c r="AHG111" s="38"/>
      <c r="AHM111" s="36"/>
      <c r="AHN111" s="38"/>
      <c r="AHO111" s="38"/>
      <c r="AHU111" s="36"/>
      <c r="AHV111" s="38"/>
      <c r="AHW111" s="38"/>
      <c r="AIC111" s="36"/>
      <c r="AID111" s="38"/>
      <c r="AIE111" s="38"/>
      <c r="AIK111" s="36"/>
      <c r="AIL111" s="38"/>
      <c r="AIM111" s="38"/>
      <c r="AIS111" s="36"/>
      <c r="AIT111" s="38"/>
      <c r="AIU111" s="38"/>
      <c r="AJA111" s="36"/>
      <c r="AJB111" s="38"/>
      <c r="AJC111" s="38"/>
      <c r="AJI111" s="36"/>
      <c r="AJJ111" s="38"/>
      <c r="AJK111" s="38"/>
      <c r="AJQ111" s="36"/>
      <c r="AJR111" s="38"/>
      <c r="AJS111" s="38"/>
      <c r="AJY111" s="36"/>
      <c r="AJZ111" s="38"/>
      <c r="AKA111" s="38"/>
      <c r="AKG111" s="36"/>
      <c r="AKH111" s="38"/>
      <c r="AKI111" s="38"/>
      <c r="AKO111" s="36"/>
      <c r="AKP111" s="38"/>
      <c r="AKQ111" s="38"/>
      <c r="AKW111" s="36"/>
      <c r="AKX111" s="38"/>
      <c r="AKY111" s="38"/>
      <c r="ALE111" s="36"/>
      <c r="ALF111" s="38"/>
      <c r="ALG111" s="38"/>
      <c r="ALM111" s="36"/>
      <c r="ALN111" s="38"/>
      <c r="ALO111" s="38"/>
      <c r="ALU111" s="36"/>
      <c r="ALV111" s="38"/>
      <c r="ALW111" s="38"/>
      <c r="AMC111" s="36"/>
      <c r="AMD111" s="38"/>
      <c r="AME111" s="38"/>
      <c r="AMK111" s="36"/>
      <c r="AML111" s="38"/>
      <c r="AMM111" s="38"/>
      <c r="AMS111" s="36"/>
      <c r="AMT111" s="38"/>
      <c r="AMU111" s="38"/>
      <c r="ANA111" s="36"/>
      <c r="ANB111" s="38"/>
      <c r="ANC111" s="38"/>
      <c r="ANI111" s="36"/>
      <c r="ANJ111" s="38"/>
      <c r="ANK111" s="38"/>
      <c r="ANQ111" s="36"/>
      <c r="ANR111" s="38"/>
      <c r="ANS111" s="38"/>
      <c r="ANY111" s="36"/>
      <c r="ANZ111" s="38"/>
      <c r="AOA111" s="38"/>
      <c r="AOG111" s="36"/>
      <c r="AOH111" s="38"/>
      <c r="AOI111" s="38"/>
      <c r="AOO111" s="36"/>
      <c r="AOP111" s="38"/>
      <c r="AOQ111" s="38"/>
      <c r="AOW111" s="36"/>
      <c r="AOX111" s="38"/>
      <c r="AOY111" s="38"/>
      <c r="APE111" s="36"/>
      <c r="APF111" s="38"/>
      <c r="APG111" s="38"/>
      <c r="APM111" s="36"/>
      <c r="APN111" s="38"/>
      <c r="APO111" s="38"/>
      <c r="APU111" s="36"/>
      <c r="APV111" s="38"/>
      <c r="APW111" s="38"/>
      <c r="AQC111" s="36"/>
      <c r="AQD111" s="38"/>
      <c r="AQE111" s="38"/>
      <c r="AQK111" s="36"/>
      <c r="AQL111" s="38"/>
      <c r="AQM111" s="38"/>
      <c r="AQS111" s="36"/>
      <c r="AQT111" s="38"/>
      <c r="AQU111" s="38"/>
      <c r="ARA111" s="36"/>
      <c r="ARB111" s="38"/>
      <c r="ARC111" s="38"/>
      <c r="ARI111" s="36"/>
      <c r="ARJ111" s="38"/>
      <c r="ARK111" s="38"/>
      <c r="ARQ111" s="36"/>
      <c r="ARR111" s="38"/>
      <c r="ARS111" s="38"/>
      <c r="ARY111" s="36"/>
      <c r="ARZ111" s="38"/>
      <c r="ASA111" s="38"/>
      <c r="ASG111" s="36"/>
      <c r="ASH111" s="38"/>
      <c r="ASI111" s="38"/>
      <c r="ASO111" s="36"/>
      <c r="ASP111" s="38"/>
      <c r="ASQ111" s="38"/>
      <c r="ASW111" s="36"/>
      <c r="ASX111" s="38"/>
      <c r="ASY111" s="38"/>
      <c r="ATE111" s="36"/>
      <c r="ATF111" s="38"/>
      <c r="ATG111" s="38"/>
      <c r="ATM111" s="36"/>
      <c r="ATN111" s="38"/>
      <c r="ATO111" s="38"/>
      <c r="ATU111" s="36"/>
      <c r="ATV111" s="38"/>
      <c r="ATW111" s="38"/>
      <c r="AUC111" s="36"/>
      <c r="AUD111" s="38"/>
      <c r="AUE111" s="38"/>
      <c r="AUK111" s="36"/>
      <c r="AUL111" s="38"/>
      <c r="AUM111" s="38"/>
      <c r="AUS111" s="36"/>
      <c r="AUT111" s="38"/>
      <c r="AUU111" s="38"/>
      <c r="AVA111" s="36"/>
      <c r="AVB111" s="38"/>
      <c r="AVC111" s="38"/>
      <c r="AVI111" s="36"/>
      <c r="AVJ111" s="38"/>
      <c r="AVK111" s="38"/>
      <c r="AVQ111" s="36"/>
      <c r="AVR111" s="38"/>
      <c r="AVS111" s="38"/>
      <c r="AVY111" s="36"/>
      <c r="AVZ111" s="38"/>
      <c r="AWA111" s="38"/>
      <c r="AWG111" s="36"/>
      <c r="AWH111" s="38"/>
      <c r="AWI111" s="38"/>
      <c r="AWO111" s="36"/>
      <c r="AWP111" s="38"/>
      <c r="AWQ111" s="38"/>
      <c r="AWW111" s="36"/>
      <c r="AWX111" s="38"/>
      <c r="AWY111" s="38"/>
      <c r="AXE111" s="36"/>
      <c r="AXF111" s="38"/>
      <c r="AXG111" s="38"/>
      <c r="AXM111" s="36"/>
      <c r="AXN111" s="38"/>
      <c r="AXO111" s="38"/>
      <c r="AXU111" s="36"/>
      <c r="AXV111" s="38"/>
      <c r="AXW111" s="38"/>
      <c r="AYC111" s="36"/>
      <c r="AYD111" s="38"/>
      <c r="AYE111" s="38"/>
      <c r="AYK111" s="36"/>
      <c r="AYL111" s="38"/>
      <c r="AYM111" s="38"/>
      <c r="AYS111" s="36"/>
      <c r="AYT111" s="38"/>
      <c r="AYU111" s="38"/>
      <c r="AZA111" s="36"/>
      <c r="AZB111" s="38"/>
      <c r="AZC111" s="38"/>
      <c r="AZI111" s="36"/>
      <c r="AZJ111" s="38"/>
      <c r="AZK111" s="38"/>
      <c r="AZQ111" s="36"/>
      <c r="AZR111" s="38"/>
      <c r="AZS111" s="38"/>
      <c r="AZY111" s="36"/>
      <c r="AZZ111" s="38"/>
      <c r="BAA111" s="38"/>
      <c r="BAG111" s="36"/>
      <c r="BAH111" s="38"/>
      <c r="BAI111" s="38"/>
      <c r="BAO111" s="36"/>
      <c r="BAP111" s="38"/>
      <c r="BAQ111" s="38"/>
      <c r="BAW111" s="36"/>
      <c r="BAX111" s="38"/>
      <c r="BAY111" s="38"/>
      <c r="BBE111" s="36"/>
      <c r="BBF111" s="38"/>
      <c r="BBG111" s="38"/>
      <c r="BBM111" s="36"/>
      <c r="BBN111" s="38"/>
      <c r="BBO111" s="38"/>
      <c r="BBU111" s="36"/>
      <c r="BBV111" s="38"/>
      <c r="BBW111" s="38"/>
      <c r="BCC111" s="36"/>
      <c r="BCD111" s="38"/>
      <c r="BCE111" s="38"/>
      <c r="BCK111" s="36"/>
      <c r="BCL111" s="38"/>
      <c r="BCM111" s="38"/>
      <c r="BCS111" s="36"/>
      <c r="BCT111" s="38"/>
      <c r="BCU111" s="38"/>
      <c r="BDA111" s="36"/>
      <c r="BDB111" s="38"/>
      <c r="BDC111" s="38"/>
      <c r="BDI111" s="36"/>
      <c r="BDJ111" s="38"/>
      <c r="BDK111" s="38"/>
      <c r="BDQ111" s="36"/>
      <c r="BDR111" s="38"/>
      <c r="BDS111" s="38"/>
      <c r="BDY111" s="36"/>
      <c r="BDZ111" s="38"/>
      <c r="BEA111" s="38"/>
      <c r="BEG111" s="36"/>
      <c r="BEH111" s="38"/>
      <c r="BEI111" s="38"/>
      <c r="BEO111" s="36"/>
      <c r="BEP111" s="38"/>
      <c r="BEQ111" s="38"/>
      <c r="BEW111" s="36"/>
      <c r="BEX111" s="38"/>
      <c r="BEY111" s="38"/>
      <c r="BFE111" s="36"/>
      <c r="BFF111" s="38"/>
      <c r="BFG111" s="38"/>
      <c r="BFM111" s="36"/>
      <c r="BFN111" s="38"/>
      <c r="BFO111" s="38"/>
      <c r="BFU111" s="36"/>
      <c r="BFV111" s="38"/>
      <c r="BFW111" s="38"/>
      <c r="BGC111" s="36"/>
      <c r="BGD111" s="38"/>
      <c r="BGE111" s="38"/>
      <c r="BGK111" s="36"/>
      <c r="BGL111" s="38"/>
      <c r="BGM111" s="38"/>
      <c r="BGS111" s="36"/>
      <c r="BGT111" s="38"/>
      <c r="BGU111" s="38"/>
      <c r="BHA111" s="36"/>
      <c r="BHB111" s="38"/>
      <c r="BHC111" s="38"/>
      <c r="BHI111" s="36"/>
      <c r="BHJ111" s="38"/>
      <c r="BHK111" s="38"/>
      <c r="BHQ111" s="36"/>
      <c r="BHR111" s="38"/>
      <c r="BHS111" s="38"/>
      <c r="BHY111" s="36"/>
      <c r="BHZ111" s="38"/>
      <c r="BIA111" s="38"/>
      <c r="BIG111" s="36"/>
      <c r="BIH111" s="38"/>
      <c r="BII111" s="38"/>
      <c r="BIO111" s="36"/>
      <c r="BIP111" s="38"/>
      <c r="BIQ111" s="38"/>
      <c r="BIW111" s="36"/>
      <c r="BIX111" s="38"/>
      <c r="BIY111" s="38"/>
      <c r="BJE111" s="36"/>
      <c r="BJF111" s="38"/>
      <c r="BJG111" s="38"/>
      <c r="BJM111" s="36"/>
      <c r="BJN111" s="38"/>
      <c r="BJO111" s="38"/>
      <c r="BJU111" s="36"/>
      <c r="BJV111" s="38"/>
      <c r="BJW111" s="38"/>
      <c r="BKC111" s="36"/>
      <c r="BKD111" s="38"/>
      <c r="BKE111" s="38"/>
      <c r="BKK111" s="36"/>
      <c r="BKL111" s="38"/>
      <c r="BKM111" s="38"/>
      <c r="BKS111" s="36"/>
      <c r="BKT111" s="38"/>
      <c r="BKU111" s="38"/>
      <c r="BLA111" s="36"/>
      <c r="BLB111" s="38"/>
      <c r="BLC111" s="38"/>
      <c r="BLI111" s="36"/>
      <c r="BLJ111" s="38"/>
      <c r="BLK111" s="38"/>
      <c r="BLQ111" s="36"/>
      <c r="BLR111" s="38"/>
      <c r="BLS111" s="38"/>
      <c r="BLY111" s="36"/>
      <c r="BLZ111" s="38"/>
      <c r="BMA111" s="38"/>
      <c r="BMG111" s="36"/>
      <c r="BMH111" s="38"/>
      <c r="BMI111" s="38"/>
      <c r="BMO111" s="36"/>
      <c r="BMP111" s="38"/>
      <c r="BMQ111" s="38"/>
      <c r="BMW111" s="36"/>
      <c r="BMX111" s="38"/>
      <c r="BMY111" s="38"/>
      <c r="BNE111" s="36"/>
      <c r="BNF111" s="38"/>
      <c r="BNG111" s="38"/>
      <c r="BNM111" s="36"/>
      <c r="BNN111" s="38"/>
      <c r="BNO111" s="38"/>
      <c r="BNU111" s="36"/>
      <c r="BNV111" s="38"/>
      <c r="BNW111" s="38"/>
      <c r="BOC111" s="36"/>
      <c r="BOD111" s="38"/>
      <c r="BOE111" s="38"/>
      <c r="BOK111" s="36"/>
      <c r="BOL111" s="38"/>
      <c r="BOM111" s="38"/>
      <c r="BOS111" s="36"/>
      <c r="BOT111" s="38"/>
      <c r="BOU111" s="38"/>
      <c r="BPA111" s="36"/>
      <c r="BPB111" s="38"/>
      <c r="BPC111" s="38"/>
      <c r="BPI111" s="36"/>
      <c r="BPJ111" s="38"/>
      <c r="BPK111" s="38"/>
      <c r="BPQ111" s="36"/>
      <c r="BPR111" s="38"/>
      <c r="BPS111" s="38"/>
      <c r="BPY111" s="36"/>
      <c r="BPZ111" s="38"/>
      <c r="BQA111" s="38"/>
      <c r="BQG111" s="36"/>
      <c r="BQH111" s="38"/>
      <c r="BQI111" s="38"/>
      <c r="BQO111" s="36"/>
      <c r="BQP111" s="38"/>
      <c r="BQQ111" s="38"/>
      <c r="BQW111" s="36"/>
      <c r="BQX111" s="38"/>
      <c r="BQY111" s="38"/>
      <c r="BRE111" s="36"/>
      <c r="BRF111" s="38"/>
      <c r="BRG111" s="38"/>
      <c r="BRM111" s="36"/>
      <c r="BRN111" s="38"/>
      <c r="BRO111" s="38"/>
      <c r="BRU111" s="36"/>
      <c r="BRV111" s="38"/>
      <c r="BRW111" s="38"/>
      <c r="BSC111" s="36"/>
      <c r="BSD111" s="38"/>
      <c r="BSE111" s="38"/>
      <c r="BSK111" s="36"/>
      <c r="BSL111" s="38"/>
      <c r="BSM111" s="38"/>
      <c r="BSS111" s="36"/>
      <c r="BST111" s="38"/>
      <c r="BSU111" s="38"/>
      <c r="BTA111" s="36"/>
      <c r="BTB111" s="38"/>
      <c r="BTC111" s="38"/>
      <c r="BTI111" s="36"/>
      <c r="BTJ111" s="38"/>
      <c r="BTK111" s="38"/>
      <c r="BTQ111" s="36"/>
      <c r="BTR111" s="38"/>
      <c r="BTS111" s="38"/>
      <c r="BTY111" s="36"/>
      <c r="BTZ111" s="38"/>
      <c r="BUA111" s="38"/>
      <c r="BUG111" s="36"/>
      <c r="BUH111" s="38"/>
      <c r="BUI111" s="38"/>
      <c r="BUO111" s="36"/>
      <c r="BUP111" s="38"/>
      <c r="BUQ111" s="38"/>
      <c r="BUW111" s="36"/>
      <c r="BUX111" s="38"/>
      <c r="BUY111" s="38"/>
      <c r="BVE111" s="36"/>
      <c r="BVF111" s="38"/>
      <c r="BVG111" s="38"/>
      <c r="BVM111" s="36"/>
      <c r="BVN111" s="38"/>
      <c r="BVO111" s="38"/>
      <c r="BVU111" s="36"/>
      <c r="BVV111" s="38"/>
      <c r="BVW111" s="38"/>
      <c r="BWC111" s="36"/>
      <c r="BWD111" s="38"/>
      <c r="BWE111" s="38"/>
      <c r="BWK111" s="36"/>
      <c r="BWL111" s="38"/>
      <c r="BWM111" s="38"/>
      <c r="BWS111" s="36"/>
      <c r="BWT111" s="38"/>
      <c r="BWU111" s="38"/>
      <c r="BXA111" s="36"/>
      <c r="BXB111" s="38"/>
      <c r="BXC111" s="38"/>
      <c r="BXI111" s="36"/>
      <c r="BXJ111" s="38"/>
      <c r="BXK111" s="38"/>
      <c r="BXQ111" s="36"/>
      <c r="BXR111" s="38"/>
      <c r="BXS111" s="38"/>
      <c r="BXY111" s="36"/>
      <c r="BXZ111" s="38"/>
      <c r="BYA111" s="38"/>
      <c r="BYG111" s="36"/>
      <c r="BYH111" s="38"/>
      <c r="BYI111" s="38"/>
      <c r="BYO111" s="36"/>
      <c r="BYP111" s="38"/>
      <c r="BYQ111" s="38"/>
      <c r="BYW111" s="36"/>
      <c r="BYX111" s="38"/>
      <c r="BYY111" s="38"/>
      <c r="BZE111" s="36"/>
      <c r="BZF111" s="38"/>
      <c r="BZG111" s="38"/>
      <c r="BZM111" s="36"/>
      <c r="BZN111" s="38"/>
      <c r="BZO111" s="38"/>
      <c r="BZU111" s="36"/>
      <c r="BZV111" s="38"/>
      <c r="BZW111" s="38"/>
      <c r="CAC111" s="36"/>
      <c r="CAD111" s="38"/>
      <c r="CAE111" s="38"/>
      <c r="CAK111" s="36"/>
      <c r="CAL111" s="38"/>
      <c r="CAM111" s="38"/>
      <c r="CAS111" s="36"/>
      <c r="CAT111" s="38"/>
      <c r="CAU111" s="38"/>
      <c r="CBA111" s="36"/>
      <c r="CBB111" s="38"/>
      <c r="CBC111" s="38"/>
      <c r="CBI111" s="36"/>
      <c r="CBJ111" s="38"/>
      <c r="CBK111" s="38"/>
      <c r="CBQ111" s="36"/>
      <c r="CBR111" s="38"/>
      <c r="CBS111" s="38"/>
      <c r="CBY111" s="36"/>
      <c r="CBZ111" s="38"/>
      <c r="CCA111" s="38"/>
      <c r="CCG111" s="36"/>
      <c r="CCH111" s="38"/>
      <c r="CCI111" s="38"/>
      <c r="CCO111" s="36"/>
      <c r="CCP111" s="38"/>
      <c r="CCQ111" s="38"/>
      <c r="CCW111" s="36"/>
      <c r="CCX111" s="38"/>
      <c r="CCY111" s="38"/>
      <c r="CDE111" s="36"/>
      <c r="CDF111" s="38"/>
      <c r="CDG111" s="38"/>
      <c r="CDM111" s="36"/>
      <c r="CDN111" s="38"/>
      <c r="CDO111" s="38"/>
      <c r="CDU111" s="36"/>
      <c r="CDV111" s="38"/>
      <c r="CDW111" s="38"/>
      <c r="CEC111" s="36"/>
      <c r="CED111" s="38"/>
      <c r="CEE111" s="38"/>
      <c r="CEK111" s="36"/>
      <c r="CEL111" s="38"/>
      <c r="CEM111" s="38"/>
      <c r="CES111" s="36"/>
      <c r="CET111" s="38"/>
      <c r="CEU111" s="38"/>
      <c r="CFA111" s="36"/>
      <c r="CFB111" s="38"/>
      <c r="CFC111" s="38"/>
      <c r="CFI111" s="36"/>
      <c r="CFJ111" s="38"/>
      <c r="CFK111" s="38"/>
      <c r="CFQ111" s="36"/>
      <c r="CFR111" s="38"/>
      <c r="CFS111" s="38"/>
      <c r="CFY111" s="36"/>
      <c r="CFZ111" s="38"/>
      <c r="CGA111" s="38"/>
      <c r="CGG111" s="36"/>
      <c r="CGH111" s="38"/>
      <c r="CGI111" s="38"/>
      <c r="CGO111" s="36"/>
      <c r="CGP111" s="38"/>
      <c r="CGQ111" s="38"/>
      <c r="CGW111" s="36"/>
      <c r="CGX111" s="38"/>
      <c r="CGY111" s="38"/>
      <c r="CHE111" s="36"/>
      <c r="CHF111" s="38"/>
      <c r="CHG111" s="38"/>
      <c r="CHM111" s="36"/>
      <c r="CHN111" s="38"/>
      <c r="CHO111" s="38"/>
      <c r="CHU111" s="36"/>
      <c r="CHV111" s="38"/>
      <c r="CHW111" s="38"/>
      <c r="CIC111" s="36"/>
      <c r="CID111" s="38"/>
      <c r="CIE111" s="38"/>
      <c r="CIK111" s="36"/>
      <c r="CIL111" s="38"/>
      <c r="CIM111" s="38"/>
      <c r="CIS111" s="36"/>
      <c r="CIT111" s="38"/>
      <c r="CIU111" s="38"/>
      <c r="CJA111" s="36"/>
      <c r="CJB111" s="38"/>
      <c r="CJC111" s="38"/>
      <c r="CJI111" s="36"/>
      <c r="CJJ111" s="38"/>
      <c r="CJK111" s="38"/>
      <c r="CJQ111" s="36"/>
      <c r="CJR111" s="38"/>
      <c r="CJS111" s="38"/>
      <c r="CJY111" s="36"/>
      <c r="CJZ111" s="38"/>
      <c r="CKA111" s="38"/>
      <c r="CKG111" s="36"/>
      <c r="CKH111" s="38"/>
      <c r="CKI111" s="38"/>
      <c r="CKO111" s="36"/>
      <c r="CKP111" s="38"/>
      <c r="CKQ111" s="38"/>
      <c r="CKW111" s="36"/>
      <c r="CKX111" s="38"/>
      <c r="CKY111" s="38"/>
      <c r="CLE111" s="36"/>
      <c r="CLF111" s="38"/>
      <c r="CLG111" s="38"/>
      <c r="CLM111" s="36"/>
      <c r="CLN111" s="38"/>
      <c r="CLO111" s="38"/>
      <c r="CLU111" s="36"/>
      <c r="CLV111" s="38"/>
      <c r="CLW111" s="38"/>
      <c r="CMC111" s="36"/>
      <c r="CMD111" s="38"/>
      <c r="CME111" s="38"/>
      <c r="CMK111" s="36"/>
      <c r="CML111" s="38"/>
      <c r="CMM111" s="38"/>
      <c r="CMS111" s="36"/>
      <c r="CMT111" s="38"/>
      <c r="CMU111" s="38"/>
      <c r="CNA111" s="36"/>
      <c r="CNB111" s="38"/>
      <c r="CNC111" s="38"/>
      <c r="CNI111" s="36"/>
      <c r="CNJ111" s="38"/>
      <c r="CNK111" s="38"/>
      <c r="CNQ111" s="36"/>
      <c r="CNR111" s="38"/>
      <c r="CNS111" s="38"/>
      <c r="CNY111" s="36"/>
      <c r="CNZ111" s="38"/>
      <c r="COA111" s="38"/>
      <c r="COG111" s="36"/>
      <c r="COH111" s="38"/>
      <c r="COI111" s="38"/>
      <c r="COO111" s="36"/>
      <c r="COP111" s="38"/>
      <c r="COQ111" s="38"/>
      <c r="COW111" s="36"/>
      <c r="COX111" s="38"/>
      <c r="COY111" s="38"/>
      <c r="CPE111" s="36"/>
      <c r="CPF111" s="38"/>
      <c r="CPG111" s="38"/>
      <c r="CPM111" s="36"/>
      <c r="CPN111" s="38"/>
      <c r="CPO111" s="38"/>
      <c r="CPU111" s="36"/>
      <c r="CPV111" s="38"/>
      <c r="CPW111" s="38"/>
      <c r="CQC111" s="36"/>
      <c r="CQD111" s="38"/>
      <c r="CQE111" s="38"/>
      <c r="CQK111" s="36"/>
      <c r="CQL111" s="38"/>
      <c r="CQM111" s="38"/>
      <c r="CQS111" s="36"/>
      <c r="CQT111" s="38"/>
      <c r="CQU111" s="38"/>
      <c r="CRA111" s="36"/>
      <c r="CRB111" s="38"/>
      <c r="CRC111" s="38"/>
      <c r="CRI111" s="36"/>
      <c r="CRJ111" s="38"/>
      <c r="CRK111" s="38"/>
      <c r="CRQ111" s="36"/>
      <c r="CRR111" s="38"/>
      <c r="CRS111" s="38"/>
      <c r="CRY111" s="36"/>
      <c r="CRZ111" s="38"/>
      <c r="CSA111" s="38"/>
      <c r="CSG111" s="36"/>
      <c r="CSH111" s="38"/>
      <c r="CSI111" s="38"/>
      <c r="CSO111" s="36"/>
      <c r="CSP111" s="38"/>
      <c r="CSQ111" s="38"/>
      <c r="CSW111" s="36"/>
      <c r="CSX111" s="38"/>
      <c r="CSY111" s="38"/>
      <c r="CTE111" s="36"/>
      <c r="CTF111" s="38"/>
      <c r="CTG111" s="38"/>
      <c r="CTM111" s="36"/>
      <c r="CTN111" s="38"/>
      <c r="CTO111" s="38"/>
      <c r="CTU111" s="36"/>
      <c r="CTV111" s="38"/>
      <c r="CTW111" s="38"/>
      <c r="CUC111" s="36"/>
      <c r="CUD111" s="38"/>
      <c r="CUE111" s="38"/>
      <c r="CUK111" s="36"/>
      <c r="CUL111" s="38"/>
      <c r="CUM111" s="38"/>
      <c r="CUS111" s="36"/>
      <c r="CUT111" s="38"/>
      <c r="CUU111" s="38"/>
      <c r="CVA111" s="36"/>
      <c r="CVB111" s="38"/>
      <c r="CVC111" s="38"/>
      <c r="CVI111" s="36"/>
      <c r="CVJ111" s="38"/>
      <c r="CVK111" s="38"/>
      <c r="CVQ111" s="36"/>
      <c r="CVR111" s="38"/>
      <c r="CVS111" s="38"/>
      <c r="CVY111" s="36"/>
      <c r="CVZ111" s="38"/>
      <c r="CWA111" s="38"/>
      <c r="CWG111" s="36"/>
      <c r="CWH111" s="38"/>
      <c r="CWI111" s="38"/>
      <c r="CWO111" s="36"/>
      <c r="CWP111" s="38"/>
      <c r="CWQ111" s="38"/>
      <c r="CWW111" s="36"/>
      <c r="CWX111" s="38"/>
      <c r="CWY111" s="38"/>
      <c r="CXE111" s="36"/>
      <c r="CXF111" s="38"/>
      <c r="CXG111" s="38"/>
      <c r="CXM111" s="36"/>
      <c r="CXN111" s="38"/>
      <c r="CXO111" s="38"/>
      <c r="CXU111" s="36"/>
      <c r="CXV111" s="38"/>
      <c r="CXW111" s="38"/>
      <c r="CYC111" s="36"/>
      <c r="CYD111" s="38"/>
      <c r="CYE111" s="38"/>
      <c r="CYK111" s="36"/>
      <c r="CYL111" s="38"/>
      <c r="CYM111" s="38"/>
      <c r="CYS111" s="36"/>
      <c r="CYT111" s="38"/>
      <c r="CYU111" s="38"/>
      <c r="CZA111" s="36"/>
      <c r="CZB111" s="38"/>
      <c r="CZC111" s="38"/>
      <c r="CZI111" s="36"/>
      <c r="CZJ111" s="38"/>
      <c r="CZK111" s="38"/>
      <c r="CZQ111" s="36"/>
      <c r="CZR111" s="38"/>
      <c r="CZS111" s="38"/>
      <c r="CZY111" s="36"/>
      <c r="CZZ111" s="38"/>
      <c r="DAA111" s="38"/>
      <c r="DAG111" s="36"/>
      <c r="DAH111" s="38"/>
      <c r="DAI111" s="38"/>
      <c r="DAO111" s="36"/>
      <c r="DAP111" s="38"/>
      <c r="DAQ111" s="38"/>
      <c r="DAW111" s="36"/>
      <c r="DAX111" s="38"/>
      <c r="DAY111" s="38"/>
      <c r="DBE111" s="36"/>
      <c r="DBF111" s="38"/>
      <c r="DBG111" s="38"/>
      <c r="DBM111" s="36"/>
      <c r="DBN111" s="38"/>
      <c r="DBO111" s="38"/>
      <c r="DBU111" s="36"/>
      <c r="DBV111" s="38"/>
      <c r="DBW111" s="38"/>
      <c r="DCC111" s="36"/>
      <c r="DCD111" s="38"/>
      <c r="DCE111" s="38"/>
      <c r="DCK111" s="36"/>
      <c r="DCL111" s="38"/>
      <c r="DCM111" s="38"/>
      <c r="DCS111" s="36"/>
      <c r="DCT111" s="38"/>
      <c r="DCU111" s="38"/>
      <c r="DDA111" s="36"/>
      <c r="DDB111" s="38"/>
      <c r="DDC111" s="38"/>
      <c r="DDI111" s="36"/>
      <c r="DDJ111" s="38"/>
      <c r="DDK111" s="38"/>
      <c r="DDQ111" s="36"/>
      <c r="DDR111" s="38"/>
      <c r="DDS111" s="38"/>
      <c r="DDY111" s="36"/>
      <c r="DDZ111" s="38"/>
      <c r="DEA111" s="38"/>
      <c r="DEG111" s="36"/>
      <c r="DEH111" s="38"/>
      <c r="DEI111" s="38"/>
      <c r="DEO111" s="36"/>
      <c r="DEP111" s="38"/>
      <c r="DEQ111" s="38"/>
      <c r="DEW111" s="36"/>
      <c r="DEX111" s="38"/>
      <c r="DEY111" s="38"/>
      <c r="DFE111" s="36"/>
      <c r="DFF111" s="38"/>
      <c r="DFG111" s="38"/>
      <c r="DFM111" s="36"/>
      <c r="DFN111" s="38"/>
      <c r="DFO111" s="38"/>
      <c r="DFU111" s="36"/>
      <c r="DFV111" s="38"/>
      <c r="DFW111" s="38"/>
      <c r="DGC111" s="36"/>
      <c r="DGD111" s="38"/>
      <c r="DGE111" s="38"/>
      <c r="DGK111" s="36"/>
      <c r="DGL111" s="38"/>
      <c r="DGM111" s="38"/>
      <c r="DGS111" s="36"/>
      <c r="DGT111" s="38"/>
      <c r="DGU111" s="38"/>
      <c r="DHA111" s="36"/>
      <c r="DHB111" s="38"/>
      <c r="DHC111" s="38"/>
      <c r="DHI111" s="36"/>
      <c r="DHJ111" s="38"/>
      <c r="DHK111" s="38"/>
      <c r="DHQ111" s="36"/>
      <c r="DHR111" s="38"/>
      <c r="DHS111" s="38"/>
      <c r="DHY111" s="36"/>
      <c r="DHZ111" s="38"/>
      <c r="DIA111" s="38"/>
      <c r="DIG111" s="36"/>
      <c r="DIH111" s="38"/>
      <c r="DII111" s="38"/>
      <c r="DIO111" s="36"/>
      <c r="DIP111" s="38"/>
      <c r="DIQ111" s="38"/>
      <c r="DIW111" s="36"/>
      <c r="DIX111" s="38"/>
      <c r="DIY111" s="38"/>
      <c r="DJE111" s="36"/>
      <c r="DJF111" s="38"/>
      <c r="DJG111" s="38"/>
      <c r="DJM111" s="36"/>
      <c r="DJN111" s="38"/>
      <c r="DJO111" s="38"/>
      <c r="DJU111" s="36"/>
      <c r="DJV111" s="38"/>
      <c r="DJW111" s="38"/>
      <c r="DKC111" s="36"/>
      <c r="DKD111" s="38"/>
      <c r="DKE111" s="38"/>
      <c r="DKK111" s="36"/>
      <c r="DKL111" s="38"/>
      <c r="DKM111" s="38"/>
      <c r="DKS111" s="36"/>
      <c r="DKT111" s="38"/>
      <c r="DKU111" s="38"/>
      <c r="DLA111" s="36"/>
      <c r="DLB111" s="38"/>
      <c r="DLC111" s="38"/>
      <c r="DLI111" s="36"/>
      <c r="DLJ111" s="38"/>
      <c r="DLK111" s="38"/>
      <c r="DLQ111" s="36"/>
      <c r="DLR111" s="38"/>
      <c r="DLS111" s="38"/>
      <c r="DLY111" s="36"/>
      <c r="DLZ111" s="38"/>
      <c r="DMA111" s="38"/>
      <c r="DMG111" s="36"/>
      <c r="DMH111" s="38"/>
      <c r="DMI111" s="38"/>
      <c r="DMO111" s="36"/>
      <c r="DMP111" s="38"/>
      <c r="DMQ111" s="38"/>
      <c r="DMW111" s="36"/>
      <c r="DMX111" s="38"/>
      <c r="DMY111" s="38"/>
      <c r="DNE111" s="36"/>
      <c r="DNF111" s="38"/>
      <c r="DNG111" s="38"/>
      <c r="DNM111" s="36"/>
      <c r="DNN111" s="38"/>
      <c r="DNO111" s="38"/>
      <c r="DNU111" s="36"/>
      <c r="DNV111" s="38"/>
      <c r="DNW111" s="38"/>
      <c r="DOC111" s="36"/>
      <c r="DOD111" s="38"/>
      <c r="DOE111" s="38"/>
      <c r="DOK111" s="36"/>
      <c r="DOL111" s="38"/>
      <c r="DOM111" s="38"/>
      <c r="DOS111" s="36"/>
      <c r="DOT111" s="38"/>
      <c r="DOU111" s="38"/>
      <c r="DPA111" s="36"/>
      <c r="DPB111" s="38"/>
      <c r="DPC111" s="38"/>
      <c r="DPI111" s="36"/>
      <c r="DPJ111" s="38"/>
      <c r="DPK111" s="38"/>
      <c r="DPQ111" s="36"/>
      <c r="DPR111" s="38"/>
      <c r="DPS111" s="38"/>
      <c r="DPY111" s="36"/>
      <c r="DPZ111" s="38"/>
      <c r="DQA111" s="38"/>
      <c r="DQG111" s="36"/>
      <c r="DQH111" s="38"/>
      <c r="DQI111" s="38"/>
      <c r="DQO111" s="36"/>
      <c r="DQP111" s="38"/>
      <c r="DQQ111" s="38"/>
      <c r="DQW111" s="36"/>
      <c r="DQX111" s="38"/>
      <c r="DQY111" s="38"/>
      <c r="DRE111" s="36"/>
      <c r="DRF111" s="38"/>
      <c r="DRG111" s="38"/>
      <c r="DRM111" s="36"/>
      <c r="DRN111" s="38"/>
      <c r="DRO111" s="38"/>
      <c r="DRU111" s="36"/>
      <c r="DRV111" s="38"/>
      <c r="DRW111" s="38"/>
      <c r="DSC111" s="36"/>
      <c r="DSD111" s="38"/>
      <c r="DSE111" s="38"/>
      <c r="DSK111" s="36"/>
      <c r="DSL111" s="38"/>
      <c r="DSM111" s="38"/>
      <c r="DSS111" s="36"/>
      <c r="DST111" s="38"/>
      <c r="DSU111" s="38"/>
      <c r="DTA111" s="36"/>
      <c r="DTB111" s="38"/>
      <c r="DTC111" s="38"/>
      <c r="DTI111" s="36"/>
      <c r="DTJ111" s="38"/>
      <c r="DTK111" s="38"/>
      <c r="DTQ111" s="36"/>
      <c r="DTR111" s="38"/>
      <c r="DTS111" s="38"/>
      <c r="DTY111" s="36"/>
      <c r="DTZ111" s="38"/>
      <c r="DUA111" s="38"/>
      <c r="DUG111" s="36"/>
      <c r="DUH111" s="38"/>
      <c r="DUI111" s="38"/>
      <c r="DUO111" s="36"/>
      <c r="DUP111" s="38"/>
      <c r="DUQ111" s="38"/>
      <c r="DUW111" s="36"/>
      <c r="DUX111" s="38"/>
      <c r="DUY111" s="38"/>
      <c r="DVE111" s="36"/>
      <c r="DVF111" s="38"/>
      <c r="DVG111" s="38"/>
      <c r="DVM111" s="36"/>
      <c r="DVN111" s="38"/>
      <c r="DVO111" s="38"/>
      <c r="DVU111" s="36"/>
      <c r="DVV111" s="38"/>
      <c r="DVW111" s="38"/>
      <c r="DWC111" s="36"/>
      <c r="DWD111" s="38"/>
      <c r="DWE111" s="38"/>
      <c r="DWK111" s="36"/>
      <c r="DWL111" s="38"/>
      <c r="DWM111" s="38"/>
      <c r="DWS111" s="36"/>
      <c r="DWT111" s="38"/>
      <c r="DWU111" s="38"/>
      <c r="DXA111" s="36"/>
      <c r="DXB111" s="38"/>
      <c r="DXC111" s="38"/>
      <c r="DXI111" s="36"/>
      <c r="DXJ111" s="38"/>
      <c r="DXK111" s="38"/>
      <c r="DXQ111" s="36"/>
      <c r="DXR111" s="38"/>
      <c r="DXS111" s="38"/>
      <c r="DXY111" s="36"/>
      <c r="DXZ111" s="38"/>
      <c r="DYA111" s="38"/>
      <c r="DYG111" s="36"/>
      <c r="DYH111" s="38"/>
      <c r="DYI111" s="38"/>
      <c r="DYO111" s="36"/>
      <c r="DYP111" s="38"/>
      <c r="DYQ111" s="38"/>
      <c r="DYW111" s="36"/>
      <c r="DYX111" s="38"/>
      <c r="DYY111" s="38"/>
      <c r="DZE111" s="36"/>
      <c r="DZF111" s="38"/>
      <c r="DZG111" s="38"/>
      <c r="DZM111" s="36"/>
      <c r="DZN111" s="38"/>
      <c r="DZO111" s="38"/>
      <c r="DZU111" s="36"/>
      <c r="DZV111" s="38"/>
      <c r="DZW111" s="38"/>
      <c r="EAC111" s="36"/>
      <c r="EAD111" s="38"/>
      <c r="EAE111" s="38"/>
      <c r="EAK111" s="36"/>
      <c r="EAL111" s="38"/>
      <c r="EAM111" s="38"/>
      <c r="EAS111" s="36"/>
      <c r="EAT111" s="38"/>
      <c r="EAU111" s="38"/>
      <c r="EBA111" s="36"/>
      <c r="EBB111" s="38"/>
      <c r="EBC111" s="38"/>
      <c r="EBI111" s="36"/>
      <c r="EBJ111" s="38"/>
      <c r="EBK111" s="38"/>
      <c r="EBQ111" s="36"/>
      <c r="EBR111" s="38"/>
      <c r="EBS111" s="38"/>
      <c r="EBY111" s="36"/>
      <c r="EBZ111" s="38"/>
      <c r="ECA111" s="38"/>
      <c r="ECG111" s="36"/>
      <c r="ECH111" s="38"/>
      <c r="ECI111" s="38"/>
      <c r="ECO111" s="36"/>
      <c r="ECP111" s="38"/>
      <c r="ECQ111" s="38"/>
      <c r="ECW111" s="36"/>
      <c r="ECX111" s="38"/>
      <c r="ECY111" s="38"/>
      <c r="EDE111" s="36"/>
      <c r="EDF111" s="38"/>
      <c r="EDG111" s="38"/>
      <c r="EDM111" s="36"/>
      <c r="EDN111" s="38"/>
      <c r="EDO111" s="38"/>
      <c r="EDU111" s="36"/>
      <c r="EDV111" s="38"/>
      <c r="EDW111" s="38"/>
      <c r="EEC111" s="36"/>
      <c r="EED111" s="38"/>
      <c r="EEE111" s="38"/>
      <c r="EEK111" s="36"/>
      <c r="EEL111" s="38"/>
      <c r="EEM111" s="38"/>
      <c r="EES111" s="36"/>
      <c r="EET111" s="38"/>
      <c r="EEU111" s="38"/>
      <c r="EFA111" s="36"/>
      <c r="EFB111" s="38"/>
      <c r="EFC111" s="38"/>
      <c r="EFI111" s="36"/>
      <c r="EFJ111" s="38"/>
      <c r="EFK111" s="38"/>
      <c r="EFQ111" s="36"/>
      <c r="EFR111" s="38"/>
      <c r="EFS111" s="38"/>
      <c r="EFY111" s="36"/>
      <c r="EFZ111" s="38"/>
      <c r="EGA111" s="38"/>
      <c r="EGG111" s="36"/>
      <c r="EGH111" s="38"/>
      <c r="EGI111" s="38"/>
      <c r="EGO111" s="36"/>
      <c r="EGP111" s="38"/>
      <c r="EGQ111" s="38"/>
      <c r="EGW111" s="36"/>
      <c r="EGX111" s="38"/>
      <c r="EGY111" s="38"/>
      <c r="EHE111" s="36"/>
      <c r="EHF111" s="38"/>
      <c r="EHG111" s="38"/>
      <c r="EHM111" s="36"/>
      <c r="EHN111" s="38"/>
      <c r="EHO111" s="38"/>
      <c r="EHU111" s="36"/>
      <c r="EHV111" s="38"/>
      <c r="EHW111" s="38"/>
      <c r="EIC111" s="36"/>
      <c r="EID111" s="38"/>
      <c r="EIE111" s="38"/>
      <c r="EIK111" s="36"/>
      <c r="EIL111" s="38"/>
      <c r="EIM111" s="38"/>
      <c r="EIS111" s="36"/>
      <c r="EIT111" s="38"/>
      <c r="EIU111" s="38"/>
      <c r="EJA111" s="36"/>
      <c r="EJB111" s="38"/>
      <c r="EJC111" s="38"/>
      <c r="EJI111" s="36"/>
      <c r="EJJ111" s="38"/>
      <c r="EJK111" s="38"/>
      <c r="EJQ111" s="36"/>
      <c r="EJR111" s="38"/>
      <c r="EJS111" s="38"/>
      <c r="EJY111" s="36"/>
      <c r="EJZ111" s="38"/>
      <c r="EKA111" s="38"/>
      <c r="EKG111" s="36"/>
      <c r="EKH111" s="38"/>
      <c r="EKI111" s="38"/>
      <c r="EKO111" s="36"/>
      <c r="EKP111" s="38"/>
      <c r="EKQ111" s="38"/>
      <c r="EKW111" s="36"/>
      <c r="EKX111" s="38"/>
      <c r="EKY111" s="38"/>
      <c r="ELE111" s="36"/>
      <c r="ELF111" s="38"/>
      <c r="ELG111" s="38"/>
      <c r="ELM111" s="36"/>
      <c r="ELN111" s="38"/>
      <c r="ELO111" s="38"/>
      <c r="ELU111" s="36"/>
      <c r="ELV111" s="38"/>
      <c r="ELW111" s="38"/>
      <c r="EMC111" s="36"/>
      <c r="EMD111" s="38"/>
      <c r="EME111" s="38"/>
      <c r="EMK111" s="36"/>
      <c r="EML111" s="38"/>
      <c r="EMM111" s="38"/>
      <c r="EMS111" s="36"/>
      <c r="EMT111" s="38"/>
      <c r="EMU111" s="38"/>
      <c r="ENA111" s="36"/>
      <c r="ENB111" s="38"/>
      <c r="ENC111" s="38"/>
      <c r="ENI111" s="36"/>
      <c r="ENJ111" s="38"/>
      <c r="ENK111" s="38"/>
      <c r="ENQ111" s="36"/>
      <c r="ENR111" s="38"/>
      <c r="ENS111" s="38"/>
      <c r="ENY111" s="36"/>
      <c r="ENZ111" s="38"/>
      <c r="EOA111" s="38"/>
      <c r="EOG111" s="36"/>
      <c r="EOH111" s="38"/>
      <c r="EOI111" s="38"/>
      <c r="EOO111" s="36"/>
      <c r="EOP111" s="38"/>
      <c r="EOQ111" s="38"/>
      <c r="EOW111" s="36"/>
      <c r="EOX111" s="38"/>
      <c r="EOY111" s="38"/>
      <c r="EPE111" s="36"/>
      <c r="EPF111" s="38"/>
      <c r="EPG111" s="38"/>
      <c r="EPM111" s="36"/>
      <c r="EPN111" s="38"/>
      <c r="EPO111" s="38"/>
      <c r="EPU111" s="36"/>
      <c r="EPV111" s="38"/>
      <c r="EPW111" s="38"/>
      <c r="EQC111" s="36"/>
      <c r="EQD111" s="38"/>
      <c r="EQE111" s="38"/>
      <c r="EQK111" s="36"/>
      <c r="EQL111" s="38"/>
      <c r="EQM111" s="38"/>
      <c r="EQS111" s="36"/>
      <c r="EQT111" s="38"/>
      <c r="EQU111" s="38"/>
      <c r="ERA111" s="36"/>
      <c r="ERB111" s="38"/>
      <c r="ERC111" s="38"/>
      <c r="ERI111" s="36"/>
      <c r="ERJ111" s="38"/>
      <c r="ERK111" s="38"/>
      <c r="ERQ111" s="36"/>
      <c r="ERR111" s="38"/>
      <c r="ERS111" s="38"/>
      <c r="ERY111" s="36"/>
      <c r="ERZ111" s="38"/>
      <c r="ESA111" s="38"/>
      <c r="ESG111" s="36"/>
      <c r="ESH111" s="38"/>
      <c r="ESI111" s="38"/>
      <c r="ESO111" s="36"/>
      <c r="ESP111" s="38"/>
      <c r="ESQ111" s="38"/>
      <c r="ESW111" s="36"/>
      <c r="ESX111" s="38"/>
      <c r="ESY111" s="38"/>
      <c r="ETE111" s="36"/>
      <c r="ETF111" s="38"/>
      <c r="ETG111" s="38"/>
      <c r="ETM111" s="36"/>
      <c r="ETN111" s="38"/>
      <c r="ETO111" s="38"/>
      <c r="ETU111" s="36"/>
      <c r="ETV111" s="38"/>
      <c r="ETW111" s="38"/>
      <c r="EUC111" s="36"/>
      <c r="EUD111" s="38"/>
      <c r="EUE111" s="38"/>
      <c r="EUK111" s="36"/>
      <c r="EUL111" s="38"/>
      <c r="EUM111" s="38"/>
      <c r="EUS111" s="36"/>
      <c r="EUT111" s="38"/>
      <c r="EUU111" s="38"/>
      <c r="EVA111" s="36"/>
      <c r="EVB111" s="38"/>
      <c r="EVC111" s="38"/>
      <c r="EVI111" s="36"/>
      <c r="EVJ111" s="38"/>
      <c r="EVK111" s="38"/>
      <c r="EVQ111" s="36"/>
      <c r="EVR111" s="38"/>
      <c r="EVS111" s="38"/>
      <c r="EVY111" s="36"/>
      <c r="EVZ111" s="38"/>
      <c r="EWA111" s="38"/>
      <c r="EWG111" s="36"/>
      <c r="EWH111" s="38"/>
      <c r="EWI111" s="38"/>
      <c r="EWO111" s="36"/>
      <c r="EWP111" s="38"/>
      <c r="EWQ111" s="38"/>
      <c r="EWW111" s="36"/>
      <c r="EWX111" s="38"/>
      <c r="EWY111" s="38"/>
      <c r="EXE111" s="36"/>
      <c r="EXF111" s="38"/>
      <c r="EXG111" s="38"/>
      <c r="EXM111" s="36"/>
      <c r="EXN111" s="38"/>
      <c r="EXO111" s="38"/>
      <c r="EXU111" s="36"/>
      <c r="EXV111" s="38"/>
      <c r="EXW111" s="38"/>
      <c r="EYC111" s="36"/>
      <c r="EYD111" s="38"/>
      <c r="EYE111" s="38"/>
      <c r="EYK111" s="36"/>
      <c r="EYL111" s="38"/>
      <c r="EYM111" s="38"/>
      <c r="EYS111" s="36"/>
      <c r="EYT111" s="38"/>
      <c r="EYU111" s="38"/>
      <c r="EZA111" s="36"/>
      <c r="EZB111" s="38"/>
      <c r="EZC111" s="38"/>
      <c r="EZI111" s="36"/>
      <c r="EZJ111" s="38"/>
      <c r="EZK111" s="38"/>
      <c r="EZQ111" s="36"/>
      <c r="EZR111" s="38"/>
      <c r="EZS111" s="38"/>
      <c r="EZY111" s="36"/>
      <c r="EZZ111" s="38"/>
      <c r="FAA111" s="38"/>
      <c r="FAG111" s="36"/>
      <c r="FAH111" s="38"/>
      <c r="FAI111" s="38"/>
      <c r="FAO111" s="36"/>
      <c r="FAP111" s="38"/>
      <c r="FAQ111" s="38"/>
      <c r="FAW111" s="36"/>
      <c r="FAX111" s="38"/>
      <c r="FAY111" s="38"/>
      <c r="FBE111" s="36"/>
      <c r="FBF111" s="38"/>
      <c r="FBG111" s="38"/>
      <c r="FBM111" s="36"/>
      <c r="FBN111" s="38"/>
      <c r="FBO111" s="38"/>
      <c r="FBU111" s="36"/>
      <c r="FBV111" s="38"/>
      <c r="FBW111" s="38"/>
      <c r="FCC111" s="36"/>
      <c r="FCD111" s="38"/>
      <c r="FCE111" s="38"/>
      <c r="FCK111" s="36"/>
      <c r="FCL111" s="38"/>
      <c r="FCM111" s="38"/>
      <c r="FCS111" s="36"/>
      <c r="FCT111" s="38"/>
      <c r="FCU111" s="38"/>
      <c r="FDA111" s="36"/>
      <c r="FDB111" s="38"/>
      <c r="FDC111" s="38"/>
      <c r="FDI111" s="36"/>
      <c r="FDJ111" s="38"/>
      <c r="FDK111" s="38"/>
      <c r="FDQ111" s="36"/>
      <c r="FDR111" s="38"/>
      <c r="FDS111" s="38"/>
      <c r="FDY111" s="36"/>
      <c r="FDZ111" s="38"/>
      <c r="FEA111" s="38"/>
      <c r="FEG111" s="36"/>
      <c r="FEH111" s="38"/>
      <c r="FEI111" s="38"/>
      <c r="FEO111" s="36"/>
      <c r="FEP111" s="38"/>
      <c r="FEQ111" s="38"/>
      <c r="FEW111" s="36"/>
      <c r="FEX111" s="38"/>
      <c r="FEY111" s="38"/>
      <c r="FFE111" s="36"/>
      <c r="FFF111" s="38"/>
      <c r="FFG111" s="38"/>
      <c r="FFM111" s="36"/>
      <c r="FFN111" s="38"/>
      <c r="FFO111" s="38"/>
      <c r="FFU111" s="36"/>
      <c r="FFV111" s="38"/>
      <c r="FFW111" s="38"/>
      <c r="FGC111" s="36"/>
      <c r="FGD111" s="38"/>
      <c r="FGE111" s="38"/>
      <c r="FGK111" s="36"/>
      <c r="FGL111" s="38"/>
      <c r="FGM111" s="38"/>
      <c r="FGS111" s="36"/>
      <c r="FGT111" s="38"/>
      <c r="FGU111" s="38"/>
      <c r="FHA111" s="36"/>
      <c r="FHB111" s="38"/>
      <c r="FHC111" s="38"/>
      <c r="FHI111" s="36"/>
      <c r="FHJ111" s="38"/>
      <c r="FHK111" s="38"/>
      <c r="FHQ111" s="36"/>
      <c r="FHR111" s="38"/>
      <c r="FHS111" s="38"/>
      <c r="FHY111" s="36"/>
      <c r="FHZ111" s="38"/>
      <c r="FIA111" s="38"/>
      <c r="FIG111" s="36"/>
      <c r="FIH111" s="38"/>
      <c r="FII111" s="38"/>
      <c r="FIO111" s="36"/>
      <c r="FIP111" s="38"/>
      <c r="FIQ111" s="38"/>
      <c r="FIW111" s="36"/>
      <c r="FIX111" s="38"/>
      <c r="FIY111" s="38"/>
      <c r="FJE111" s="36"/>
      <c r="FJF111" s="38"/>
      <c r="FJG111" s="38"/>
      <c r="FJM111" s="36"/>
      <c r="FJN111" s="38"/>
      <c r="FJO111" s="38"/>
      <c r="FJU111" s="36"/>
      <c r="FJV111" s="38"/>
      <c r="FJW111" s="38"/>
      <c r="FKC111" s="36"/>
      <c r="FKD111" s="38"/>
      <c r="FKE111" s="38"/>
      <c r="FKK111" s="36"/>
      <c r="FKL111" s="38"/>
      <c r="FKM111" s="38"/>
      <c r="FKS111" s="36"/>
      <c r="FKT111" s="38"/>
      <c r="FKU111" s="38"/>
      <c r="FLA111" s="36"/>
      <c r="FLB111" s="38"/>
      <c r="FLC111" s="38"/>
      <c r="FLI111" s="36"/>
      <c r="FLJ111" s="38"/>
      <c r="FLK111" s="38"/>
      <c r="FLQ111" s="36"/>
      <c r="FLR111" s="38"/>
      <c r="FLS111" s="38"/>
      <c r="FLY111" s="36"/>
      <c r="FLZ111" s="38"/>
      <c r="FMA111" s="38"/>
      <c r="FMG111" s="36"/>
      <c r="FMH111" s="38"/>
      <c r="FMI111" s="38"/>
      <c r="FMO111" s="36"/>
      <c r="FMP111" s="38"/>
      <c r="FMQ111" s="38"/>
      <c r="FMW111" s="36"/>
      <c r="FMX111" s="38"/>
      <c r="FMY111" s="38"/>
      <c r="FNE111" s="36"/>
      <c r="FNF111" s="38"/>
      <c r="FNG111" s="38"/>
      <c r="FNM111" s="36"/>
      <c r="FNN111" s="38"/>
      <c r="FNO111" s="38"/>
      <c r="FNU111" s="36"/>
      <c r="FNV111" s="38"/>
      <c r="FNW111" s="38"/>
      <c r="FOC111" s="36"/>
      <c r="FOD111" s="38"/>
      <c r="FOE111" s="38"/>
      <c r="FOK111" s="36"/>
      <c r="FOL111" s="38"/>
      <c r="FOM111" s="38"/>
      <c r="FOS111" s="36"/>
      <c r="FOT111" s="38"/>
      <c r="FOU111" s="38"/>
      <c r="FPA111" s="36"/>
      <c r="FPB111" s="38"/>
      <c r="FPC111" s="38"/>
      <c r="FPI111" s="36"/>
      <c r="FPJ111" s="38"/>
      <c r="FPK111" s="38"/>
      <c r="FPQ111" s="36"/>
      <c r="FPR111" s="38"/>
      <c r="FPS111" s="38"/>
      <c r="FPY111" s="36"/>
      <c r="FPZ111" s="38"/>
      <c r="FQA111" s="38"/>
      <c r="FQG111" s="36"/>
      <c r="FQH111" s="38"/>
      <c r="FQI111" s="38"/>
      <c r="FQO111" s="36"/>
      <c r="FQP111" s="38"/>
      <c r="FQQ111" s="38"/>
      <c r="FQW111" s="36"/>
      <c r="FQX111" s="38"/>
      <c r="FQY111" s="38"/>
      <c r="FRE111" s="36"/>
      <c r="FRF111" s="38"/>
      <c r="FRG111" s="38"/>
      <c r="FRM111" s="36"/>
      <c r="FRN111" s="38"/>
      <c r="FRO111" s="38"/>
      <c r="FRU111" s="36"/>
      <c r="FRV111" s="38"/>
      <c r="FRW111" s="38"/>
      <c r="FSC111" s="36"/>
      <c r="FSD111" s="38"/>
      <c r="FSE111" s="38"/>
      <c r="FSK111" s="36"/>
      <c r="FSL111" s="38"/>
      <c r="FSM111" s="38"/>
      <c r="FSS111" s="36"/>
      <c r="FST111" s="38"/>
      <c r="FSU111" s="38"/>
      <c r="FTA111" s="36"/>
      <c r="FTB111" s="38"/>
      <c r="FTC111" s="38"/>
      <c r="FTI111" s="36"/>
      <c r="FTJ111" s="38"/>
      <c r="FTK111" s="38"/>
      <c r="FTQ111" s="36"/>
      <c r="FTR111" s="38"/>
      <c r="FTS111" s="38"/>
      <c r="FTY111" s="36"/>
      <c r="FTZ111" s="38"/>
      <c r="FUA111" s="38"/>
      <c r="FUG111" s="36"/>
      <c r="FUH111" s="38"/>
      <c r="FUI111" s="38"/>
      <c r="FUO111" s="36"/>
      <c r="FUP111" s="38"/>
      <c r="FUQ111" s="38"/>
      <c r="FUW111" s="36"/>
      <c r="FUX111" s="38"/>
      <c r="FUY111" s="38"/>
      <c r="FVE111" s="36"/>
      <c r="FVF111" s="38"/>
      <c r="FVG111" s="38"/>
      <c r="FVM111" s="36"/>
      <c r="FVN111" s="38"/>
      <c r="FVO111" s="38"/>
      <c r="FVU111" s="36"/>
      <c r="FVV111" s="38"/>
      <c r="FVW111" s="38"/>
      <c r="FWC111" s="36"/>
      <c r="FWD111" s="38"/>
      <c r="FWE111" s="38"/>
      <c r="FWK111" s="36"/>
      <c r="FWL111" s="38"/>
      <c r="FWM111" s="38"/>
      <c r="FWS111" s="36"/>
      <c r="FWT111" s="38"/>
      <c r="FWU111" s="38"/>
      <c r="FXA111" s="36"/>
      <c r="FXB111" s="38"/>
      <c r="FXC111" s="38"/>
      <c r="FXI111" s="36"/>
      <c r="FXJ111" s="38"/>
      <c r="FXK111" s="38"/>
      <c r="FXQ111" s="36"/>
      <c r="FXR111" s="38"/>
      <c r="FXS111" s="38"/>
      <c r="FXY111" s="36"/>
      <c r="FXZ111" s="38"/>
      <c r="FYA111" s="38"/>
      <c r="FYG111" s="36"/>
      <c r="FYH111" s="38"/>
      <c r="FYI111" s="38"/>
      <c r="FYO111" s="36"/>
      <c r="FYP111" s="38"/>
      <c r="FYQ111" s="38"/>
      <c r="FYW111" s="36"/>
      <c r="FYX111" s="38"/>
      <c r="FYY111" s="38"/>
      <c r="FZE111" s="36"/>
      <c r="FZF111" s="38"/>
      <c r="FZG111" s="38"/>
      <c r="FZM111" s="36"/>
      <c r="FZN111" s="38"/>
      <c r="FZO111" s="38"/>
      <c r="FZU111" s="36"/>
      <c r="FZV111" s="38"/>
      <c r="FZW111" s="38"/>
      <c r="GAC111" s="36"/>
      <c r="GAD111" s="38"/>
      <c r="GAE111" s="38"/>
      <c r="GAK111" s="36"/>
      <c r="GAL111" s="38"/>
      <c r="GAM111" s="38"/>
      <c r="GAS111" s="36"/>
      <c r="GAT111" s="38"/>
      <c r="GAU111" s="38"/>
      <c r="GBA111" s="36"/>
      <c r="GBB111" s="38"/>
      <c r="GBC111" s="38"/>
      <c r="GBI111" s="36"/>
      <c r="GBJ111" s="38"/>
      <c r="GBK111" s="38"/>
      <c r="GBQ111" s="36"/>
      <c r="GBR111" s="38"/>
      <c r="GBS111" s="38"/>
      <c r="GBY111" s="36"/>
      <c r="GBZ111" s="38"/>
      <c r="GCA111" s="38"/>
      <c r="GCG111" s="36"/>
      <c r="GCH111" s="38"/>
      <c r="GCI111" s="38"/>
      <c r="GCO111" s="36"/>
      <c r="GCP111" s="38"/>
      <c r="GCQ111" s="38"/>
      <c r="GCW111" s="36"/>
      <c r="GCX111" s="38"/>
      <c r="GCY111" s="38"/>
      <c r="GDE111" s="36"/>
      <c r="GDF111" s="38"/>
      <c r="GDG111" s="38"/>
      <c r="GDM111" s="36"/>
      <c r="GDN111" s="38"/>
      <c r="GDO111" s="38"/>
      <c r="GDU111" s="36"/>
      <c r="GDV111" s="38"/>
      <c r="GDW111" s="38"/>
      <c r="GEC111" s="36"/>
      <c r="GED111" s="38"/>
      <c r="GEE111" s="38"/>
      <c r="GEK111" s="36"/>
      <c r="GEL111" s="38"/>
      <c r="GEM111" s="38"/>
      <c r="GES111" s="36"/>
      <c r="GET111" s="38"/>
      <c r="GEU111" s="38"/>
      <c r="GFA111" s="36"/>
      <c r="GFB111" s="38"/>
      <c r="GFC111" s="38"/>
      <c r="GFI111" s="36"/>
      <c r="GFJ111" s="38"/>
      <c r="GFK111" s="38"/>
      <c r="GFQ111" s="36"/>
      <c r="GFR111" s="38"/>
      <c r="GFS111" s="38"/>
      <c r="GFY111" s="36"/>
      <c r="GFZ111" s="38"/>
      <c r="GGA111" s="38"/>
      <c r="GGG111" s="36"/>
      <c r="GGH111" s="38"/>
      <c r="GGI111" s="38"/>
      <c r="GGO111" s="36"/>
      <c r="GGP111" s="38"/>
      <c r="GGQ111" s="38"/>
      <c r="GGW111" s="36"/>
      <c r="GGX111" s="38"/>
      <c r="GGY111" s="38"/>
      <c r="GHE111" s="36"/>
      <c r="GHF111" s="38"/>
      <c r="GHG111" s="38"/>
      <c r="GHM111" s="36"/>
      <c r="GHN111" s="38"/>
      <c r="GHO111" s="38"/>
      <c r="GHU111" s="36"/>
      <c r="GHV111" s="38"/>
      <c r="GHW111" s="38"/>
      <c r="GIC111" s="36"/>
      <c r="GID111" s="38"/>
      <c r="GIE111" s="38"/>
      <c r="GIK111" s="36"/>
      <c r="GIL111" s="38"/>
      <c r="GIM111" s="38"/>
      <c r="GIS111" s="36"/>
      <c r="GIT111" s="38"/>
      <c r="GIU111" s="38"/>
      <c r="GJA111" s="36"/>
      <c r="GJB111" s="38"/>
      <c r="GJC111" s="38"/>
      <c r="GJI111" s="36"/>
      <c r="GJJ111" s="38"/>
      <c r="GJK111" s="38"/>
      <c r="GJQ111" s="36"/>
      <c r="GJR111" s="38"/>
      <c r="GJS111" s="38"/>
      <c r="GJY111" s="36"/>
      <c r="GJZ111" s="38"/>
      <c r="GKA111" s="38"/>
      <c r="GKG111" s="36"/>
      <c r="GKH111" s="38"/>
      <c r="GKI111" s="38"/>
      <c r="GKO111" s="36"/>
      <c r="GKP111" s="38"/>
      <c r="GKQ111" s="38"/>
      <c r="GKW111" s="36"/>
      <c r="GKX111" s="38"/>
      <c r="GKY111" s="38"/>
      <c r="GLE111" s="36"/>
      <c r="GLF111" s="38"/>
      <c r="GLG111" s="38"/>
      <c r="GLM111" s="36"/>
      <c r="GLN111" s="38"/>
      <c r="GLO111" s="38"/>
      <c r="GLU111" s="36"/>
      <c r="GLV111" s="38"/>
      <c r="GLW111" s="38"/>
      <c r="GMC111" s="36"/>
      <c r="GMD111" s="38"/>
      <c r="GME111" s="38"/>
      <c r="GMK111" s="36"/>
      <c r="GML111" s="38"/>
      <c r="GMM111" s="38"/>
      <c r="GMS111" s="36"/>
      <c r="GMT111" s="38"/>
      <c r="GMU111" s="38"/>
      <c r="GNA111" s="36"/>
      <c r="GNB111" s="38"/>
      <c r="GNC111" s="38"/>
      <c r="GNI111" s="36"/>
      <c r="GNJ111" s="38"/>
      <c r="GNK111" s="38"/>
      <c r="GNQ111" s="36"/>
      <c r="GNR111" s="38"/>
      <c r="GNS111" s="38"/>
      <c r="GNY111" s="36"/>
      <c r="GNZ111" s="38"/>
      <c r="GOA111" s="38"/>
      <c r="GOG111" s="36"/>
      <c r="GOH111" s="38"/>
      <c r="GOI111" s="38"/>
      <c r="GOO111" s="36"/>
      <c r="GOP111" s="38"/>
      <c r="GOQ111" s="38"/>
      <c r="GOW111" s="36"/>
      <c r="GOX111" s="38"/>
      <c r="GOY111" s="38"/>
      <c r="GPE111" s="36"/>
      <c r="GPF111" s="38"/>
      <c r="GPG111" s="38"/>
      <c r="GPM111" s="36"/>
      <c r="GPN111" s="38"/>
      <c r="GPO111" s="38"/>
      <c r="GPU111" s="36"/>
      <c r="GPV111" s="38"/>
      <c r="GPW111" s="38"/>
      <c r="GQC111" s="36"/>
      <c r="GQD111" s="38"/>
      <c r="GQE111" s="38"/>
      <c r="GQK111" s="36"/>
      <c r="GQL111" s="38"/>
      <c r="GQM111" s="38"/>
      <c r="GQS111" s="36"/>
      <c r="GQT111" s="38"/>
      <c r="GQU111" s="38"/>
      <c r="GRA111" s="36"/>
      <c r="GRB111" s="38"/>
      <c r="GRC111" s="38"/>
      <c r="GRI111" s="36"/>
      <c r="GRJ111" s="38"/>
      <c r="GRK111" s="38"/>
      <c r="GRQ111" s="36"/>
      <c r="GRR111" s="38"/>
      <c r="GRS111" s="38"/>
      <c r="GRY111" s="36"/>
      <c r="GRZ111" s="38"/>
      <c r="GSA111" s="38"/>
      <c r="GSG111" s="36"/>
      <c r="GSH111" s="38"/>
      <c r="GSI111" s="38"/>
      <c r="GSO111" s="36"/>
      <c r="GSP111" s="38"/>
      <c r="GSQ111" s="38"/>
      <c r="GSW111" s="36"/>
      <c r="GSX111" s="38"/>
      <c r="GSY111" s="38"/>
      <c r="GTE111" s="36"/>
      <c r="GTF111" s="38"/>
      <c r="GTG111" s="38"/>
      <c r="GTM111" s="36"/>
      <c r="GTN111" s="38"/>
      <c r="GTO111" s="38"/>
      <c r="GTU111" s="36"/>
      <c r="GTV111" s="38"/>
      <c r="GTW111" s="38"/>
      <c r="GUC111" s="36"/>
      <c r="GUD111" s="38"/>
      <c r="GUE111" s="38"/>
      <c r="GUK111" s="36"/>
      <c r="GUL111" s="38"/>
      <c r="GUM111" s="38"/>
      <c r="GUS111" s="36"/>
      <c r="GUT111" s="38"/>
      <c r="GUU111" s="38"/>
      <c r="GVA111" s="36"/>
      <c r="GVB111" s="38"/>
      <c r="GVC111" s="38"/>
      <c r="GVI111" s="36"/>
      <c r="GVJ111" s="38"/>
      <c r="GVK111" s="38"/>
      <c r="GVQ111" s="36"/>
      <c r="GVR111" s="38"/>
      <c r="GVS111" s="38"/>
      <c r="GVY111" s="36"/>
      <c r="GVZ111" s="38"/>
      <c r="GWA111" s="38"/>
      <c r="GWG111" s="36"/>
      <c r="GWH111" s="38"/>
      <c r="GWI111" s="38"/>
      <c r="GWO111" s="36"/>
      <c r="GWP111" s="38"/>
      <c r="GWQ111" s="38"/>
      <c r="GWW111" s="36"/>
      <c r="GWX111" s="38"/>
      <c r="GWY111" s="38"/>
      <c r="GXE111" s="36"/>
      <c r="GXF111" s="38"/>
      <c r="GXG111" s="38"/>
      <c r="GXM111" s="36"/>
      <c r="GXN111" s="38"/>
      <c r="GXO111" s="38"/>
      <c r="GXU111" s="36"/>
      <c r="GXV111" s="38"/>
      <c r="GXW111" s="38"/>
      <c r="GYC111" s="36"/>
      <c r="GYD111" s="38"/>
      <c r="GYE111" s="38"/>
      <c r="GYK111" s="36"/>
      <c r="GYL111" s="38"/>
      <c r="GYM111" s="38"/>
      <c r="GYS111" s="36"/>
      <c r="GYT111" s="38"/>
      <c r="GYU111" s="38"/>
      <c r="GZA111" s="36"/>
      <c r="GZB111" s="38"/>
      <c r="GZC111" s="38"/>
      <c r="GZI111" s="36"/>
      <c r="GZJ111" s="38"/>
      <c r="GZK111" s="38"/>
      <c r="GZQ111" s="36"/>
      <c r="GZR111" s="38"/>
      <c r="GZS111" s="38"/>
      <c r="GZY111" s="36"/>
      <c r="GZZ111" s="38"/>
      <c r="HAA111" s="38"/>
      <c r="HAG111" s="36"/>
      <c r="HAH111" s="38"/>
      <c r="HAI111" s="38"/>
      <c r="HAO111" s="36"/>
      <c r="HAP111" s="38"/>
      <c r="HAQ111" s="38"/>
      <c r="HAW111" s="36"/>
      <c r="HAX111" s="38"/>
      <c r="HAY111" s="38"/>
      <c r="HBE111" s="36"/>
      <c r="HBF111" s="38"/>
      <c r="HBG111" s="38"/>
      <c r="HBM111" s="36"/>
      <c r="HBN111" s="38"/>
      <c r="HBO111" s="38"/>
      <c r="HBU111" s="36"/>
      <c r="HBV111" s="38"/>
      <c r="HBW111" s="38"/>
      <c r="HCC111" s="36"/>
      <c r="HCD111" s="38"/>
      <c r="HCE111" s="38"/>
      <c r="HCK111" s="36"/>
      <c r="HCL111" s="38"/>
      <c r="HCM111" s="38"/>
      <c r="HCS111" s="36"/>
      <c r="HCT111" s="38"/>
      <c r="HCU111" s="38"/>
      <c r="HDA111" s="36"/>
      <c r="HDB111" s="38"/>
      <c r="HDC111" s="38"/>
      <c r="HDI111" s="36"/>
      <c r="HDJ111" s="38"/>
      <c r="HDK111" s="38"/>
      <c r="HDQ111" s="36"/>
      <c r="HDR111" s="38"/>
      <c r="HDS111" s="38"/>
      <c r="HDY111" s="36"/>
      <c r="HDZ111" s="38"/>
      <c r="HEA111" s="38"/>
      <c r="HEG111" s="36"/>
      <c r="HEH111" s="38"/>
      <c r="HEI111" s="38"/>
      <c r="HEO111" s="36"/>
      <c r="HEP111" s="38"/>
      <c r="HEQ111" s="38"/>
      <c r="HEW111" s="36"/>
      <c r="HEX111" s="38"/>
      <c r="HEY111" s="38"/>
      <c r="HFE111" s="36"/>
      <c r="HFF111" s="38"/>
      <c r="HFG111" s="38"/>
      <c r="HFM111" s="36"/>
      <c r="HFN111" s="38"/>
      <c r="HFO111" s="38"/>
      <c r="HFU111" s="36"/>
      <c r="HFV111" s="38"/>
      <c r="HFW111" s="38"/>
      <c r="HGC111" s="36"/>
      <c r="HGD111" s="38"/>
      <c r="HGE111" s="38"/>
      <c r="HGK111" s="36"/>
      <c r="HGL111" s="38"/>
      <c r="HGM111" s="38"/>
      <c r="HGS111" s="36"/>
      <c r="HGT111" s="38"/>
      <c r="HGU111" s="38"/>
      <c r="HHA111" s="36"/>
      <c r="HHB111" s="38"/>
      <c r="HHC111" s="38"/>
      <c r="HHI111" s="36"/>
      <c r="HHJ111" s="38"/>
      <c r="HHK111" s="38"/>
      <c r="HHQ111" s="36"/>
      <c r="HHR111" s="38"/>
      <c r="HHS111" s="38"/>
      <c r="HHY111" s="36"/>
      <c r="HHZ111" s="38"/>
      <c r="HIA111" s="38"/>
      <c r="HIG111" s="36"/>
      <c r="HIH111" s="38"/>
      <c r="HII111" s="38"/>
      <c r="HIO111" s="36"/>
      <c r="HIP111" s="38"/>
      <c r="HIQ111" s="38"/>
      <c r="HIW111" s="36"/>
      <c r="HIX111" s="38"/>
      <c r="HIY111" s="38"/>
      <c r="HJE111" s="36"/>
      <c r="HJF111" s="38"/>
      <c r="HJG111" s="38"/>
      <c r="HJM111" s="36"/>
      <c r="HJN111" s="38"/>
      <c r="HJO111" s="38"/>
      <c r="HJU111" s="36"/>
      <c r="HJV111" s="38"/>
      <c r="HJW111" s="38"/>
      <c r="HKC111" s="36"/>
      <c r="HKD111" s="38"/>
      <c r="HKE111" s="38"/>
      <c r="HKK111" s="36"/>
      <c r="HKL111" s="38"/>
      <c r="HKM111" s="38"/>
      <c r="HKS111" s="36"/>
      <c r="HKT111" s="38"/>
      <c r="HKU111" s="38"/>
      <c r="HLA111" s="36"/>
      <c r="HLB111" s="38"/>
      <c r="HLC111" s="38"/>
      <c r="HLI111" s="36"/>
      <c r="HLJ111" s="38"/>
      <c r="HLK111" s="38"/>
      <c r="HLQ111" s="36"/>
      <c r="HLR111" s="38"/>
      <c r="HLS111" s="38"/>
      <c r="HLY111" s="36"/>
      <c r="HLZ111" s="38"/>
      <c r="HMA111" s="38"/>
      <c r="HMG111" s="36"/>
      <c r="HMH111" s="38"/>
      <c r="HMI111" s="38"/>
      <c r="HMO111" s="36"/>
      <c r="HMP111" s="38"/>
      <c r="HMQ111" s="38"/>
      <c r="HMW111" s="36"/>
      <c r="HMX111" s="38"/>
      <c r="HMY111" s="38"/>
      <c r="HNE111" s="36"/>
      <c r="HNF111" s="38"/>
      <c r="HNG111" s="38"/>
      <c r="HNM111" s="36"/>
      <c r="HNN111" s="38"/>
      <c r="HNO111" s="38"/>
      <c r="HNU111" s="36"/>
      <c r="HNV111" s="38"/>
      <c r="HNW111" s="38"/>
      <c r="HOC111" s="36"/>
      <c r="HOD111" s="38"/>
      <c r="HOE111" s="38"/>
      <c r="HOK111" s="36"/>
      <c r="HOL111" s="38"/>
      <c r="HOM111" s="38"/>
      <c r="HOS111" s="36"/>
      <c r="HOT111" s="38"/>
      <c r="HOU111" s="38"/>
      <c r="HPA111" s="36"/>
      <c r="HPB111" s="38"/>
      <c r="HPC111" s="38"/>
      <c r="HPI111" s="36"/>
      <c r="HPJ111" s="38"/>
      <c r="HPK111" s="38"/>
      <c r="HPQ111" s="36"/>
      <c r="HPR111" s="38"/>
      <c r="HPS111" s="38"/>
      <c r="HPY111" s="36"/>
      <c r="HPZ111" s="38"/>
      <c r="HQA111" s="38"/>
      <c r="HQG111" s="36"/>
      <c r="HQH111" s="38"/>
      <c r="HQI111" s="38"/>
      <c r="HQO111" s="36"/>
      <c r="HQP111" s="38"/>
      <c r="HQQ111" s="38"/>
      <c r="HQW111" s="36"/>
      <c r="HQX111" s="38"/>
      <c r="HQY111" s="38"/>
      <c r="HRE111" s="36"/>
      <c r="HRF111" s="38"/>
      <c r="HRG111" s="38"/>
      <c r="HRM111" s="36"/>
      <c r="HRN111" s="38"/>
      <c r="HRO111" s="38"/>
      <c r="HRU111" s="36"/>
      <c r="HRV111" s="38"/>
      <c r="HRW111" s="38"/>
      <c r="HSC111" s="36"/>
      <c r="HSD111" s="38"/>
      <c r="HSE111" s="38"/>
      <c r="HSK111" s="36"/>
      <c r="HSL111" s="38"/>
      <c r="HSM111" s="38"/>
      <c r="HSS111" s="36"/>
      <c r="HST111" s="38"/>
      <c r="HSU111" s="38"/>
      <c r="HTA111" s="36"/>
      <c r="HTB111" s="38"/>
      <c r="HTC111" s="38"/>
      <c r="HTI111" s="36"/>
      <c r="HTJ111" s="38"/>
      <c r="HTK111" s="38"/>
      <c r="HTQ111" s="36"/>
      <c r="HTR111" s="38"/>
      <c r="HTS111" s="38"/>
      <c r="HTY111" s="36"/>
      <c r="HTZ111" s="38"/>
      <c r="HUA111" s="38"/>
      <c r="HUG111" s="36"/>
      <c r="HUH111" s="38"/>
      <c r="HUI111" s="38"/>
      <c r="HUO111" s="36"/>
      <c r="HUP111" s="38"/>
      <c r="HUQ111" s="38"/>
      <c r="HUW111" s="36"/>
      <c r="HUX111" s="38"/>
      <c r="HUY111" s="38"/>
      <c r="HVE111" s="36"/>
      <c r="HVF111" s="38"/>
      <c r="HVG111" s="38"/>
      <c r="HVM111" s="36"/>
      <c r="HVN111" s="38"/>
      <c r="HVO111" s="38"/>
      <c r="HVU111" s="36"/>
      <c r="HVV111" s="38"/>
      <c r="HVW111" s="38"/>
      <c r="HWC111" s="36"/>
      <c r="HWD111" s="38"/>
      <c r="HWE111" s="38"/>
      <c r="HWK111" s="36"/>
      <c r="HWL111" s="38"/>
      <c r="HWM111" s="38"/>
      <c r="HWS111" s="36"/>
      <c r="HWT111" s="38"/>
      <c r="HWU111" s="38"/>
      <c r="HXA111" s="36"/>
      <c r="HXB111" s="38"/>
      <c r="HXC111" s="38"/>
      <c r="HXI111" s="36"/>
      <c r="HXJ111" s="38"/>
      <c r="HXK111" s="38"/>
      <c r="HXQ111" s="36"/>
      <c r="HXR111" s="38"/>
      <c r="HXS111" s="38"/>
      <c r="HXY111" s="36"/>
      <c r="HXZ111" s="38"/>
      <c r="HYA111" s="38"/>
      <c r="HYG111" s="36"/>
      <c r="HYH111" s="38"/>
      <c r="HYI111" s="38"/>
      <c r="HYO111" s="36"/>
      <c r="HYP111" s="38"/>
      <c r="HYQ111" s="38"/>
      <c r="HYW111" s="36"/>
      <c r="HYX111" s="38"/>
      <c r="HYY111" s="38"/>
      <c r="HZE111" s="36"/>
      <c r="HZF111" s="38"/>
      <c r="HZG111" s="38"/>
      <c r="HZM111" s="36"/>
      <c r="HZN111" s="38"/>
      <c r="HZO111" s="38"/>
      <c r="HZU111" s="36"/>
      <c r="HZV111" s="38"/>
      <c r="HZW111" s="38"/>
      <c r="IAC111" s="36"/>
      <c r="IAD111" s="38"/>
      <c r="IAE111" s="38"/>
      <c r="IAK111" s="36"/>
      <c r="IAL111" s="38"/>
      <c r="IAM111" s="38"/>
      <c r="IAS111" s="36"/>
      <c r="IAT111" s="38"/>
      <c r="IAU111" s="38"/>
      <c r="IBA111" s="36"/>
      <c r="IBB111" s="38"/>
      <c r="IBC111" s="38"/>
      <c r="IBI111" s="36"/>
      <c r="IBJ111" s="38"/>
      <c r="IBK111" s="38"/>
      <c r="IBQ111" s="36"/>
      <c r="IBR111" s="38"/>
      <c r="IBS111" s="38"/>
      <c r="IBY111" s="36"/>
      <c r="IBZ111" s="38"/>
      <c r="ICA111" s="38"/>
      <c r="ICG111" s="36"/>
      <c r="ICH111" s="38"/>
      <c r="ICI111" s="38"/>
      <c r="ICO111" s="36"/>
      <c r="ICP111" s="38"/>
      <c r="ICQ111" s="38"/>
      <c r="ICW111" s="36"/>
      <c r="ICX111" s="38"/>
      <c r="ICY111" s="38"/>
      <c r="IDE111" s="36"/>
      <c r="IDF111" s="38"/>
      <c r="IDG111" s="38"/>
      <c r="IDM111" s="36"/>
      <c r="IDN111" s="38"/>
      <c r="IDO111" s="38"/>
      <c r="IDU111" s="36"/>
      <c r="IDV111" s="38"/>
      <c r="IDW111" s="38"/>
      <c r="IEC111" s="36"/>
      <c r="IED111" s="38"/>
      <c r="IEE111" s="38"/>
      <c r="IEK111" s="36"/>
      <c r="IEL111" s="38"/>
      <c r="IEM111" s="38"/>
      <c r="IES111" s="36"/>
      <c r="IET111" s="38"/>
      <c r="IEU111" s="38"/>
      <c r="IFA111" s="36"/>
      <c r="IFB111" s="38"/>
      <c r="IFC111" s="38"/>
      <c r="IFI111" s="36"/>
      <c r="IFJ111" s="38"/>
      <c r="IFK111" s="38"/>
      <c r="IFQ111" s="36"/>
      <c r="IFR111" s="38"/>
      <c r="IFS111" s="38"/>
      <c r="IFY111" s="36"/>
      <c r="IFZ111" s="38"/>
      <c r="IGA111" s="38"/>
      <c r="IGG111" s="36"/>
      <c r="IGH111" s="38"/>
      <c r="IGI111" s="38"/>
      <c r="IGO111" s="36"/>
      <c r="IGP111" s="38"/>
      <c r="IGQ111" s="38"/>
      <c r="IGW111" s="36"/>
      <c r="IGX111" s="38"/>
      <c r="IGY111" s="38"/>
      <c r="IHE111" s="36"/>
      <c r="IHF111" s="38"/>
      <c r="IHG111" s="38"/>
      <c r="IHM111" s="36"/>
      <c r="IHN111" s="38"/>
      <c r="IHO111" s="38"/>
      <c r="IHU111" s="36"/>
      <c r="IHV111" s="38"/>
      <c r="IHW111" s="38"/>
      <c r="IIC111" s="36"/>
      <c r="IID111" s="38"/>
      <c r="IIE111" s="38"/>
      <c r="IIK111" s="36"/>
      <c r="IIL111" s="38"/>
      <c r="IIM111" s="38"/>
      <c r="IIS111" s="36"/>
      <c r="IIT111" s="38"/>
      <c r="IIU111" s="38"/>
      <c r="IJA111" s="36"/>
      <c r="IJB111" s="38"/>
      <c r="IJC111" s="38"/>
      <c r="IJI111" s="36"/>
      <c r="IJJ111" s="38"/>
      <c r="IJK111" s="38"/>
      <c r="IJQ111" s="36"/>
      <c r="IJR111" s="38"/>
      <c r="IJS111" s="38"/>
      <c r="IJY111" s="36"/>
      <c r="IJZ111" s="38"/>
      <c r="IKA111" s="38"/>
      <c r="IKG111" s="36"/>
      <c r="IKH111" s="38"/>
      <c r="IKI111" s="38"/>
      <c r="IKO111" s="36"/>
      <c r="IKP111" s="38"/>
      <c r="IKQ111" s="38"/>
      <c r="IKW111" s="36"/>
      <c r="IKX111" s="38"/>
      <c r="IKY111" s="38"/>
      <c r="ILE111" s="36"/>
      <c r="ILF111" s="38"/>
      <c r="ILG111" s="38"/>
      <c r="ILM111" s="36"/>
      <c r="ILN111" s="38"/>
      <c r="ILO111" s="38"/>
      <c r="ILU111" s="36"/>
      <c r="ILV111" s="38"/>
      <c r="ILW111" s="38"/>
      <c r="IMC111" s="36"/>
      <c r="IMD111" s="38"/>
      <c r="IME111" s="38"/>
      <c r="IMK111" s="36"/>
      <c r="IML111" s="38"/>
      <c r="IMM111" s="38"/>
      <c r="IMS111" s="36"/>
      <c r="IMT111" s="38"/>
      <c r="IMU111" s="38"/>
      <c r="INA111" s="36"/>
      <c r="INB111" s="38"/>
      <c r="INC111" s="38"/>
      <c r="INI111" s="36"/>
      <c r="INJ111" s="38"/>
      <c r="INK111" s="38"/>
      <c r="INQ111" s="36"/>
      <c r="INR111" s="38"/>
      <c r="INS111" s="38"/>
      <c r="INY111" s="36"/>
      <c r="INZ111" s="38"/>
      <c r="IOA111" s="38"/>
      <c r="IOG111" s="36"/>
      <c r="IOH111" s="38"/>
      <c r="IOI111" s="38"/>
      <c r="IOO111" s="36"/>
      <c r="IOP111" s="38"/>
      <c r="IOQ111" s="38"/>
      <c r="IOW111" s="36"/>
      <c r="IOX111" s="38"/>
      <c r="IOY111" s="38"/>
      <c r="IPE111" s="36"/>
      <c r="IPF111" s="38"/>
      <c r="IPG111" s="38"/>
      <c r="IPM111" s="36"/>
      <c r="IPN111" s="38"/>
      <c r="IPO111" s="38"/>
      <c r="IPU111" s="36"/>
      <c r="IPV111" s="38"/>
      <c r="IPW111" s="38"/>
      <c r="IQC111" s="36"/>
      <c r="IQD111" s="38"/>
      <c r="IQE111" s="38"/>
      <c r="IQK111" s="36"/>
      <c r="IQL111" s="38"/>
      <c r="IQM111" s="38"/>
      <c r="IQS111" s="36"/>
      <c r="IQT111" s="38"/>
      <c r="IQU111" s="38"/>
      <c r="IRA111" s="36"/>
      <c r="IRB111" s="38"/>
      <c r="IRC111" s="38"/>
      <c r="IRI111" s="36"/>
      <c r="IRJ111" s="38"/>
      <c r="IRK111" s="38"/>
      <c r="IRQ111" s="36"/>
      <c r="IRR111" s="38"/>
      <c r="IRS111" s="38"/>
      <c r="IRY111" s="36"/>
      <c r="IRZ111" s="38"/>
      <c r="ISA111" s="38"/>
      <c r="ISG111" s="36"/>
      <c r="ISH111" s="38"/>
      <c r="ISI111" s="38"/>
      <c r="ISO111" s="36"/>
      <c r="ISP111" s="38"/>
      <c r="ISQ111" s="38"/>
      <c r="ISW111" s="36"/>
      <c r="ISX111" s="38"/>
      <c r="ISY111" s="38"/>
      <c r="ITE111" s="36"/>
      <c r="ITF111" s="38"/>
      <c r="ITG111" s="38"/>
      <c r="ITM111" s="36"/>
      <c r="ITN111" s="38"/>
      <c r="ITO111" s="38"/>
      <c r="ITU111" s="36"/>
      <c r="ITV111" s="38"/>
      <c r="ITW111" s="38"/>
      <c r="IUC111" s="36"/>
      <c r="IUD111" s="38"/>
      <c r="IUE111" s="38"/>
      <c r="IUK111" s="36"/>
      <c r="IUL111" s="38"/>
      <c r="IUM111" s="38"/>
      <c r="IUS111" s="36"/>
      <c r="IUT111" s="38"/>
      <c r="IUU111" s="38"/>
      <c r="IVA111" s="36"/>
      <c r="IVB111" s="38"/>
      <c r="IVC111" s="38"/>
      <c r="IVI111" s="36"/>
      <c r="IVJ111" s="38"/>
      <c r="IVK111" s="38"/>
      <c r="IVQ111" s="36"/>
      <c r="IVR111" s="38"/>
      <c r="IVS111" s="38"/>
      <c r="IVY111" s="36"/>
      <c r="IVZ111" s="38"/>
      <c r="IWA111" s="38"/>
      <c r="IWG111" s="36"/>
      <c r="IWH111" s="38"/>
      <c r="IWI111" s="38"/>
      <c r="IWO111" s="36"/>
      <c r="IWP111" s="38"/>
      <c r="IWQ111" s="38"/>
      <c r="IWW111" s="36"/>
      <c r="IWX111" s="38"/>
      <c r="IWY111" s="38"/>
      <c r="IXE111" s="36"/>
      <c r="IXF111" s="38"/>
      <c r="IXG111" s="38"/>
      <c r="IXM111" s="36"/>
      <c r="IXN111" s="38"/>
      <c r="IXO111" s="38"/>
      <c r="IXU111" s="36"/>
      <c r="IXV111" s="38"/>
      <c r="IXW111" s="38"/>
      <c r="IYC111" s="36"/>
      <c r="IYD111" s="38"/>
      <c r="IYE111" s="38"/>
      <c r="IYK111" s="36"/>
      <c r="IYL111" s="38"/>
      <c r="IYM111" s="38"/>
      <c r="IYS111" s="36"/>
      <c r="IYT111" s="38"/>
      <c r="IYU111" s="38"/>
      <c r="IZA111" s="36"/>
      <c r="IZB111" s="38"/>
      <c r="IZC111" s="38"/>
      <c r="IZI111" s="36"/>
      <c r="IZJ111" s="38"/>
      <c r="IZK111" s="38"/>
      <c r="IZQ111" s="36"/>
      <c r="IZR111" s="38"/>
      <c r="IZS111" s="38"/>
      <c r="IZY111" s="36"/>
      <c r="IZZ111" s="38"/>
      <c r="JAA111" s="38"/>
      <c r="JAG111" s="36"/>
      <c r="JAH111" s="38"/>
      <c r="JAI111" s="38"/>
      <c r="JAO111" s="36"/>
      <c r="JAP111" s="38"/>
      <c r="JAQ111" s="38"/>
      <c r="JAW111" s="36"/>
      <c r="JAX111" s="38"/>
      <c r="JAY111" s="38"/>
      <c r="JBE111" s="36"/>
      <c r="JBF111" s="38"/>
      <c r="JBG111" s="38"/>
      <c r="JBM111" s="36"/>
      <c r="JBN111" s="38"/>
      <c r="JBO111" s="38"/>
      <c r="JBU111" s="36"/>
      <c r="JBV111" s="38"/>
      <c r="JBW111" s="38"/>
      <c r="JCC111" s="36"/>
      <c r="JCD111" s="38"/>
      <c r="JCE111" s="38"/>
      <c r="JCK111" s="36"/>
      <c r="JCL111" s="38"/>
      <c r="JCM111" s="38"/>
      <c r="JCS111" s="36"/>
      <c r="JCT111" s="38"/>
      <c r="JCU111" s="38"/>
      <c r="JDA111" s="36"/>
      <c r="JDB111" s="38"/>
      <c r="JDC111" s="38"/>
      <c r="JDI111" s="36"/>
      <c r="JDJ111" s="38"/>
      <c r="JDK111" s="38"/>
      <c r="JDQ111" s="36"/>
      <c r="JDR111" s="38"/>
      <c r="JDS111" s="38"/>
      <c r="JDY111" s="36"/>
      <c r="JDZ111" s="38"/>
      <c r="JEA111" s="38"/>
      <c r="JEG111" s="36"/>
      <c r="JEH111" s="38"/>
      <c r="JEI111" s="38"/>
      <c r="JEO111" s="36"/>
      <c r="JEP111" s="38"/>
      <c r="JEQ111" s="38"/>
      <c r="JEW111" s="36"/>
      <c r="JEX111" s="38"/>
      <c r="JEY111" s="38"/>
      <c r="JFE111" s="36"/>
      <c r="JFF111" s="38"/>
      <c r="JFG111" s="38"/>
      <c r="JFM111" s="36"/>
      <c r="JFN111" s="38"/>
      <c r="JFO111" s="38"/>
      <c r="JFU111" s="36"/>
      <c r="JFV111" s="38"/>
      <c r="JFW111" s="38"/>
      <c r="JGC111" s="36"/>
      <c r="JGD111" s="38"/>
      <c r="JGE111" s="38"/>
      <c r="JGK111" s="36"/>
      <c r="JGL111" s="38"/>
      <c r="JGM111" s="38"/>
      <c r="JGS111" s="36"/>
      <c r="JGT111" s="38"/>
      <c r="JGU111" s="38"/>
      <c r="JHA111" s="36"/>
      <c r="JHB111" s="38"/>
      <c r="JHC111" s="38"/>
      <c r="JHI111" s="36"/>
      <c r="JHJ111" s="38"/>
      <c r="JHK111" s="38"/>
      <c r="JHQ111" s="36"/>
      <c r="JHR111" s="38"/>
      <c r="JHS111" s="38"/>
      <c r="JHY111" s="36"/>
      <c r="JHZ111" s="38"/>
      <c r="JIA111" s="38"/>
      <c r="JIG111" s="36"/>
      <c r="JIH111" s="38"/>
      <c r="JII111" s="38"/>
      <c r="JIO111" s="36"/>
      <c r="JIP111" s="38"/>
      <c r="JIQ111" s="38"/>
      <c r="JIW111" s="36"/>
      <c r="JIX111" s="38"/>
      <c r="JIY111" s="38"/>
      <c r="JJE111" s="36"/>
      <c r="JJF111" s="38"/>
      <c r="JJG111" s="38"/>
      <c r="JJM111" s="36"/>
      <c r="JJN111" s="38"/>
      <c r="JJO111" s="38"/>
      <c r="JJU111" s="36"/>
      <c r="JJV111" s="38"/>
      <c r="JJW111" s="38"/>
      <c r="JKC111" s="36"/>
      <c r="JKD111" s="38"/>
      <c r="JKE111" s="38"/>
      <c r="JKK111" s="36"/>
      <c r="JKL111" s="38"/>
      <c r="JKM111" s="38"/>
      <c r="JKS111" s="36"/>
      <c r="JKT111" s="38"/>
      <c r="JKU111" s="38"/>
      <c r="JLA111" s="36"/>
      <c r="JLB111" s="38"/>
      <c r="JLC111" s="38"/>
      <c r="JLI111" s="36"/>
      <c r="JLJ111" s="38"/>
      <c r="JLK111" s="38"/>
      <c r="JLQ111" s="36"/>
      <c r="JLR111" s="38"/>
      <c r="JLS111" s="38"/>
      <c r="JLY111" s="36"/>
      <c r="JLZ111" s="38"/>
      <c r="JMA111" s="38"/>
      <c r="JMG111" s="36"/>
      <c r="JMH111" s="38"/>
      <c r="JMI111" s="38"/>
      <c r="JMO111" s="36"/>
      <c r="JMP111" s="38"/>
      <c r="JMQ111" s="38"/>
      <c r="JMW111" s="36"/>
      <c r="JMX111" s="38"/>
      <c r="JMY111" s="38"/>
      <c r="JNE111" s="36"/>
      <c r="JNF111" s="38"/>
      <c r="JNG111" s="38"/>
      <c r="JNM111" s="36"/>
      <c r="JNN111" s="38"/>
      <c r="JNO111" s="38"/>
      <c r="JNU111" s="36"/>
      <c r="JNV111" s="38"/>
      <c r="JNW111" s="38"/>
      <c r="JOC111" s="36"/>
      <c r="JOD111" s="38"/>
      <c r="JOE111" s="38"/>
      <c r="JOK111" s="36"/>
      <c r="JOL111" s="38"/>
      <c r="JOM111" s="38"/>
      <c r="JOS111" s="36"/>
      <c r="JOT111" s="38"/>
      <c r="JOU111" s="38"/>
      <c r="JPA111" s="36"/>
      <c r="JPB111" s="38"/>
      <c r="JPC111" s="38"/>
      <c r="JPI111" s="36"/>
      <c r="JPJ111" s="38"/>
      <c r="JPK111" s="38"/>
      <c r="JPQ111" s="36"/>
      <c r="JPR111" s="38"/>
      <c r="JPS111" s="38"/>
      <c r="JPY111" s="36"/>
      <c r="JPZ111" s="38"/>
      <c r="JQA111" s="38"/>
      <c r="JQG111" s="36"/>
      <c r="JQH111" s="38"/>
      <c r="JQI111" s="38"/>
      <c r="JQO111" s="36"/>
      <c r="JQP111" s="38"/>
      <c r="JQQ111" s="38"/>
      <c r="JQW111" s="36"/>
      <c r="JQX111" s="38"/>
      <c r="JQY111" s="38"/>
      <c r="JRE111" s="36"/>
      <c r="JRF111" s="38"/>
      <c r="JRG111" s="38"/>
      <c r="JRM111" s="36"/>
      <c r="JRN111" s="38"/>
      <c r="JRO111" s="38"/>
      <c r="JRU111" s="36"/>
      <c r="JRV111" s="38"/>
      <c r="JRW111" s="38"/>
      <c r="JSC111" s="36"/>
      <c r="JSD111" s="38"/>
      <c r="JSE111" s="38"/>
      <c r="JSK111" s="36"/>
      <c r="JSL111" s="38"/>
      <c r="JSM111" s="38"/>
      <c r="JSS111" s="36"/>
      <c r="JST111" s="38"/>
      <c r="JSU111" s="38"/>
      <c r="JTA111" s="36"/>
      <c r="JTB111" s="38"/>
      <c r="JTC111" s="38"/>
      <c r="JTI111" s="36"/>
      <c r="JTJ111" s="38"/>
      <c r="JTK111" s="38"/>
      <c r="JTQ111" s="36"/>
      <c r="JTR111" s="38"/>
      <c r="JTS111" s="38"/>
      <c r="JTY111" s="36"/>
      <c r="JTZ111" s="38"/>
      <c r="JUA111" s="38"/>
      <c r="JUG111" s="36"/>
      <c r="JUH111" s="38"/>
      <c r="JUI111" s="38"/>
      <c r="JUO111" s="36"/>
      <c r="JUP111" s="38"/>
      <c r="JUQ111" s="38"/>
      <c r="JUW111" s="36"/>
      <c r="JUX111" s="38"/>
      <c r="JUY111" s="38"/>
      <c r="JVE111" s="36"/>
      <c r="JVF111" s="38"/>
      <c r="JVG111" s="38"/>
      <c r="JVM111" s="36"/>
      <c r="JVN111" s="38"/>
      <c r="JVO111" s="38"/>
      <c r="JVU111" s="36"/>
      <c r="JVV111" s="38"/>
      <c r="JVW111" s="38"/>
      <c r="JWC111" s="36"/>
      <c r="JWD111" s="38"/>
      <c r="JWE111" s="38"/>
      <c r="JWK111" s="36"/>
      <c r="JWL111" s="38"/>
      <c r="JWM111" s="38"/>
      <c r="JWS111" s="36"/>
      <c r="JWT111" s="38"/>
      <c r="JWU111" s="38"/>
      <c r="JXA111" s="36"/>
      <c r="JXB111" s="38"/>
      <c r="JXC111" s="38"/>
      <c r="JXI111" s="36"/>
      <c r="JXJ111" s="38"/>
      <c r="JXK111" s="38"/>
      <c r="JXQ111" s="36"/>
      <c r="JXR111" s="38"/>
      <c r="JXS111" s="38"/>
      <c r="JXY111" s="36"/>
      <c r="JXZ111" s="38"/>
      <c r="JYA111" s="38"/>
      <c r="JYG111" s="36"/>
      <c r="JYH111" s="38"/>
      <c r="JYI111" s="38"/>
      <c r="JYO111" s="36"/>
      <c r="JYP111" s="38"/>
      <c r="JYQ111" s="38"/>
      <c r="JYW111" s="36"/>
      <c r="JYX111" s="38"/>
      <c r="JYY111" s="38"/>
      <c r="JZE111" s="36"/>
      <c r="JZF111" s="38"/>
      <c r="JZG111" s="38"/>
      <c r="JZM111" s="36"/>
      <c r="JZN111" s="38"/>
      <c r="JZO111" s="38"/>
      <c r="JZU111" s="36"/>
      <c r="JZV111" s="38"/>
      <c r="JZW111" s="38"/>
      <c r="KAC111" s="36"/>
      <c r="KAD111" s="38"/>
      <c r="KAE111" s="38"/>
      <c r="KAK111" s="36"/>
      <c r="KAL111" s="38"/>
      <c r="KAM111" s="38"/>
      <c r="KAS111" s="36"/>
      <c r="KAT111" s="38"/>
      <c r="KAU111" s="38"/>
      <c r="KBA111" s="36"/>
      <c r="KBB111" s="38"/>
      <c r="KBC111" s="38"/>
      <c r="KBI111" s="36"/>
      <c r="KBJ111" s="38"/>
      <c r="KBK111" s="38"/>
      <c r="KBQ111" s="36"/>
      <c r="KBR111" s="38"/>
      <c r="KBS111" s="38"/>
      <c r="KBY111" s="36"/>
      <c r="KBZ111" s="38"/>
      <c r="KCA111" s="38"/>
      <c r="KCG111" s="36"/>
      <c r="KCH111" s="38"/>
      <c r="KCI111" s="38"/>
      <c r="KCO111" s="36"/>
      <c r="KCP111" s="38"/>
      <c r="KCQ111" s="38"/>
      <c r="KCW111" s="36"/>
      <c r="KCX111" s="38"/>
      <c r="KCY111" s="38"/>
      <c r="KDE111" s="36"/>
      <c r="KDF111" s="38"/>
      <c r="KDG111" s="38"/>
      <c r="KDM111" s="36"/>
      <c r="KDN111" s="38"/>
      <c r="KDO111" s="38"/>
      <c r="KDU111" s="36"/>
      <c r="KDV111" s="38"/>
      <c r="KDW111" s="38"/>
      <c r="KEC111" s="36"/>
      <c r="KED111" s="38"/>
      <c r="KEE111" s="38"/>
      <c r="KEK111" s="36"/>
      <c r="KEL111" s="38"/>
      <c r="KEM111" s="38"/>
      <c r="KES111" s="36"/>
      <c r="KET111" s="38"/>
      <c r="KEU111" s="38"/>
      <c r="KFA111" s="36"/>
      <c r="KFB111" s="38"/>
      <c r="KFC111" s="38"/>
      <c r="KFI111" s="36"/>
      <c r="KFJ111" s="38"/>
      <c r="KFK111" s="38"/>
      <c r="KFQ111" s="36"/>
      <c r="KFR111" s="38"/>
      <c r="KFS111" s="38"/>
      <c r="KFY111" s="36"/>
      <c r="KFZ111" s="38"/>
      <c r="KGA111" s="38"/>
      <c r="KGG111" s="36"/>
      <c r="KGH111" s="38"/>
      <c r="KGI111" s="38"/>
      <c r="KGO111" s="36"/>
      <c r="KGP111" s="38"/>
      <c r="KGQ111" s="38"/>
      <c r="KGW111" s="36"/>
      <c r="KGX111" s="38"/>
      <c r="KGY111" s="38"/>
      <c r="KHE111" s="36"/>
      <c r="KHF111" s="38"/>
      <c r="KHG111" s="38"/>
      <c r="KHM111" s="36"/>
      <c r="KHN111" s="38"/>
      <c r="KHO111" s="38"/>
      <c r="KHU111" s="36"/>
      <c r="KHV111" s="38"/>
      <c r="KHW111" s="38"/>
      <c r="KIC111" s="36"/>
      <c r="KID111" s="38"/>
      <c r="KIE111" s="38"/>
      <c r="KIK111" s="36"/>
      <c r="KIL111" s="38"/>
      <c r="KIM111" s="38"/>
      <c r="KIS111" s="36"/>
      <c r="KIT111" s="38"/>
      <c r="KIU111" s="38"/>
      <c r="KJA111" s="36"/>
      <c r="KJB111" s="38"/>
      <c r="KJC111" s="38"/>
      <c r="KJI111" s="36"/>
      <c r="KJJ111" s="38"/>
      <c r="KJK111" s="38"/>
      <c r="KJQ111" s="36"/>
      <c r="KJR111" s="38"/>
      <c r="KJS111" s="38"/>
      <c r="KJY111" s="36"/>
      <c r="KJZ111" s="38"/>
      <c r="KKA111" s="38"/>
      <c r="KKG111" s="36"/>
      <c r="KKH111" s="38"/>
      <c r="KKI111" s="38"/>
      <c r="KKO111" s="36"/>
      <c r="KKP111" s="38"/>
      <c r="KKQ111" s="38"/>
      <c r="KKW111" s="36"/>
      <c r="KKX111" s="38"/>
      <c r="KKY111" s="38"/>
      <c r="KLE111" s="36"/>
      <c r="KLF111" s="38"/>
      <c r="KLG111" s="38"/>
      <c r="KLM111" s="36"/>
      <c r="KLN111" s="38"/>
      <c r="KLO111" s="38"/>
      <c r="KLU111" s="36"/>
      <c r="KLV111" s="38"/>
      <c r="KLW111" s="38"/>
      <c r="KMC111" s="36"/>
      <c r="KMD111" s="38"/>
      <c r="KME111" s="38"/>
      <c r="KMK111" s="36"/>
      <c r="KML111" s="38"/>
      <c r="KMM111" s="38"/>
      <c r="KMS111" s="36"/>
      <c r="KMT111" s="38"/>
      <c r="KMU111" s="38"/>
      <c r="KNA111" s="36"/>
      <c r="KNB111" s="38"/>
      <c r="KNC111" s="38"/>
      <c r="KNI111" s="36"/>
      <c r="KNJ111" s="38"/>
      <c r="KNK111" s="38"/>
      <c r="KNQ111" s="36"/>
      <c r="KNR111" s="38"/>
      <c r="KNS111" s="38"/>
      <c r="KNY111" s="36"/>
      <c r="KNZ111" s="38"/>
      <c r="KOA111" s="38"/>
      <c r="KOG111" s="36"/>
      <c r="KOH111" s="38"/>
      <c r="KOI111" s="38"/>
      <c r="KOO111" s="36"/>
      <c r="KOP111" s="38"/>
      <c r="KOQ111" s="38"/>
      <c r="KOW111" s="36"/>
      <c r="KOX111" s="38"/>
      <c r="KOY111" s="38"/>
      <c r="KPE111" s="36"/>
      <c r="KPF111" s="38"/>
      <c r="KPG111" s="38"/>
      <c r="KPM111" s="36"/>
      <c r="KPN111" s="38"/>
      <c r="KPO111" s="38"/>
      <c r="KPU111" s="36"/>
      <c r="KPV111" s="38"/>
      <c r="KPW111" s="38"/>
      <c r="KQC111" s="36"/>
      <c r="KQD111" s="38"/>
      <c r="KQE111" s="38"/>
      <c r="KQK111" s="36"/>
      <c r="KQL111" s="38"/>
      <c r="KQM111" s="38"/>
      <c r="KQS111" s="36"/>
      <c r="KQT111" s="38"/>
      <c r="KQU111" s="38"/>
      <c r="KRA111" s="36"/>
      <c r="KRB111" s="38"/>
      <c r="KRC111" s="38"/>
      <c r="KRI111" s="36"/>
      <c r="KRJ111" s="38"/>
      <c r="KRK111" s="38"/>
      <c r="KRQ111" s="36"/>
      <c r="KRR111" s="38"/>
      <c r="KRS111" s="38"/>
      <c r="KRY111" s="36"/>
      <c r="KRZ111" s="38"/>
      <c r="KSA111" s="38"/>
      <c r="KSG111" s="36"/>
      <c r="KSH111" s="38"/>
      <c r="KSI111" s="38"/>
      <c r="KSO111" s="36"/>
      <c r="KSP111" s="38"/>
      <c r="KSQ111" s="38"/>
      <c r="KSW111" s="36"/>
      <c r="KSX111" s="38"/>
      <c r="KSY111" s="38"/>
      <c r="KTE111" s="36"/>
      <c r="KTF111" s="38"/>
      <c r="KTG111" s="38"/>
      <c r="KTM111" s="36"/>
      <c r="KTN111" s="38"/>
      <c r="KTO111" s="38"/>
      <c r="KTU111" s="36"/>
      <c r="KTV111" s="38"/>
      <c r="KTW111" s="38"/>
      <c r="KUC111" s="36"/>
      <c r="KUD111" s="38"/>
      <c r="KUE111" s="38"/>
      <c r="KUK111" s="36"/>
      <c r="KUL111" s="38"/>
      <c r="KUM111" s="38"/>
      <c r="KUS111" s="36"/>
      <c r="KUT111" s="38"/>
      <c r="KUU111" s="38"/>
      <c r="KVA111" s="36"/>
      <c r="KVB111" s="38"/>
      <c r="KVC111" s="38"/>
      <c r="KVI111" s="36"/>
      <c r="KVJ111" s="38"/>
      <c r="KVK111" s="38"/>
      <c r="KVQ111" s="36"/>
      <c r="KVR111" s="38"/>
      <c r="KVS111" s="38"/>
      <c r="KVY111" s="36"/>
      <c r="KVZ111" s="38"/>
      <c r="KWA111" s="38"/>
      <c r="KWG111" s="36"/>
      <c r="KWH111" s="38"/>
      <c r="KWI111" s="38"/>
      <c r="KWO111" s="36"/>
      <c r="KWP111" s="38"/>
      <c r="KWQ111" s="38"/>
      <c r="KWW111" s="36"/>
      <c r="KWX111" s="38"/>
      <c r="KWY111" s="38"/>
      <c r="KXE111" s="36"/>
      <c r="KXF111" s="38"/>
      <c r="KXG111" s="38"/>
      <c r="KXM111" s="36"/>
      <c r="KXN111" s="38"/>
      <c r="KXO111" s="38"/>
      <c r="KXU111" s="36"/>
      <c r="KXV111" s="38"/>
      <c r="KXW111" s="38"/>
      <c r="KYC111" s="36"/>
      <c r="KYD111" s="38"/>
      <c r="KYE111" s="38"/>
      <c r="KYK111" s="36"/>
      <c r="KYL111" s="38"/>
      <c r="KYM111" s="38"/>
      <c r="KYS111" s="36"/>
      <c r="KYT111" s="38"/>
      <c r="KYU111" s="38"/>
      <c r="KZA111" s="36"/>
      <c r="KZB111" s="38"/>
      <c r="KZC111" s="38"/>
      <c r="KZI111" s="36"/>
      <c r="KZJ111" s="38"/>
      <c r="KZK111" s="38"/>
      <c r="KZQ111" s="36"/>
      <c r="KZR111" s="38"/>
      <c r="KZS111" s="38"/>
      <c r="KZY111" s="36"/>
      <c r="KZZ111" s="38"/>
      <c r="LAA111" s="38"/>
      <c r="LAG111" s="36"/>
      <c r="LAH111" s="38"/>
      <c r="LAI111" s="38"/>
      <c r="LAO111" s="36"/>
      <c r="LAP111" s="38"/>
      <c r="LAQ111" s="38"/>
      <c r="LAW111" s="36"/>
      <c r="LAX111" s="38"/>
      <c r="LAY111" s="38"/>
      <c r="LBE111" s="36"/>
      <c r="LBF111" s="38"/>
      <c r="LBG111" s="38"/>
      <c r="LBM111" s="36"/>
      <c r="LBN111" s="38"/>
      <c r="LBO111" s="38"/>
      <c r="LBU111" s="36"/>
      <c r="LBV111" s="38"/>
      <c r="LBW111" s="38"/>
      <c r="LCC111" s="36"/>
      <c r="LCD111" s="38"/>
      <c r="LCE111" s="38"/>
      <c r="LCK111" s="36"/>
      <c r="LCL111" s="38"/>
      <c r="LCM111" s="38"/>
      <c r="LCS111" s="36"/>
      <c r="LCT111" s="38"/>
      <c r="LCU111" s="38"/>
      <c r="LDA111" s="36"/>
      <c r="LDB111" s="38"/>
      <c r="LDC111" s="38"/>
      <c r="LDI111" s="36"/>
      <c r="LDJ111" s="38"/>
      <c r="LDK111" s="38"/>
      <c r="LDQ111" s="36"/>
      <c r="LDR111" s="38"/>
      <c r="LDS111" s="38"/>
      <c r="LDY111" s="36"/>
      <c r="LDZ111" s="38"/>
      <c r="LEA111" s="38"/>
      <c r="LEG111" s="36"/>
      <c r="LEH111" s="38"/>
      <c r="LEI111" s="38"/>
      <c r="LEO111" s="36"/>
      <c r="LEP111" s="38"/>
      <c r="LEQ111" s="38"/>
      <c r="LEW111" s="36"/>
      <c r="LEX111" s="38"/>
      <c r="LEY111" s="38"/>
      <c r="LFE111" s="36"/>
      <c r="LFF111" s="38"/>
      <c r="LFG111" s="38"/>
      <c r="LFM111" s="36"/>
      <c r="LFN111" s="38"/>
      <c r="LFO111" s="38"/>
      <c r="LFU111" s="36"/>
      <c r="LFV111" s="38"/>
      <c r="LFW111" s="38"/>
      <c r="LGC111" s="36"/>
      <c r="LGD111" s="38"/>
      <c r="LGE111" s="38"/>
      <c r="LGK111" s="36"/>
      <c r="LGL111" s="38"/>
      <c r="LGM111" s="38"/>
      <c r="LGS111" s="36"/>
      <c r="LGT111" s="38"/>
      <c r="LGU111" s="38"/>
      <c r="LHA111" s="36"/>
      <c r="LHB111" s="38"/>
      <c r="LHC111" s="38"/>
      <c r="LHI111" s="36"/>
      <c r="LHJ111" s="38"/>
      <c r="LHK111" s="38"/>
      <c r="LHQ111" s="36"/>
      <c r="LHR111" s="38"/>
      <c r="LHS111" s="38"/>
      <c r="LHY111" s="36"/>
      <c r="LHZ111" s="38"/>
      <c r="LIA111" s="38"/>
      <c r="LIG111" s="36"/>
      <c r="LIH111" s="38"/>
      <c r="LII111" s="38"/>
      <c r="LIO111" s="36"/>
      <c r="LIP111" s="38"/>
      <c r="LIQ111" s="38"/>
      <c r="LIW111" s="36"/>
      <c r="LIX111" s="38"/>
      <c r="LIY111" s="38"/>
      <c r="LJE111" s="36"/>
      <c r="LJF111" s="38"/>
      <c r="LJG111" s="38"/>
      <c r="LJM111" s="36"/>
      <c r="LJN111" s="38"/>
      <c r="LJO111" s="38"/>
      <c r="LJU111" s="36"/>
      <c r="LJV111" s="38"/>
      <c r="LJW111" s="38"/>
      <c r="LKC111" s="36"/>
      <c r="LKD111" s="38"/>
      <c r="LKE111" s="38"/>
      <c r="LKK111" s="36"/>
      <c r="LKL111" s="38"/>
      <c r="LKM111" s="38"/>
      <c r="LKS111" s="36"/>
      <c r="LKT111" s="38"/>
      <c r="LKU111" s="38"/>
      <c r="LLA111" s="36"/>
      <c r="LLB111" s="38"/>
      <c r="LLC111" s="38"/>
      <c r="LLI111" s="36"/>
      <c r="LLJ111" s="38"/>
      <c r="LLK111" s="38"/>
      <c r="LLQ111" s="36"/>
      <c r="LLR111" s="38"/>
      <c r="LLS111" s="38"/>
      <c r="LLY111" s="36"/>
      <c r="LLZ111" s="38"/>
      <c r="LMA111" s="38"/>
      <c r="LMG111" s="36"/>
      <c r="LMH111" s="38"/>
      <c r="LMI111" s="38"/>
      <c r="LMO111" s="36"/>
      <c r="LMP111" s="38"/>
      <c r="LMQ111" s="38"/>
      <c r="LMW111" s="36"/>
      <c r="LMX111" s="38"/>
      <c r="LMY111" s="38"/>
      <c r="LNE111" s="36"/>
      <c r="LNF111" s="38"/>
      <c r="LNG111" s="38"/>
      <c r="LNM111" s="36"/>
      <c r="LNN111" s="38"/>
      <c r="LNO111" s="38"/>
      <c r="LNU111" s="36"/>
      <c r="LNV111" s="38"/>
      <c r="LNW111" s="38"/>
      <c r="LOC111" s="36"/>
      <c r="LOD111" s="38"/>
      <c r="LOE111" s="38"/>
      <c r="LOK111" s="36"/>
      <c r="LOL111" s="38"/>
      <c r="LOM111" s="38"/>
      <c r="LOS111" s="36"/>
      <c r="LOT111" s="38"/>
      <c r="LOU111" s="38"/>
      <c r="LPA111" s="36"/>
      <c r="LPB111" s="38"/>
      <c r="LPC111" s="38"/>
      <c r="LPI111" s="36"/>
      <c r="LPJ111" s="38"/>
      <c r="LPK111" s="38"/>
      <c r="LPQ111" s="36"/>
      <c r="LPR111" s="38"/>
      <c r="LPS111" s="38"/>
      <c r="LPY111" s="36"/>
      <c r="LPZ111" s="38"/>
      <c r="LQA111" s="38"/>
      <c r="LQG111" s="36"/>
      <c r="LQH111" s="38"/>
      <c r="LQI111" s="38"/>
      <c r="LQO111" s="36"/>
      <c r="LQP111" s="38"/>
      <c r="LQQ111" s="38"/>
      <c r="LQW111" s="36"/>
      <c r="LQX111" s="38"/>
      <c r="LQY111" s="38"/>
      <c r="LRE111" s="36"/>
      <c r="LRF111" s="38"/>
      <c r="LRG111" s="38"/>
      <c r="LRM111" s="36"/>
      <c r="LRN111" s="38"/>
      <c r="LRO111" s="38"/>
      <c r="LRU111" s="36"/>
      <c r="LRV111" s="38"/>
      <c r="LRW111" s="38"/>
      <c r="LSC111" s="36"/>
      <c r="LSD111" s="38"/>
      <c r="LSE111" s="38"/>
      <c r="LSK111" s="36"/>
      <c r="LSL111" s="38"/>
      <c r="LSM111" s="38"/>
      <c r="LSS111" s="36"/>
      <c r="LST111" s="38"/>
      <c r="LSU111" s="38"/>
      <c r="LTA111" s="36"/>
      <c r="LTB111" s="38"/>
      <c r="LTC111" s="38"/>
      <c r="LTI111" s="36"/>
      <c r="LTJ111" s="38"/>
      <c r="LTK111" s="38"/>
      <c r="LTQ111" s="36"/>
      <c r="LTR111" s="38"/>
      <c r="LTS111" s="38"/>
      <c r="LTY111" s="36"/>
      <c r="LTZ111" s="38"/>
      <c r="LUA111" s="38"/>
      <c r="LUG111" s="36"/>
      <c r="LUH111" s="38"/>
      <c r="LUI111" s="38"/>
      <c r="LUO111" s="36"/>
      <c r="LUP111" s="38"/>
      <c r="LUQ111" s="38"/>
      <c r="LUW111" s="36"/>
      <c r="LUX111" s="38"/>
      <c r="LUY111" s="38"/>
      <c r="LVE111" s="36"/>
      <c r="LVF111" s="38"/>
      <c r="LVG111" s="38"/>
      <c r="LVM111" s="36"/>
      <c r="LVN111" s="38"/>
      <c r="LVO111" s="38"/>
      <c r="LVU111" s="36"/>
      <c r="LVV111" s="38"/>
      <c r="LVW111" s="38"/>
      <c r="LWC111" s="36"/>
      <c r="LWD111" s="38"/>
      <c r="LWE111" s="38"/>
      <c r="LWK111" s="36"/>
      <c r="LWL111" s="38"/>
      <c r="LWM111" s="38"/>
      <c r="LWS111" s="36"/>
      <c r="LWT111" s="38"/>
      <c r="LWU111" s="38"/>
      <c r="LXA111" s="36"/>
      <c r="LXB111" s="38"/>
      <c r="LXC111" s="38"/>
      <c r="LXI111" s="36"/>
      <c r="LXJ111" s="38"/>
      <c r="LXK111" s="38"/>
      <c r="LXQ111" s="36"/>
      <c r="LXR111" s="38"/>
      <c r="LXS111" s="38"/>
      <c r="LXY111" s="36"/>
      <c r="LXZ111" s="38"/>
      <c r="LYA111" s="38"/>
      <c r="LYG111" s="36"/>
      <c r="LYH111" s="38"/>
      <c r="LYI111" s="38"/>
      <c r="LYO111" s="36"/>
      <c r="LYP111" s="38"/>
      <c r="LYQ111" s="38"/>
      <c r="LYW111" s="36"/>
      <c r="LYX111" s="38"/>
      <c r="LYY111" s="38"/>
      <c r="LZE111" s="36"/>
      <c r="LZF111" s="38"/>
      <c r="LZG111" s="38"/>
      <c r="LZM111" s="36"/>
      <c r="LZN111" s="38"/>
      <c r="LZO111" s="38"/>
      <c r="LZU111" s="36"/>
      <c r="LZV111" s="38"/>
      <c r="LZW111" s="38"/>
      <c r="MAC111" s="36"/>
      <c r="MAD111" s="38"/>
      <c r="MAE111" s="38"/>
      <c r="MAK111" s="36"/>
      <c r="MAL111" s="38"/>
      <c r="MAM111" s="38"/>
      <c r="MAS111" s="36"/>
      <c r="MAT111" s="38"/>
      <c r="MAU111" s="38"/>
      <c r="MBA111" s="36"/>
      <c r="MBB111" s="38"/>
      <c r="MBC111" s="38"/>
      <c r="MBI111" s="36"/>
      <c r="MBJ111" s="38"/>
      <c r="MBK111" s="38"/>
      <c r="MBQ111" s="36"/>
      <c r="MBR111" s="38"/>
      <c r="MBS111" s="38"/>
      <c r="MBY111" s="36"/>
      <c r="MBZ111" s="38"/>
      <c r="MCA111" s="38"/>
      <c r="MCG111" s="36"/>
      <c r="MCH111" s="38"/>
      <c r="MCI111" s="38"/>
      <c r="MCO111" s="36"/>
      <c r="MCP111" s="38"/>
      <c r="MCQ111" s="38"/>
      <c r="MCW111" s="36"/>
      <c r="MCX111" s="38"/>
      <c r="MCY111" s="38"/>
      <c r="MDE111" s="36"/>
      <c r="MDF111" s="38"/>
      <c r="MDG111" s="38"/>
      <c r="MDM111" s="36"/>
      <c r="MDN111" s="38"/>
      <c r="MDO111" s="38"/>
      <c r="MDU111" s="36"/>
      <c r="MDV111" s="38"/>
      <c r="MDW111" s="38"/>
      <c r="MEC111" s="36"/>
      <c r="MED111" s="38"/>
      <c r="MEE111" s="38"/>
      <c r="MEK111" s="36"/>
      <c r="MEL111" s="38"/>
      <c r="MEM111" s="38"/>
      <c r="MES111" s="36"/>
      <c r="MET111" s="38"/>
      <c r="MEU111" s="38"/>
      <c r="MFA111" s="36"/>
      <c r="MFB111" s="38"/>
      <c r="MFC111" s="38"/>
      <c r="MFI111" s="36"/>
      <c r="MFJ111" s="38"/>
      <c r="MFK111" s="38"/>
      <c r="MFQ111" s="36"/>
      <c r="MFR111" s="38"/>
      <c r="MFS111" s="38"/>
      <c r="MFY111" s="36"/>
      <c r="MFZ111" s="38"/>
      <c r="MGA111" s="38"/>
      <c r="MGG111" s="36"/>
      <c r="MGH111" s="38"/>
      <c r="MGI111" s="38"/>
      <c r="MGO111" s="36"/>
      <c r="MGP111" s="38"/>
      <c r="MGQ111" s="38"/>
      <c r="MGW111" s="36"/>
      <c r="MGX111" s="38"/>
      <c r="MGY111" s="38"/>
      <c r="MHE111" s="36"/>
      <c r="MHF111" s="38"/>
      <c r="MHG111" s="38"/>
      <c r="MHM111" s="36"/>
      <c r="MHN111" s="38"/>
      <c r="MHO111" s="38"/>
      <c r="MHU111" s="36"/>
      <c r="MHV111" s="38"/>
      <c r="MHW111" s="38"/>
      <c r="MIC111" s="36"/>
      <c r="MID111" s="38"/>
      <c r="MIE111" s="38"/>
      <c r="MIK111" s="36"/>
      <c r="MIL111" s="38"/>
      <c r="MIM111" s="38"/>
      <c r="MIS111" s="36"/>
      <c r="MIT111" s="38"/>
      <c r="MIU111" s="38"/>
      <c r="MJA111" s="36"/>
      <c r="MJB111" s="38"/>
      <c r="MJC111" s="38"/>
      <c r="MJI111" s="36"/>
      <c r="MJJ111" s="38"/>
      <c r="MJK111" s="38"/>
      <c r="MJQ111" s="36"/>
      <c r="MJR111" s="38"/>
      <c r="MJS111" s="38"/>
      <c r="MJY111" s="36"/>
      <c r="MJZ111" s="38"/>
      <c r="MKA111" s="38"/>
      <c r="MKG111" s="36"/>
      <c r="MKH111" s="38"/>
      <c r="MKI111" s="38"/>
      <c r="MKO111" s="36"/>
      <c r="MKP111" s="38"/>
      <c r="MKQ111" s="38"/>
      <c r="MKW111" s="36"/>
      <c r="MKX111" s="38"/>
      <c r="MKY111" s="38"/>
      <c r="MLE111" s="36"/>
      <c r="MLF111" s="38"/>
      <c r="MLG111" s="38"/>
      <c r="MLM111" s="36"/>
      <c r="MLN111" s="38"/>
      <c r="MLO111" s="38"/>
      <c r="MLU111" s="36"/>
      <c r="MLV111" s="38"/>
      <c r="MLW111" s="38"/>
      <c r="MMC111" s="36"/>
      <c r="MMD111" s="38"/>
      <c r="MME111" s="38"/>
      <c r="MMK111" s="36"/>
      <c r="MML111" s="38"/>
      <c r="MMM111" s="38"/>
      <c r="MMS111" s="36"/>
      <c r="MMT111" s="38"/>
      <c r="MMU111" s="38"/>
      <c r="MNA111" s="36"/>
      <c r="MNB111" s="38"/>
      <c r="MNC111" s="38"/>
      <c r="MNI111" s="36"/>
      <c r="MNJ111" s="38"/>
      <c r="MNK111" s="38"/>
      <c r="MNQ111" s="36"/>
      <c r="MNR111" s="38"/>
      <c r="MNS111" s="38"/>
      <c r="MNY111" s="36"/>
      <c r="MNZ111" s="38"/>
      <c r="MOA111" s="38"/>
      <c r="MOG111" s="36"/>
      <c r="MOH111" s="38"/>
      <c r="MOI111" s="38"/>
      <c r="MOO111" s="36"/>
      <c r="MOP111" s="38"/>
      <c r="MOQ111" s="38"/>
      <c r="MOW111" s="36"/>
      <c r="MOX111" s="38"/>
      <c r="MOY111" s="38"/>
      <c r="MPE111" s="36"/>
      <c r="MPF111" s="38"/>
      <c r="MPG111" s="38"/>
      <c r="MPM111" s="36"/>
      <c r="MPN111" s="38"/>
      <c r="MPO111" s="38"/>
      <c r="MPU111" s="36"/>
      <c r="MPV111" s="38"/>
      <c r="MPW111" s="38"/>
      <c r="MQC111" s="36"/>
      <c r="MQD111" s="38"/>
      <c r="MQE111" s="38"/>
      <c r="MQK111" s="36"/>
      <c r="MQL111" s="38"/>
      <c r="MQM111" s="38"/>
      <c r="MQS111" s="36"/>
      <c r="MQT111" s="38"/>
      <c r="MQU111" s="38"/>
      <c r="MRA111" s="36"/>
      <c r="MRB111" s="38"/>
      <c r="MRC111" s="38"/>
      <c r="MRI111" s="36"/>
      <c r="MRJ111" s="38"/>
      <c r="MRK111" s="38"/>
      <c r="MRQ111" s="36"/>
      <c r="MRR111" s="38"/>
      <c r="MRS111" s="38"/>
      <c r="MRY111" s="36"/>
      <c r="MRZ111" s="38"/>
      <c r="MSA111" s="38"/>
      <c r="MSG111" s="36"/>
      <c r="MSH111" s="38"/>
      <c r="MSI111" s="38"/>
      <c r="MSO111" s="36"/>
      <c r="MSP111" s="38"/>
      <c r="MSQ111" s="38"/>
      <c r="MSW111" s="36"/>
      <c r="MSX111" s="38"/>
      <c r="MSY111" s="38"/>
      <c r="MTE111" s="36"/>
      <c r="MTF111" s="38"/>
      <c r="MTG111" s="38"/>
      <c r="MTM111" s="36"/>
      <c r="MTN111" s="38"/>
      <c r="MTO111" s="38"/>
      <c r="MTU111" s="36"/>
      <c r="MTV111" s="38"/>
      <c r="MTW111" s="38"/>
      <c r="MUC111" s="36"/>
      <c r="MUD111" s="38"/>
      <c r="MUE111" s="38"/>
      <c r="MUK111" s="36"/>
      <c r="MUL111" s="38"/>
      <c r="MUM111" s="38"/>
      <c r="MUS111" s="36"/>
      <c r="MUT111" s="38"/>
      <c r="MUU111" s="38"/>
      <c r="MVA111" s="36"/>
      <c r="MVB111" s="38"/>
      <c r="MVC111" s="38"/>
      <c r="MVI111" s="36"/>
      <c r="MVJ111" s="38"/>
      <c r="MVK111" s="38"/>
      <c r="MVQ111" s="36"/>
      <c r="MVR111" s="38"/>
      <c r="MVS111" s="38"/>
      <c r="MVY111" s="36"/>
      <c r="MVZ111" s="38"/>
      <c r="MWA111" s="38"/>
      <c r="MWG111" s="36"/>
      <c r="MWH111" s="38"/>
      <c r="MWI111" s="38"/>
      <c r="MWO111" s="36"/>
      <c r="MWP111" s="38"/>
      <c r="MWQ111" s="38"/>
      <c r="MWW111" s="36"/>
      <c r="MWX111" s="38"/>
      <c r="MWY111" s="38"/>
      <c r="MXE111" s="36"/>
      <c r="MXF111" s="38"/>
      <c r="MXG111" s="38"/>
      <c r="MXM111" s="36"/>
      <c r="MXN111" s="38"/>
      <c r="MXO111" s="38"/>
      <c r="MXU111" s="36"/>
      <c r="MXV111" s="38"/>
      <c r="MXW111" s="38"/>
      <c r="MYC111" s="36"/>
      <c r="MYD111" s="38"/>
      <c r="MYE111" s="38"/>
      <c r="MYK111" s="36"/>
      <c r="MYL111" s="38"/>
      <c r="MYM111" s="38"/>
      <c r="MYS111" s="36"/>
      <c r="MYT111" s="38"/>
      <c r="MYU111" s="38"/>
      <c r="MZA111" s="36"/>
      <c r="MZB111" s="38"/>
      <c r="MZC111" s="38"/>
      <c r="MZI111" s="36"/>
      <c r="MZJ111" s="38"/>
      <c r="MZK111" s="38"/>
      <c r="MZQ111" s="36"/>
      <c r="MZR111" s="38"/>
      <c r="MZS111" s="38"/>
      <c r="MZY111" s="36"/>
      <c r="MZZ111" s="38"/>
      <c r="NAA111" s="38"/>
      <c r="NAG111" s="36"/>
      <c r="NAH111" s="38"/>
      <c r="NAI111" s="38"/>
      <c r="NAO111" s="36"/>
      <c r="NAP111" s="38"/>
      <c r="NAQ111" s="38"/>
      <c r="NAW111" s="36"/>
      <c r="NAX111" s="38"/>
      <c r="NAY111" s="38"/>
      <c r="NBE111" s="36"/>
      <c r="NBF111" s="38"/>
      <c r="NBG111" s="38"/>
      <c r="NBM111" s="36"/>
      <c r="NBN111" s="38"/>
      <c r="NBO111" s="38"/>
      <c r="NBU111" s="36"/>
      <c r="NBV111" s="38"/>
      <c r="NBW111" s="38"/>
      <c r="NCC111" s="36"/>
      <c r="NCD111" s="38"/>
      <c r="NCE111" s="38"/>
      <c r="NCK111" s="36"/>
      <c r="NCL111" s="38"/>
      <c r="NCM111" s="38"/>
      <c r="NCS111" s="36"/>
      <c r="NCT111" s="38"/>
      <c r="NCU111" s="38"/>
      <c r="NDA111" s="36"/>
      <c r="NDB111" s="38"/>
      <c r="NDC111" s="38"/>
      <c r="NDI111" s="36"/>
      <c r="NDJ111" s="38"/>
      <c r="NDK111" s="38"/>
      <c r="NDQ111" s="36"/>
      <c r="NDR111" s="38"/>
      <c r="NDS111" s="38"/>
      <c r="NDY111" s="36"/>
      <c r="NDZ111" s="38"/>
      <c r="NEA111" s="38"/>
      <c r="NEG111" s="36"/>
      <c r="NEH111" s="38"/>
      <c r="NEI111" s="38"/>
      <c r="NEO111" s="36"/>
      <c r="NEP111" s="38"/>
      <c r="NEQ111" s="38"/>
      <c r="NEW111" s="36"/>
      <c r="NEX111" s="38"/>
      <c r="NEY111" s="38"/>
      <c r="NFE111" s="36"/>
      <c r="NFF111" s="38"/>
      <c r="NFG111" s="38"/>
      <c r="NFM111" s="36"/>
      <c r="NFN111" s="38"/>
      <c r="NFO111" s="38"/>
      <c r="NFU111" s="36"/>
      <c r="NFV111" s="38"/>
      <c r="NFW111" s="38"/>
      <c r="NGC111" s="36"/>
      <c r="NGD111" s="38"/>
      <c r="NGE111" s="38"/>
      <c r="NGK111" s="36"/>
      <c r="NGL111" s="38"/>
      <c r="NGM111" s="38"/>
      <c r="NGS111" s="36"/>
      <c r="NGT111" s="38"/>
      <c r="NGU111" s="38"/>
      <c r="NHA111" s="36"/>
      <c r="NHB111" s="38"/>
      <c r="NHC111" s="38"/>
      <c r="NHI111" s="36"/>
      <c r="NHJ111" s="38"/>
      <c r="NHK111" s="38"/>
      <c r="NHQ111" s="36"/>
      <c r="NHR111" s="38"/>
      <c r="NHS111" s="38"/>
      <c r="NHY111" s="36"/>
      <c r="NHZ111" s="38"/>
      <c r="NIA111" s="38"/>
      <c r="NIG111" s="36"/>
      <c r="NIH111" s="38"/>
      <c r="NII111" s="38"/>
      <c r="NIO111" s="36"/>
      <c r="NIP111" s="38"/>
      <c r="NIQ111" s="38"/>
      <c r="NIW111" s="36"/>
      <c r="NIX111" s="38"/>
      <c r="NIY111" s="38"/>
      <c r="NJE111" s="36"/>
      <c r="NJF111" s="38"/>
      <c r="NJG111" s="38"/>
      <c r="NJM111" s="36"/>
      <c r="NJN111" s="38"/>
      <c r="NJO111" s="38"/>
      <c r="NJU111" s="36"/>
      <c r="NJV111" s="38"/>
      <c r="NJW111" s="38"/>
      <c r="NKC111" s="36"/>
      <c r="NKD111" s="38"/>
      <c r="NKE111" s="38"/>
      <c r="NKK111" s="36"/>
      <c r="NKL111" s="38"/>
      <c r="NKM111" s="38"/>
      <c r="NKS111" s="36"/>
      <c r="NKT111" s="38"/>
      <c r="NKU111" s="38"/>
      <c r="NLA111" s="36"/>
      <c r="NLB111" s="38"/>
      <c r="NLC111" s="38"/>
      <c r="NLI111" s="36"/>
      <c r="NLJ111" s="38"/>
      <c r="NLK111" s="38"/>
      <c r="NLQ111" s="36"/>
      <c r="NLR111" s="38"/>
      <c r="NLS111" s="38"/>
      <c r="NLY111" s="36"/>
      <c r="NLZ111" s="38"/>
      <c r="NMA111" s="38"/>
      <c r="NMG111" s="36"/>
      <c r="NMH111" s="38"/>
      <c r="NMI111" s="38"/>
      <c r="NMO111" s="36"/>
      <c r="NMP111" s="38"/>
      <c r="NMQ111" s="38"/>
      <c r="NMW111" s="36"/>
      <c r="NMX111" s="38"/>
      <c r="NMY111" s="38"/>
      <c r="NNE111" s="36"/>
      <c r="NNF111" s="38"/>
      <c r="NNG111" s="38"/>
      <c r="NNM111" s="36"/>
      <c r="NNN111" s="38"/>
      <c r="NNO111" s="38"/>
      <c r="NNU111" s="36"/>
      <c r="NNV111" s="38"/>
      <c r="NNW111" s="38"/>
      <c r="NOC111" s="36"/>
      <c r="NOD111" s="38"/>
      <c r="NOE111" s="38"/>
      <c r="NOK111" s="36"/>
      <c r="NOL111" s="38"/>
      <c r="NOM111" s="38"/>
      <c r="NOS111" s="36"/>
      <c r="NOT111" s="38"/>
      <c r="NOU111" s="38"/>
      <c r="NPA111" s="36"/>
      <c r="NPB111" s="38"/>
      <c r="NPC111" s="38"/>
      <c r="NPI111" s="36"/>
      <c r="NPJ111" s="38"/>
      <c r="NPK111" s="38"/>
      <c r="NPQ111" s="36"/>
      <c r="NPR111" s="38"/>
      <c r="NPS111" s="38"/>
      <c r="NPY111" s="36"/>
      <c r="NPZ111" s="38"/>
      <c r="NQA111" s="38"/>
      <c r="NQG111" s="36"/>
      <c r="NQH111" s="38"/>
      <c r="NQI111" s="38"/>
      <c r="NQO111" s="36"/>
      <c r="NQP111" s="38"/>
      <c r="NQQ111" s="38"/>
      <c r="NQW111" s="36"/>
      <c r="NQX111" s="38"/>
      <c r="NQY111" s="38"/>
      <c r="NRE111" s="36"/>
      <c r="NRF111" s="38"/>
      <c r="NRG111" s="38"/>
      <c r="NRM111" s="36"/>
      <c r="NRN111" s="38"/>
      <c r="NRO111" s="38"/>
      <c r="NRU111" s="36"/>
      <c r="NRV111" s="38"/>
      <c r="NRW111" s="38"/>
      <c r="NSC111" s="36"/>
      <c r="NSD111" s="38"/>
      <c r="NSE111" s="38"/>
      <c r="NSK111" s="36"/>
      <c r="NSL111" s="38"/>
      <c r="NSM111" s="38"/>
      <c r="NSS111" s="36"/>
      <c r="NST111" s="38"/>
      <c r="NSU111" s="38"/>
      <c r="NTA111" s="36"/>
      <c r="NTB111" s="38"/>
      <c r="NTC111" s="38"/>
      <c r="NTI111" s="36"/>
      <c r="NTJ111" s="38"/>
      <c r="NTK111" s="38"/>
      <c r="NTQ111" s="36"/>
      <c r="NTR111" s="38"/>
      <c r="NTS111" s="38"/>
      <c r="NTY111" s="36"/>
      <c r="NTZ111" s="38"/>
      <c r="NUA111" s="38"/>
      <c r="NUG111" s="36"/>
      <c r="NUH111" s="38"/>
      <c r="NUI111" s="38"/>
      <c r="NUO111" s="36"/>
      <c r="NUP111" s="38"/>
      <c r="NUQ111" s="38"/>
      <c r="NUW111" s="36"/>
      <c r="NUX111" s="38"/>
      <c r="NUY111" s="38"/>
      <c r="NVE111" s="36"/>
      <c r="NVF111" s="38"/>
      <c r="NVG111" s="38"/>
      <c r="NVM111" s="36"/>
      <c r="NVN111" s="38"/>
      <c r="NVO111" s="38"/>
      <c r="NVU111" s="36"/>
      <c r="NVV111" s="38"/>
      <c r="NVW111" s="38"/>
      <c r="NWC111" s="36"/>
      <c r="NWD111" s="38"/>
      <c r="NWE111" s="38"/>
      <c r="NWK111" s="36"/>
      <c r="NWL111" s="38"/>
      <c r="NWM111" s="38"/>
      <c r="NWS111" s="36"/>
      <c r="NWT111" s="38"/>
      <c r="NWU111" s="38"/>
      <c r="NXA111" s="36"/>
      <c r="NXB111" s="38"/>
      <c r="NXC111" s="38"/>
      <c r="NXI111" s="36"/>
      <c r="NXJ111" s="38"/>
      <c r="NXK111" s="38"/>
      <c r="NXQ111" s="36"/>
      <c r="NXR111" s="38"/>
      <c r="NXS111" s="38"/>
      <c r="NXY111" s="36"/>
      <c r="NXZ111" s="38"/>
      <c r="NYA111" s="38"/>
      <c r="NYG111" s="36"/>
      <c r="NYH111" s="38"/>
      <c r="NYI111" s="38"/>
      <c r="NYO111" s="36"/>
      <c r="NYP111" s="38"/>
      <c r="NYQ111" s="38"/>
      <c r="NYW111" s="36"/>
      <c r="NYX111" s="38"/>
      <c r="NYY111" s="38"/>
      <c r="NZE111" s="36"/>
      <c r="NZF111" s="38"/>
      <c r="NZG111" s="38"/>
      <c r="NZM111" s="36"/>
      <c r="NZN111" s="38"/>
      <c r="NZO111" s="38"/>
      <c r="NZU111" s="36"/>
      <c r="NZV111" s="38"/>
      <c r="NZW111" s="38"/>
      <c r="OAC111" s="36"/>
      <c r="OAD111" s="38"/>
      <c r="OAE111" s="38"/>
      <c r="OAK111" s="36"/>
      <c r="OAL111" s="38"/>
      <c r="OAM111" s="38"/>
      <c r="OAS111" s="36"/>
      <c r="OAT111" s="38"/>
      <c r="OAU111" s="38"/>
      <c r="OBA111" s="36"/>
      <c r="OBB111" s="38"/>
      <c r="OBC111" s="38"/>
      <c r="OBI111" s="36"/>
      <c r="OBJ111" s="38"/>
      <c r="OBK111" s="38"/>
      <c r="OBQ111" s="36"/>
      <c r="OBR111" s="38"/>
      <c r="OBS111" s="38"/>
      <c r="OBY111" s="36"/>
      <c r="OBZ111" s="38"/>
      <c r="OCA111" s="38"/>
      <c r="OCG111" s="36"/>
      <c r="OCH111" s="38"/>
      <c r="OCI111" s="38"/>
      <c r="OCO111" s="36"/>
      <c r="OCP111" s="38"/>
      <c r="OCQ111" s="38"/>
      <c r="OCW111" s="36"/>
      <c r="OCX111" s="38"/>
      <c r="OCY111" s="38"/>
      <c r="ODE111" s="36"/>
      <c r="ODF111" s="38"/>
      <c r="ODG111" s="38"/>
      <c r="ODM111" s="36"/>
      <c r="ODN111" s="38"/>
      <c r="ODO111" s="38"/>
      <c r="ODU111" s="36"/>
      <c r="ODV111" s="38"/>
      <c r="ODW111" s="38"/>
      <c r="OEC111" s="36"/>
      <c r="OED111" s="38"/>
      <c r="OEE111" s="38"/>
      <c r="OEK111" s="36"/>
      <c r="OEL111" s="38"/>
      <c r="OEM111" s="38"/>
      <c r="OES111" s="36"/>
      <c r="OET111" s="38"/>
      <c r="OEU111" s="38"/>
      <c r="OFA111" s="36"/>
      <c r="OFB111" s="38"/>
      <c r="OFC111" s="38"/>
      <c r="OFI111" s="36"/>
      <c r="OFJ111" s="38"/>
      <c r="OFK111" s="38"/>
      <c r="OFQ111" s="36"/>
      <c r="OFR111" s="38"/>
      <c r="OFS111" s="38"/>
      <c r="OFY111" s="36"/>
      <c r="OFZ111" s="38"/>
      <c r="OGA111" s="38"/>
      <c r="OGG111" s="36"/>
      <c r="OGH111" s="38"/>
      <c r="OGI111" s="38"/>
      <c r="OGO111" s="36"/>
      <c r="OGP111" s="38"/>
      <c r="OGQ111" s="38"/>
      <c r="OGW111" s="36"/>
      <c r="OGX111" s="38"/>
      <c r="OGY111" s="38"/>
      <c r="OHE111" s="36"/>
      <c r="OHF111" s="38"/>
      <c r="OHG111" s="38"/>
      <c r="OHM111" s="36"/>
      <c r="OHN111" s="38"/>
      <c r="OHO111" s="38"/>
      <c r="OHU111" s="36"/>
      <c r="OHV111" s="38"/>
      <c r="OHW111" s="38"/>
      <c r="OIC111" s="36"/>
      <c r="OID111" s="38"/>
      <c r="OIE111" s="38"/>
      <c r="OIK111" s="36"/>
      <c r="OIL111" s="38"/>
      <c r="OIM111" s="38"/>
      <c r="OIS111" s="36"/>
      <c r="OIT111" s="38"/>
      <c r="OIU111" s="38"/>
      <c r="OJA111" s="36"/>
      <c r="OJB111" s="38"/>
      <c r="OJC111" s="38"/>
      <c r="OJI111" s="36"/>
      <c r="OJJ111" s="38"/>
      <c r="OJK111" s="38"/>
      <c r="OJQ111" s="36"/>
      <c r="OJR111" s="38"/>
      <c r="OJS111" s="38"/>
      <c r="OJY111" s="36"/>
      <c r="OJZ111" s="38"/>
      <c r="OKA111" s="38"/>
      <c r="OKG111" s="36"/>
      <c r="OKH111" s="38"/>
      <c r="OKI111" s="38"/>
      <c r="OKO111" s="36"/>
      <c r="OKP111" s="38"/>
      <c r="OKQ111" s="38"/>
      <c r="OKW111" s="36"/>
      <c r="OKX111" s="38"/>
      <c r="OKY111" s="38"/>
      <c r="OLE111" s="36"/>
      <c r="OLF111" s="38"/>
      <c r="OLG111" s="38"/>
      <c r="OLM111" s="36"/>
      <c r="OLN111" s="38"/>
      <c r="OLO111" s="38"/>
      <c r="OLU111" s="36"/>
      <c r="OLV111" s="38"/>
      <c r="OLW111" s="38"/>
      <c r="OMC111" s="36"/>
      <c r="OMD111" s="38"/>
      <c r="OME111" s="38"/>
      <c r="OMK111" s="36"/>
      <c r="OML111" s="38"/>
      <c r="OMM111" s="38"/>
      <c r="OMS111" s="36"/>
      <c r="OMT111" s="38"/>
      <c r="OMU111" s="38"/>
      <c r="ONA111" s="36"/>
      <c r="ONB111" s="38"/>
      <c r="ONC111" s="38"/>
      <c r="ONI111" s="36"/>
      <c r="ONJ111" s="38"/>
      <c r="ONK111" s="38"/>
      <c r="ONQ111" s="36"/>
      <c r="ONR111" s="38"/>
      <c r="ONS111" s="38"/>
      <c r="ONY111" s="36"/>
      <c r="ONZ111" s="38"/>
      <c r="OOA111" s="38"/>
      <c r="OOG111" s="36"/>
      <c r="OOH111" s="38"/>
      <c r="OOI111" s="38"/>
      <c r="OOO111" s="36"/>
      <c r="OOP111" s="38"/>
      <c r="OOQ111" s="38"/>
      <c r="OOW111" s="36"/>
      <c r="OOX111" s="38"/>
      <c r="OOY111" s="38"/>
      <c r="OPE111" s="36"/>
      <c r="OPF111" s="38"/>
      <c r="OPG111" s="38"/>
      <c r="OPM111" s="36"/>
      <c r="OPN111" s="38"/>
      <c r="OPO111" s="38"/>
      <c r="OPU111" s="36"/>
      <c r="OPV111" s="38"/>
      <c r="OPW111" s="38"/>
      <c r="OQC111" s="36"/>
      <c r="OQD111" s="38"/>
      <c r="OQE111" s="38"/>
      <c r="OQK111" s="36"/>
      <c r="OQL111" s="38"/>
      <c r="OQM111" s="38"/>
      <c r="OQS111" s="36"/>
      <c r="OQT111" s="38"/>
      <c r="OQU111" s="38"/>
      <c r="ORA111" s="36"/>
      <c r="ORB111" s="38"/>
      <c r="ORC111" s="38"/>
      <c r="ORI111" s="36"/>
      <c r="ORJ111" s="38"/>
      <c r="ORK111" s="38"/>
      <c r="ORQ111" s="36"/>
      <c r="ORR111" s="38"/>
      <c r="ORS111" s="38"/>
      <c r="ORY111" s="36"/>
      <c r="ORZ111" s="38"/>
      <c r="OSA111" s="38"/>
      <c r="OSG111" s="36"/>
      <c r="OSH111" s="38"/>
      <c r="OSI111" s="38"/>
      <c r="OSO111" s="36"/>
      <c r="OSP111" s="38"/>
      <c r="OSQ111" s="38"/>
      <c r="OSW111" s="36"/>
      <c r="OSX111" s="38"/>
      <c r="OSY111" s="38"/>
      <c r="OTE111" s="36"/>
      <c r="OTF111" s="38"/>
      <c r="OTG111" s="38"/>
      <c r="OTM111" s="36"/>
      <c r="OTN111" s="38"/>
      <c r="OTO111" s="38"/>
      <c r="OTU111" s="36"/>
      <c r="OTV111" s="38"/>
      <c r="OTW111" s="38"/>
      <c r="OUC111" s="36"/>
      <c r="OUD111" s="38"/>
      <c r="OUE111" s="38"/>
      <c r="OUK111" s="36"/>
      <c r="OUL111" s="38"/>
      <c r="OUM111" s="38"/>
      <c r="OUS111" s="36"/>
      <c r="OUT111" s="38"/>
      <c r="OUU111" s="38"/>
      <c r="OVA111" s="36"/>
      <c r="OVB111" s="38"/>
      <c r="OVC111" s="38"/>
      <c r="OVI111" s="36"/>
      <c r="OVJ111" s="38"/>
      <c r="OVK111" s="38"/>
      <c r="OVQ111" s="36"/>
      <c r="OVR111" s="38"/>
      <c r="OVS111" s="38"/>
      <c r="OVY111" s="36"/>
      <c r="OVZ111" s="38"/>
      <c r="OWA111" s="38"/>
      <c r="OWG111" s="36"/>
      <c r="OWH111" s="38"/>
      <c r="OWI111" s="38"/>
      <c r="OWO111" s="36"/>
      <c r="OWP111" s="38"/>
      <c r="OWQ111" s="38"/>
      <c r="OWW111" s="36"/>
      <c r="OWX111" s="38"/>
      <c r="OWY111" s="38"/>
      <c r="OXE111" s="36"/>
      <c r="OXF111" s="38"/>
      <c r="OXG111" s="38"/>
      <c r="OXM111" s="36"/>
      <c r="OXN111" s="38"/>
      <c r="OXO111" s="38"/>
      <c r="OXU111" s="36"/>
      <c r="OXV111" s="38"/>
      <c r="OXW111" s="38"/>
      <c r="OYC111" s="36"/>
      <c r="OYD111" s="38"/>
      <c r="OYE111" s="38"/>
      <c r="OYK111" s="36"/>
      <c r="OYL111" s="38"/>
      <c r="OYM111" s="38"/>
      <c r="OYS111" s="36"/>
      <c r="OYT111" s="38"/>
      <c r="OYU111" s="38"/>
      <c r="OZA111" s="36"/>
      <c r="OZB111" s="38"/>
      <c r="OZC111" s="38"/>
      <c r="OZI111" s="36"/>
      <c r="OZJ111" s="38"/>
      <c r="OZK111" s="38"/>
      <c r="OZQ111" s="36"/>
      <c r="OZR111" s="38"/>
      <c r="OZS111" s="38"/>
      <c r="OZY111" s="36"/>
      <c r="OZZ111" s="38"/>
      <c r="PAA111" s="38"/>
      <c r="PAG111" s="36"/>
      <c r="PAH111" s="38"/>
      <c r="PAI111" s="38"/>
      <c r="PAO111" s="36"/>
      <c r="PAP111" s="38"/>
      <c r="PAQ111" s="38"/>
      <c r="PAW111" s="36"/>
      <c r="PAX111" s="38"/>
      <c r="PAY111" s="38"/>
      <c r="PBE111" s="36"/>
      <c r="PBF111" s="38"/>
      <c r="PBG111" s="38"/>
      <c r="PBM111" s="36"/>
      <c r="PBN111" s="38"/>
      <c r="PBO111" s="38"/>
      <c r="PBU111" s="36"/>
      <c r="PBV111" s="38"/>
      <c r="PBW111" s="38"/>
      <c r="PCC111" s="36"/>
      <c r="PCD111" s="38"/>
      <c r="PCE111" s="38"/>
      <c r="PCK111" s="36"/>
      <c r="PCL111" s="38"/>
      <c r="PCM111" s="38"/>
      <c r="PCS111" s="36"/>
      <c r="PCT111" s="38"/>
      <c r="PCU111" s="38"/>
      <c r="PDA111" s="36"/>
      <c r="PDB111" s="38"/>
      <c r="PDC111" s="38"/>
      <c r="PDI111" s="36"/>
      <c r="PDJ111" s="38"/>
      <c r="PDK111" s="38"/>
      <c r="PDQ111" s="36"/>
      <c r="PDR111" s="38"/>
      <c r="PDS111" s="38"/>
      <c r="PDY111" s="36"/>
      <c r="PDZ111" s="38"/>
      <c r="PEA111" s="38"/>
      <c r="PEG111" s="36"/>
      <c r="PEH111" s="38"/>
      <c r="PEI111" s="38"/>
      <c r="PEO111" s="36"/>
      <c r="PEP111" s="38"/>
      <c r="PEQ111" s="38"/>
      <c r="PEW111" s="36"/>
      <c r="PEX111" s="38"/>
      <c r="PEY111" s="38"/>
      <c r="PFE111" s="36"/>
      <c r="PFF111" s="38"/>
      <c r="PFG111" s="38"/>
      <c r="PFM111" s="36"/>
      <c r="PFN111" s="38"/>
      <c r="PFO111" s="38"/>
      <c r="PFU111" s="36"/>
      <c r="PFV111" s="38"/>
      <c r="PFW111" s="38"/>
      <c r="PGC111" s="36"/>
      <c r="PGD111" s="38"/>
      <c r="PGE111" s="38"/>
      <c r="PGK111" s="36"/>
      <c r="PGL111" s="38"/>
      <c r="PGM111" s="38"/>
      <c r="PGS111" s="36"/>
      <c r="PGT111" s="38"/>
      <c r="PGU111" s="38"/>
      <c r="PHA111" s="36"/>
      <c r="PHB111" s="38"/>
      <c r="PHC111" s="38"/>
      <c r="PHI111" s="36"/>
      <c r="PHJ111" s="38"/>
      <c r="PHK111" s="38"/>
      <c r="PHQ111" s="36"/>
      <c r="PHR111" s="38"/>
      <c r="PHS111" s="38"/>
      <c r="PHY111" s="36"/>
      <c r="PHZ111" s="38"/>
      <c r="PIA111" s="38"/>
      <c r="PIG111" s="36"/>
      <c r="PIH111" s="38"/>
      <c r="PII111" s="38"/>
      <c r="PIO111" s="36"/>
      <c r="PIP111" s="38"/>
      <c r="PIQ111" s="38"/>
      <c r="PIW111" s="36"/>
      <c r="PIX111" s="38"/>
      <c r="PIY111" s="38"/>
      <c r="PJE111" s="36"/>
      <c r="PJF111" s="38"/>
      <c r="PJG111" s="38"/>
      <c r="PJM111" s="36"/>
      <c r="PJN111" s="38"/>
      <c r="PJO111" s="38"/>
      <c r="PJU111" s="36"/>
      <c r="PJV111" s="38"/>
      <c r="PJW111" s="38"/>
      <c r="PKC111" s="36"/>
      <c r="PKD111" s="38"/>
      <c r="PKE111" s="38"/>
      <c r="PKK111" s="36"/>
      <c r="PKL111" s="38"/>
      <c r="PKM111" s="38"/>
      <c r="PKS111" s="36"/>
      <c r="PKT111" s="38"/>
      <c r="PKU111" s="38"/>
      <c r="PLA111" s="36"/>
      <c r="PLB111" s="38"/>
      <c r="PLC111" s="38"/>
      <c r="PLI111" s="36"/>
      <c r="PLJ111" s="38"/>
      <c r="PLK111" s="38"/>
      <c r="PLQ111" s="36"/>
      <c r="PLR111" s="38"/>
      <c r="PLS111" s="38"/>
      <c r="PLY111" s="36"/>
      <c r="PLZ111" s="38"/>
      <c r="PMA111" s="38"/>
      <c r="PMG111" s="36"/>
      <c r="PMH111" s="38"/>
      <c r="PMI111" s="38"/>
      <c r="PMO111" s="36"/>
      <c r="PMP111" s="38"/>
      <c r="PMQ111" s="38"/>
      <c r="PMW111" s="36"/>
      <c r="PMX111" s="38"/>
      <c r="PMY111" s="38"/>
      <c r="PNE111" s="36"/>
      <c r="PNF111" s="38"/>
      <c r="PNG111" s="38"/>
      <c r="PNM111" s="36"/>
      <c r="PNN111" s="38"/>
      <c r="PNO111" s="38"/>
      <c r="PNU111" s="36"/>
      <c r="PNV111" s="38"/>
      <c r="PNW111" s="38"/>
      <c r="POC111" s="36"/>
      <c r="POD111" s="38"/>
      <c r="POE111" s="38"/>
      <c r="POK111" s="36"/>
      <c r="POL111" s="38"/>
      <c r="POM111" s="38"/>
      <c r="POS111" s="36"/>
      <c r="POT111" s="38"/>
      <c r="POU111" s="38"/>
      <c r="PPA111" s="36"/>
      <c r="PPB111" s="38"/>
      <c r="PPC111" s="38"/>
      <c r="PPI111" s="36"/>
      <c r="PPJ111" s="38"/>
      <c r="PPK111" s="38"/>
      <c r="PPQ111" s="36"/>
      <c r="PPR111" s="38"/>
      <c r="PPS111" s="38"/>
      <c r="PPY111" s="36"/>
      <c r="PPZ111" s="38"/>
      <c r="PQA111" s="38"/>
      <c r="PQG111" s="36"/>
      <c r="PQH111" s="38"/>
      <c r="PQI111" s="38"/>
      <c r="PQO111" s="36"/>
      <c r="PQP111" s="38"/>
      <c r="PQQ111" s="38"/>
      <c r="PQW111" s="36"/>
      <c r="PQX111" s="38"/>
      <c r="PQY111" s="38"/>
      <c r="PRE111" s="36"/>
      <c r="PRF111" s="38"/>
      <c r="PRG111" s="38"/>
      <c r="PRM111" s="36"/>
      <c r="PRN111" s="38"/>
      <c r="PRO111" s="38"/>
      <c r="PRU111" s="36"/>
      <c r="PRV111" s="38"/>
      <c r="PRW111" s="38"/>
      <c r="PSC111" s="36"/>
      <c r="PSD111" s="38"/>
      <c r="PSE111" s="38"/>
      <c r="PSK111" s="36"/>
      <c r="PSL111" s="38"/>
      <c r="PSM111" s="38"/>
      <c r="PSS111" s="36"/>
      <c r="PST111" s="38"/>
      <c r="PSU111" s="38"/>
      <c r="PTA111" s="36"/>
      <c r="PTB111" s="38"/>
      <c r="PTC111" s="38"/>
      <c r="PTI111" s="36"/>
      <c r="PTJ111" s="38"/>
      <c r="PTK111" s="38"/>
      <c r="PTQ111" s="36"/>
      <c r="PTR111" s="38"/>
      <c r="PTS111" s="38"/>
      <c r="PTY111" s="36"/>
      <c r="PTZ111" s="38"/>
      <c r="PUA111" s="38"/>
      <c r="PUG111" s="36"/>
      <c r="PUH111" s="38"/>
      <c r="PUI111" s="38"/>
      <c r="PUO111" s="36"/>
      <c r="PUP111" s="38"/>
      <c r="PUQ111" s="38"/>
      <c r="PUW111" s="36"/>
      <c r="PUX111" s="38"/>
      <c r="PUY111" s="38"/>
      <c r="PVE111" s="36"/>
      <c r="PVF111" s="38"/>
      <c r="PVG111" s="38"/>
      <c r="PVM111" s="36"/>
      <c r="PVN111" s="38"/>
      <c r="PVO111" s="38"/>
      <c r="PVU111" s="36"/>
      <c r="PVV111" s="38"/>
      <c r="PVW111" s="38"/>
      <c r="PWC111" s="36"/>
      <c r="PWD111" s="38"/>
      <c r="PWE111" s="38"/>
      <c r="PWK111" s="36"/>
      <c r="PWL111" s="38"/>
      <c r="PWM111" s="38"/>
      <c r="PWS111" s="36"/>
      <c r="PWT111" s="38"/>
      <c r="PWU111" s="38"/>
      <c r="PXA111" s="36"/>
      <c r="PXB111" s="38"/>
      <c r="PXC111" s="38"/>
      <c r="PXI111" s="36"/>
      <c r="PXJ111" s="38"/>
      <c r="PXK111" s="38"/>
      <c r="PXQ111" s="36"/>
      <c r="PXR111" s="38"/>
      <c r="PXS111" s="38"/>
      <c r="PXY111" s="36"/>
      <c r="PXZ111" s="38"/>
      <c r="PYA111" s="38"/>
      <c r="PYG111" s="36"/>
      <c r="PYH111" s="38"/>
      <c r="PYI111" s="38"/>
      <c r="PYO111" s="36"/>
      <c r="PYP111" s="38"/>
      <c r="PYQ111" s="38"/>
      <c r="PYW111" s="36"/>
      <c r="PYX111" s="38"/>
      <c r="PYY111" s="38"/>
      <c r="PZE111" s="36"/>
      <c r="PZF111" s="38"/>
      <c r="PZG111" s="38"/>
      <c r="PZM111" s="36"/>
      <c r="PZN111" s="38"/>
      <c r="PZO111" s="38"/>
      <c r="PZU111" s="36"/>
      <c r="PZV111" s="38"/>
      <c r="PZW111" s="38"/>
      <c r="QAC111" s="36"/>
      <c r="QAD111" s="38"/>
      <c r="QAE111" s="38"/>
      <c r="QAK111" s="36"/>
      <c r="QAL111" s="38"/>
      <c r="QAM111" s="38"/>
      <c r="QAS111" s="36"/>
      <c r="QAT111" s="38"/>
      <c r="QAU111" s="38"/>
      <c r="QBA111" s="36"/>
      <c r="QBB111" s="38"/>
      <c r="QBC111" s="38"/>
      <c r="QBI111" s="36"/>
      <c r="QBJ111" s="38"/>
      <c r="QBK111" s="38"/>
      <c r="QBQ111" s="36"/>
      <c r="QBR111" s="38"/>
      <c r="QBS111" s="38"/>
      <c r="QBY111" s="36"/>
      <c r="QBZ111" s="38"/>
      <c r="QCA111" s="38"/>
      <c r="QCG111" s="36"/>
      <c r="QCH111" s="38"/>
      <c r="QCI111" s="38"/>
      <c r="QCO111" s="36"/>
      <c r="QCP111" s="38"/>
      <c r="QCQ111" s="38"/>
      <c r="QCW111" s="36"/>
      <c r="QCX111" s="38"/>
      <c r="QCY111" s="38"/>
      <c r="QDE111" s="36"/>
      <c r="QDF111" s="38"/>
      <c r="QDG111" s="38"/>
      <c r="QDM111" s="36"/>
      <c r="QDN111" s="38"/>
      <c r="QDO111" s="38"/>
      <c r="QDU111" s="36"/>
      <c r="QDV111" s="38"/>
      <c r="QDW111" s="38"/>
      <c r="QEC111" s="36"/>
      <c r="QED111" s="38"/>
      <c r="QEE111" s="38"/>
      <c r="QEK111" s="36"/>
      <c r="QEL111" s="38"/>
      <c r="QEM111" s="38"/>
      <c r="QES111" s="36"/>
      <c r="QET111" s="38"/>
      <c r="QEU111" s="38"/>
      <c r="QFA111" s="36"/>
      <c r="QFB111" s="38"/>
      <c r="QFC111" s="38"/>
      <c r="QFI111" s="36"/>
      <c r="QFJ111" s="38"/>
      <c r="QFK111" s="38"/>
      <c r="QFQ111" s="36"/>
      <c r="QFR111" s="38"/>
      <c r="QFS111" s="38"/>
      <c r="QFY111" s="36"/>
      <c r="QFZ111" s="38"/>
      <c r="QGA111" s="38"/>
      <c r="QGG111" s="36"/>
      <c r="QGH111" s="38"/>
      <c r="QGI111" s="38"/>
      <c r="QGO111" s="36"/>
      <c r="QGP111" s="38"/>
      <c r="QGQ111" s="38"/>
      <c r="QGW111" s="36"/>
      <c r="QGX111" s="38"/>
      <c r="QGY111" s="38"/>
      <c r="QHE111" s="36"/>
      <c r="QHF111" s="38"/>
      <c r="QHG111" s="38"/>
      <c r="QHM111" s="36"/>
      <c r="QHN111" s="38"/>
      <c r="QHO111" s="38"/>
      <c r="QHU111" s="36"/>
      <c r="QHV111" s="38"/>
      <c r="QHW111" s="38"/>
      <c r="QIC111" s="36"/>
      <c r="QID111" s="38"/>
      <c r="QIE111" s="38"/>
      <c r="QIK111" s="36"/>
      <c r="QIL111" s="38"/>
      <c r="QIM111" s="38"/>
      <c r="QIS111" s="36"/>
      <c r="QIT111" s="38"/>
      <c r="QIU111" s="38"/>
      <c r="QJA111" s="36"/>
      <c r="QJB111" s="38"/>
      <c r="QJC111" s="38"/>
      <c r="QJI111" s="36"/>
      <c r="QJJ111" s="38"/>
      <c r="QJK111" s="38"/>
      <c r="QJQ111" s="36"/>
      <c r="QJR111" s="38"/>
      <c r="QJS111" s="38"/>
      <c r="QJY111" s="36"/>
      <c r="QJZ111" s="38"/>
      <c r="QKA111" s="38"/>
      <c r="QKG111" s="36"/>
      <c r="QKH111" s="38"/>
      <c r="QKI111" s="38"/>
      <c r="QKO111" s="36"/>
      <c r="QKP111" s="38"/>
      <c r="QKQ111" s="38"/>
      <c r="QKW111" s="36"/>
      <c r="QKX111" s="38"/>
      <c r="QKY111" s="38"/>
      <c r="QLE111" s="36"/>
      <c r="QLF111" s="38"/>
      <c r="QLG111" s="38"/>
      <c r="QLM111" s="36"/>
      <c r="QLN111" s="38"/>
      <c r="QLO111" s="38"/>
      <c r="QLU111" s="36"/>
      <c r="QLV111" s="38"/>
      <c r="QLW111" s="38"/>
      <c r="QMC111" s="36"/>
      <c r="QMD111" s="38"/>
      <c r="QME111" s="38"/>
      <c r="QMK111" s="36"/>
      <c r="QML111" s="38"/>
      <c r="QMM111" s="38"/>
      <c r="QMS111" s="36"/>
      <c r="QMT111" s="38"/>
      <c r="QMU111" s="38"/>
      <c r="QNA111" s="36"/>
      <c r="QNB111" s="38"/>
      <c r="QNC111" s="38"/>
      <c r="QNI111" s="36"/>
      <c r="QNJ111" s="38"/>
      <c r="QNK111" s="38"/>
      <c r="QNQ111" s="36"/>
      <c r="QNR111" s="38"/>
      <c r="QNS111" s="38"/>
      <c r="QNY111" s="36"/>
      <c r="QNZ111" s="38"/>
      <c r="QOA111" s="38"/>
      <c r="QOG111" s="36"/>
      <c r="QOH111" s="38"/>
      <c r="QOI111" s="38"/>
      <c r="QOO111" s="36"/>
      <c r="QOP111" s="38"/>
      <c r="QOQ111" s="38"/>
      <c r="QOW111" s="36"/>
      <c r="QOX111" s="38"/>
      <c r="QOY111" s="38"/>
      <c r="QPE111" s="36"/>
      <c r="QPF111" s="38"/>
      <c r="QPG111" s="38"/>
      <c r="QPM111" s="36"/>
      <c r="QPN111" s="38"/>
      <c r="QPO111" s="38"/>
      <c r="QPU111" s="36"/>
      <c r="QPV111" s="38"/>
      <c r="QPW111" s="38"/>
      <c r="QQC111" s="36"/>
      <c r="QQD111" s="38"/>
      <c r="QQE111" s="38"/>
      <c r="QQK111" s="36"/>
      <c r="QQL111" s="38"/>
      <c r="QQM111" s="38"/>
      <c r="QQS111" s="36"/>
      <c r="QQT111" s="38"/>
      <c r="QQU111" s="38"/>
      <c r="QRA111" s="36"/>
      <c r="QRB111" s="38"/>
      <c r="QRC111" s="38"/>
      <c r="QRI111" s="36"/>
      <c r="QRJ111" s="38"/>
      <c r="QRK111" s="38"/>
      <c r="QRQ111" s="36"/>
      <c r="QRR111" s="38"/>
      <c r="QRS111" s="38"/>
      <c r="QRY111" s="36"/>
      <c r="QRZ111" s="38"/>
      <c r="QSA111" s="38"/>
      <c r="QSG111" s="36"/>
      <c r="QSH111" s="38"/>
      <c r="QSI111" s="38"/>
      <c r="QSO111" s="36"/>
      <c r="QSP111" s="38"/>
      <c r="QSQ111" s="38"/>
      <c r="QSW111" s="36"/>
      <c r="QSX111" s="38"/>
      <c r="QSY111" s="38"/>
      <c r="QTE111" s="36"/>
      <c r="QTF111" s="38"/>
      <c r="QTG111" s="38"/>
      <c r="QTM111" s="36"/>
      <c r="QTN111" s="38"/>
      <c r="QTO111" s="38"/>
      <c r="QTU111" s="36"/>
      <c r="QTV111" s="38"/>
      <c r="QTW111" s="38"/>
      <c r="QUC111" s="36"/>
      <c r="QUD111" s="38"/>
      <c r="QUE111" s="38"/>
      <c r="QUK111" s="36"/>
      <c r="QUL111" s="38"/>
      <c r="QUM111" s="38"/>
      <c r="QUS111" s="36"/>
      <c r="QUT111" s="38"/>
      <c r="QUU111" s="38"/>
      <c r="QVA111" s="36"/>
      <c r="QVB111" s="38"/>
      <c r="QVC111" s="38"/>
      <c r="QVI111" s="36"/>
      <c r="QVJ111" s="38"/>
      <c r="QVK111" s="38"/>
      <c r="QVQ111" s="36"/>
      <c r="QVR111" s="38"/>
      <c r="QVS111" s="38"/>
      <c r="QVY111" s="36"/>
      <c r="QVZ111" s="38"/>
      <c r="QWA111" s="38"/>
      <c r="QWG111" s="36"/>
      <c r="QWH111" s="38"/>
      <c r="QWI111" s="38"/>
      <c r="QWO111" s="36"/>
      <c r="QWP111" s="38"/>
      <c r="QWQ111" s="38"/>
      <c r="QWW111" s="36"/>
      <c r="QWX111" s="38"/>
      <c r="QWY111" s="38"/>
      <c r="QXE111" s="36"/>
      <c r="QXF111" s="38"/>
      <c r="QXG111" s="38"/>
      <c r="QXM111" s="36"/>
      <c r="QXN111" s="38"/>
      <c r="QXO111" s="38"/>
      <c r="QXU111" s="36"/>
      <c r="QXV111" s="38"/>
      <c r="QXW111" s="38"/>
      <c r="QYC111" s="36"/>
      <c r="QYD111" s="38"/>
      <c r="QYE111" s="38"/>
      <c r="QYK111" s="36"/>
      <c r="QYL111" s="38"/>
      <c r="QYM111" s="38"/>
      <c r="QYS111" s="36"/>
      <c r="QYT111" s="38"/>
      <c r="QYU111" s="38"/>
      <c r="QZA111" s="36"/>
      <c r="QZB111" s="38"/>
      <c r="QZC111" s="38"/>
      <c r="QZI111" s="36"/>
      <c r="QZJ111" s="38"/>
      <c r="QZK111" s="38"/>
      <c r="QZQ111" s="36"/>
      <c r="QZR111" s="38"/>
      <c r="QZS111" s="38"/>
      <c r="QZY111" s="36"/>
      <c r="QZZ111" s="38"/>
      <c r="RAA111" s="38"/>
      <c r="RAG111" s="36"/>
      <c r="RAH111" s="38"/>
      <c r="RAI111" s="38"/>
      <c r="RAO111" s="36"/>
      <c r="RAP111" s="38"/>
      <c r="RAQ111" s="38"/>
      <c r="RAW111" s="36"/>
      <c r="RAX111" s="38"/>
      <c r="RAY111" s="38"/>
      <c r="RBE111" s="36"/>
      <c r="RBF111" s="38"/>
      <c r="RBG111" s="38"/>
      <c r="RBM111" s="36"/>
      <c r="RBN111" s="38"/>
      <c r="RBO111" s="38"/>
      <c r="RBU111" s="36"/>
      <c r="RBV111" s="38"/>
      <c r="RBW111" s="38"/>
      <c r="RCC111" s="36"/>
      <c r="RCD111" s="38"/>
      <c r="RCE111" s="38"/>
      <c r="RCK111" s="36"/>
      <c r="RCL111" s="38"/>
      <c r="RCM111" s="38"/>
      <c r="RCS111" s="36"/>
      <c r="RCT111" s="38"/>
      <c r="RCU111" s="38"/>
      <c r="RDA111" s="36"/>
      <c r="RDB111" s="38"/>
      <c r="RDC111" s="38"/>
      <c r="RDI111" s="36"/>
      <c r="RDJ111" s="38"/>
      <c r="RDK111" s="38"/>
      <c r="RDQ111" s="36"/>
      <c r="RDR111" s="38"/>
      <c r="RDS111" s="38"/>
      <c r="RDY111" s="36"/>
      <c r="RDZ111" s="38"/>
      <c r="REA111" s="38"/>
      <c r="REG111" s="36"/>
      <c r="REH111" s="38"/>
      <c r="REI111" s="38"/>
      <c r="REO111" s="36"/>
      <c r="REP111" s="38"/>
      <c r="REQ111" s="38"/>
      <c r="REW111" s="36"/>
      <c r="REX111" s="38"/>
      <c r="REY111" s="38"/>
      <c r="RFE111" s="36"/>
      <c r="RFF111" s="38"/>
      <c r="RFG111" s="38"/>
      <c r="RFM111" s="36"/>
      <c r="RFN111" s="38"/>
      <c r="RFO111" s="38"/>
      <c r="RFU111" s="36"/>
      <c r="RFV111" s="38"/>
      <c r="RFW111" s="38"/>
      <c r="RGC111" s="36"/>
      <c r="RGD111" s="38"/>
      <c r="RGE111" s="38"/>
      <c r="RGK111" s="36"/>
      <c r="RGL111" s="38"/>
      <c r="RGM111" s="38"/>
      <c r="RGS111" s="36"/>
      <c r="RGT111" s="38"/>
      <c r="RGU111" s="38"/>
      <c r="RHA111" s="36"/>
      <c r="RHB111" s="38"/>
      <c r="RHC111" s="38"/>
      <c r="RHI111" s="36"/>
      <c r="RHJ111" s="38"/>
      <c r="RHK111" s="38"/>
      <c r="RHQ111" s="36"/>
      <c r="RHR111" s="38"/>
      <c r="RHS111" s="38"/>
      <c r="RHY111" s="36"/>
      <c r="RHZ111" s="38"/>
      <c r="RIA111" s="38"/>
      <c r="RIG111" s="36"/>
      <c r="RIH111" s="38"/>
      <c r="RII111" s="38"/>
      <c r="RIO111" s="36"/>
      <c r="RIP111" s="38"/>
      <c r="RIQ111" s="38"/>
      <c r="RIW111" s="36"/>
      <c r="RIX111" s="38"/>
      <c r="RIY111" s="38"/>
      <c r="RJE111" s="36"/>
      <c r="RJF111" s="38"/>
      <c r="RJG111" s="38"/>
      <c r="RJM111" s="36"/>
      <c r="RJN111" s="38"/>
      <c r="RJO111" s="38"/>
      <c r="RJU111" s="36"/>
      <c r="RJV111" s="38"/>
      <c r="RJW111" s="38"/>
      <c r="RKC111" s="36"/>
      <c r="RKD111" s="38"/>
      <c r="RKE111" s="38"/>
      <c r="RKK111" s="36"/>
      <c r="RKL111" s="38"/>
      <c r="RKM111" s="38"/>
      <c r="RKS111" s="36"/>
      <c r="RKT111" s="38"/>
      <c r="RKU111" s="38"/>
      <c r="RLA111" s="36"/>
      <c r="RLB111" s="38"/>
      <c r="RLC111" s="38"/>
      <c r="RLI111" s="36"/>
      <c r="RLJ111" s="38"/>
      <c r="RLK111" s="38"/>
      <c r="RLQ111" s="36"/>
      <c r="RLR111" s="38"/>
      <c r="RLS111" s="38"/>
      <c r="RLY111" s="36"/>
      <c r="RLZ111" s="38"/>
      <c r="RMA111" s="38"/>
      <c r="RMG111" s="36"/>
      <c r="RMH111" s="38"/>
      <c r="RMI111" s="38"/>
      <c r="RMO111" s="36"/>
      <c r="RMP111" s="38"/>
      <c r="RMQ111" s="38"/>
      <c r="RMW111" s="36"/>
      <c r="RMX111" s="38"/>
      <c r="RMY111" s="38"/>
      <c r="RNE111" s="36"/>
      <c r="RNF111" s="38"/>
      <c r="RNG111" s="38"/>
      <c r="RNM111" s="36"/>
      <c r="RNN111" s="38"/>
      <c r="RNO111" s="38"/>
      <c r="RNU111" s="36"/>
      <c r="RNV111" s="38"/>
      <c r="RNW111" s="38"/>
      <c r="ROC111" s="36"/>
      <c r="ROD111" s="38"/>
      <c r="ROE111" s="38"/>
      <c r="ROK111" s="36"/>
      <c r="ROL111" s="38"/>
      <c r="ROM111" s="38"/>
      <c r="ROS111" s="36"/>
      <c r="ROT111" s="38"/>
      <c r="ROU111" s="38"/>
      <c r="RPA111" s="36"/>
      <c r="RPB111" s="38"/>
      <c r="RPC111" s="38"/>
      <c r="RPI111" s="36"/>
      <c r="RPJ111" s="38"/>
      <c r="RPK111" s="38"/>
      <c r="RPQ111" s="36"/>
      <c r="RPR111" s="38"/>
      <c r="RPS111" s="38"/>
      <c r="RPY111" s="36"/>
      <c r="RPZ111" s="38"/>
      <c r="RQA111" s="38"/>
      <c r="RQG111" s="36"/>
      <c r="RQH111" s="38"/>
      <c r="RQI111" s="38"/>
      <c r="RQO111" s="36"/>
      <c r="RQP111" s="38"/>
      <c r="RQQ111" s="38"/>
      <c r="RQW111" s="36"/>
      <c r="RQX111" s="38"/>
      <c r="RQY111" s="38"/>
      <c r="RRE111" s="36"/>
      <c r="RRF111" s="38"/>
      <c r="RRG111" s="38"/>
      <c r="RRM111" s="36"/>
      <c r="RRN111" s="38"/>
      <c r="RRO111" s="38"/>
      <c r="RRU111" s="36"/>
      <c r="RRV111" s="38"/>
      <c r="RRW111" s="38"/>
      <c r="RSC111" s="36"/>
      <c r="RSD111" s="38"/>
      <c r="RSE111" s="38"/>
      <c r="RSK111" s="36"/>
      <c r="RSL111" s="38"/>
      <c r="RSM111" s="38"/>
      <c r="RSS111" s="36"/>
      <c r="RST111" s="38"/>
      <c r="RSU111" s="38"/>
      <c r="RTA111" s="36"/>
      <c r="RTB111" s="38"/>
      <c r="RTC111" s="38"/>
      <c r="RTI111" s="36"/>
      <c r="RTJ111" s="38"/>
      <c r="RTK111" s="38"/>
      <c r="RTQ111" s="36"/>
      <c r="RTR111" s="38"/>
      <c r="RTS111" s="38"/>
      <c r="RTY111" s="36"/>
      <c r="RTZ111" s="38"/>
      <c r="RUA111" s="38"/>
      <c r="RUG111" s="36"/>
      <c r="RUH111" s="38"/>
      <c r="RUI111" s="38"/>
      <c r="RUO111" s="36"/>
      <c r="RUP111" s="38"/>
      <c r="RUQ111" s="38"/>
      <c r="RUW111" s="36"/>
      <c r="RUX111" s="38"/>
      <c r="RUY111" s="38"/>
      <c r="RVE111" s="36"/>
      <c r="RVF111" s="38"/>
      <c r="RVG111" s="38"/>
      <c r="RVM111" s="36"/>
      <c r="RVN111" s="38"/>
      <c r="RVO111" s="38"/>
      <c r="RVU111" s="36"/>
      <c r="RVV111" s="38"/>
      <c r="RVW111" s="38"/>
      <c r="RWC111" s="36"/>
      <c r="RWD111" s="38"/>
      <c r="RWE111" s="38"/>
      <c r="RWK111" s="36"/>
      <c r="RWL111" s="38"/>
      <c r="RWM111" s="38"/>
      <c r="RWS111" s="36"/>
      <c r="RWT111" s="38"/>
      <c r="RWU111" s="38"/>
      <c r="RXA111" s="36"/>
      <c r="RXB111" s="38"/>
      <c r="RXC111" s="38"/>
      <c r="RXI111" s="36"/>
      <c r="RXJ111" s="38"/>
      <c r="RXK111" s="38"/>
      <c r="RXQ111" s="36"/>
      <c r="RXR111" s="38"/>
      <c r="RXS111" s="38"/>
      <c r="RXY111" s="36"/>
      <c r="RXZ111" s="38"/>
      <c r="RYA111" s="38"/>
      <c r="RYG111" s="36"/>
      <c r="RYH111" s="38"/>
      <c r="RYI111" s="38"/>
      <c r="RYO111" s="36"/>
      <c r="RYP111" s="38"/>
      <c r="RYQ111" s="38"/>
      <c r="RYW111" s="36"/>
      <c r="RYX111" s="38"/>
      <c r="RYY111" s="38"/>
      <c r="RZE111" s="36"/>
      <c r="RZF111" s="38"/>
      <c r="RZG111" s="38"/>
      <c r="RZM111" s="36"/>
      <c r="RZN111" s="38"/>
      <c r="RZO111" s="38"/>
      <c r="RZU111" s="36"/>
      <c r="RZV111" s="38"/>
      <c r="RZW111" s="38"/>
      <c r="SAC111" s="36"/>
      <c r="SAD111" s="38"/>
      <c r="SAE111" s="38"/>
      <c r="SAK111" s="36"/>
      <c r="SAL111" s="38"/>
      <c r="SAM111" s="38"/>
      <c r="SAS111" s="36"/>
      <c r="SAT111" s="38"/>
      <c r="SAU111" s="38"/>
      <c r="SBA111" s="36"/>
      <c r="SBB111" s="38"/>
      <c r="SBC111" s="38"/>
      <c r="SBI111" s="36"/>
      <c r="SBJ111" s="38"/>
      <c r="SBK111" s="38"/>
      <c r="SBQ111" s="36"/>
      <c r="SBR111" s="38"/>
      <c r="SBS111" s="38"/>
      <c r="SBY111" s="36"/>
      <c r="SBZ111" s="38"/>
      <c r="SCA111" s="38"/>
      <c r="SCG111" s="36"/>
      <c r="SCH111" s="38"/>
      <c r="SCI111" s="38"/>
      <c r="SCO111" s="36"/>
      <c r="SCP111" s="38"/>
      <c r="SCQ111" s="38"/>
      <c r="SCW111" s="36"/>
      <c r="SCX111" s="38"/>
      <c r="SCY111" s="38"/>
      <c r="SDE111" s="36"/>
      <c r="SDF111" s="38"/>
      <c r="SDG111" s="38"/>
      <c r="SDM111" s="36"/>
      <c r="SDN111" s="38"/>
      <c r="SDO111" s="38"/>
      <c r="SDU111" s="36"/>
      <c r="SDV111" s="38"/>
      <c r="SDW111" s="38"/>
      <c r="SEC111" s="36"/>
      <c r="SED111" s="38"/>
      <c r="SEE111" s="38"/>
      <c r="SEK111" s="36"/>
      <c r="SEL111" s="38"/>
      <c r="SEM111" s="38"/>
      <c r="SES111" s="36"/>
      <c r="SET111" s="38"/>
      <c r="SEU111" s="38"/>
      <c r="SFA111" s="36"/>
      <c r="SFB111" s="38"/>
      <c r="SFC111" s="38"/>
      <c r="SFI111" s="36"/>
      <c r="SFJ111" s="38"/>
      <c r="SFK111" s="38"/>
      <c r="SFQ111" s="36"/>
      <c r="SFR111" s="38"/>
      <c r="SFS111" s="38"/>
      <c r="SFY111" s="36"/>
      <c r="SFZ111" s="38"/>
      <c r="SGA111" s="38"/>
      <c r="SGG111" s="36"/>
      <c r="SGH111" s="38"/>
      <c r="SGI111" s="38"/>
      <c r="SGO111" s="36"/>
      <c r="SGP111" s="38"/>
      <c r="SGQ111" s="38"/>
      <c r="SGW111" s="36"/>
      <c r="SGX111" s="38"/>
      <c r="SGY111" s="38"/>
      <c r="SHE111" s="36"/>
      <c r="SHF111" s="38"/>
      <c r="SHG111" s="38"/>
      <c r="SHM111" s="36"/>
      <c r="SHN111" s="38"/>
      <c r="SHO111" s="38"/>
      <c r="SHU111" s="36"/>
      <c r="SHV111" s="38"/>
      <c r="SHW111" s="38"/>
      <c r="SIC111" s="36"/>
      <c r="SID111" s="38"/>
      <c r="SIE111" s="38"/>
      <c r="SIK111" s="36"/>
      <c r="SIL111" s="38"/>
      <c r="SIM111" s="38"/>
      <c r="SIS111" s="36"/>
      <c r="SIT111" s="38"/>
      <c r="SIU111" s="38"/>
      <c r="SJA111" s="36"/>
      <c r="SJB111" s="38"/>
      <c r="SJC111" s="38"/>
      <c r="SJI111" s="36"/>
      <c r="SJJ111" s="38"/>
      <c r="SJK111" s="38"/>
      <c r="SJQ111" s="36"/>
      <c r="SJR111" s="38"/>
      <c r="SJS111" s="38"/>
      <c r="SJY111" s="36"/>
      <c r="SJZ111" s="38"/>
      <c r="SKA111" s="38"/>
      <c r="SKG111" s="36"/>
      <c r="SKH111" s="38"/>
      <c r="SKI111" s="38"/>
      <c r="SKO111" s="36"/>
      <c r="SKP111" s="38"/>
      <c r="SKQ111" s="38"/>
      <c r="SKW111" s="36"/>
      <c r="SKX111" s="38"/>
      <c r="SKY111" s="38"/>
      <c r="SLE111" s="36"/>
      <c r="SLF111" s="38"/>
      <c r="SLG111" s="38"/>
      <c r="SLM111" s="36"/>
      <c r="SLN111" s="38"/>
      <c r="SLO111" s="38"/>
      <c r="SLU111" s="36"/>
      <c r="SLV111" s="38"/>
      <c r="SLW111" s="38"/>
      <c r="SMC111" s="36"/>
      <c r="SMD111" s="38"/>
      <c r="SME111" s="38"/>
      <c r="SMK111" s="36"/>
      <c r="SML111" s="38"/>
      <c r="SMM111" s="38"/>
      <c r="SMS111" s="36"/>
      <c r="SMT111" s="38"/>
      <c r="SMU111" s="38"/>
      <c r="SNA111" s="36"/>
      <c r="SNB111" s="38"/>
      <c r="SNC111" s="38"/>
      <c r="SNI111" s="36"/>
      <c r="SNJ111" s="38"/>
      <c r="SNK111" s="38"/>
      <c r="SNQ111" s="36"/>
      <c r="SNR111" s="38"/>
      <c r="SNS111" s="38"/>
      <c r="SNY111" s="36"/>
      <c r="SNZ111" s="38"/>
      <c r="SOA111" s="38"/>
      <c r="SOG111" s="36"/>
      <c r="SOH111" s="38"/>
      <c r="SOI111" s="38"/>
      <c r="SOO111" s="36"/>
      <c r="SOP111" s="38"/>
      <c r="SOQ111" s="38"/>
      <c r="SOW111" s="36"/>
      <c r="SOX111" s="38"/>
      <c r="SOY111" s="38"/>
      <c r="SPE111" s="36"/>
      <c r="SPF111" s="38"/>
      <c r="SPG111" s="38"/>
      <c r="SPM111" s="36"/>
      <c r="SPN111" s="38"/>
      <c r="SPO111" s="38"/>
      <c r="SPU111" s="36"/>
      <c r="SPV111" s="38"/>
      <c r="SPW111" s="38"/>
      <c r="SQC111" s="36"/>
      <c r="SQD111" s="38"/>
      <c r="SQE111" s="38"/>
      <c r="SQK111" s="36"/>
      <c r="SQL111" s="38"/>
      <c r="SQM111" s="38"/>
      <c r="SQS111" s="36"/>
      <c r="SQT111" s="38"/>
      <c r="SQU111" s="38"/>
      <c r="SRA111" s="36"/>
      <c r="SRB111" s="38"/>
      <c r="SRC111" s="38"/>
      <c r="SRI111" s="36"/>
      <c r="SRJ111" s="38"/>
      <c r="SRK111" s="38"/>
      <c r="SRQ111" s="36"/>
      <c r="SRR111" s="38"/>
      <c r="SRS111" s="38"/>
      <c r="SRY111" s="36"/>
      <c r="SRZ111" s="38"/>
      <c r="SSA111" s="38"/>
      <c r="SSG111" s="36"/>
      <c r="SSH111" s="38"/>
      <c r="SSI111" s="38"/>
      <c r="SSO111" s="36"/>
      <c r="SSP111" s="38"/>
      <c r="SSQ111" s="38"/>
      <c r="SSW111" s="36"/>
      <c r="SSX111" s="38"/>
      <c r="SSY111" s="38"/>
      <c r="STE111" s="36"/>
      <c r="STF111" s="38"/>
      <c r="STG111" s="38"/>
      <c r="STM111" s="36"/>
      <c r="STN111" s="38"/>
      <c r="STO111" s="38"/>
      <c r="STU111" s="36"/>
      <c r="STV111" s="38"/>
      <c r="STW111" s="38"/>
      <c r="SUC111" s="36"/>
      <c r="SUD111" s="38"/>
      <c r="SUE111" s="38"/>
      <c r="SUK111" s="36"/>
      <c r="SUL111" s="38"/>
      <c r="SUM111" s="38"/>
      <c r="SUS111" s="36"/>
      <c r="SUT111" s="38"/>
      <c r="SUU111" s="38"/>
      <c r="SVA111" s="36"/>
      <c r="SVB111" s="38"/>
      <c r="SVC111" s="38"/>
      <c r="SVI111" s="36"/>
      <c r="SVJ111" s="38"/>
      <c r="SVK111" s="38"/>
      <c r="SVQ111" s="36"/>
      <c r="SVR111" s="38"/>
      <c r="SVS111" s="38"/>
      <c r="SVY111" s="36"/>
      <c r="SVZ111" s="38"/>
      <c r="SWA111" s="38"/>
      <c r="SWG111" s="36"/>
      <c r="SWH111" s="38"/>
      <c r="SWI111" s="38"/>
      <c r="SWO111" s="36"/>
      <c r="SWP111" s="38"/>
      <c r="SWQ111" s="38"/>
      <c r="SWW111" s="36"/>
      <c r="SWX111" s="38"/>
      <c r="SWY111" s="38"/>
      <c r="SXE111" s="36"/>
      <c r="SXF111" s="38"/>
      <c r="SXG111" s="38"/>
      <c r="SXM111" s="36"/>
      <c r="SXN111" s="38"/>
      <c r="SXO111" s="38"/>
      <c r="SXU111" s="36"/>
      <c r="SXV111" s="38"/>
      <c r="SXW111" s="38"/>
      <c r="SYC111" s="36"/>
      <c r="SYD111" s="38"/>
      <c r="SYE111" s="38"/>
      <c r="SYK111" s="36"/>
      <c r="SYL111" s="38"/>
      <c r="SYM111" s="38"/>
      <c r="SYS111" s="36"/>
      <c r="SYT111" s="38"/>
      <c r="SYU111" s="38"/>
      <c r="SZA111" s="36"/>
      <c r="SZB111" s="38"/>
      <c r="SZC111" s="38"/>
      <c r="SZI111" s="36"/>
      <c r="SZJ111" s="38"/>
      <c r="SZK111" s="38"/>
      <c r="SZQ111" s="36"/>
      <c r="SZR111" s="38"/>
      <c r="SZS111" s="38"/>
      <c r="SZY111" s="36"/>
      <c r="SZZ111" s="38"/>
      <c r="TAA111" s="38"/>
      <c r="TAG111" s="36"/>
      <c r="TAH111" s="38"/>
      <c r="TAI111" s="38"/>
      <c r="TAO111" s="36"/>
      <c r="TAP111" s="38"/>
      <c r="TAQ111" s="38"/>
      <c r="TAW111" s="36"/>
      <c r="TAX111" s="38"/>
      <c r="TAY111" s="38"/>
      <c r="TBE111" s="36"/>
      <c r="TBF111" s="38"/>
      <c r="TBG111" s="38"/>
      <c r="TBM111" s="36"/>
      <c r="TBN111" s="38"/>
      <c r="TBO111" s="38"/>
      <c r="TBU111" s="36"/>
      <c r="TBV111" s="38"/>
      <c r="TBW111" s="38"/>
      <c r="TCC111" s="36"/>
      <c r="TCD111" s="38"/>
      <c r="TCE111" s="38"/>
      <c r="TCK111" s="36"/>
      <c r="TCL111" s="38"/>
      <c r="TCM111" s="38"/>
      <c r="TCS111" s="36"/>
      <c r="TCT111" s="38"/>
      <c r="TCU111" s="38"/>
      <c r="TDA111" s="36"/>
      <c r="TDB111" s="38"/>
      <c r="TDC111" s="38"/>
      <c r="TDI111" s="36"/>
      <c r="TDJ111" s="38"/>
      <c r="TDK111" s="38"/>
      <c r="TDQ111" s="36"/>
      <c r="TDR111" s="38"/>
      <c r="TDS111" s="38"/>
      <c r="TDY111" s="36"/>
      <c r="TDZ111" s="38"/>
      <c r="TEA111" s="38"/>
      <c r="TEG111" s="36"/>
      <c r="TEH111" s="38"/>
      <c r="TEI111" s="38"/>
      <c r="TEO111" s="36"/>
      <c r="TEP111" s="38"/>
      <c r="TEQ111" s="38"/>
      <c r="TEW111" s="36"/>
      <c r="TEX111" s="38"/>
      <c r="TEY111" s="38"/>
      <c r="TFE111" s="36"/>
      <c r="TFF111" s="38"/>
      <c r="TFG111" s="38"/>
      <c r="TFM111" s="36"/>
      <c r="TFN111" s="38"/>
      <c r="TFO111" s="38"/>
      <c r="TFU111" s="36"/>
      <c r="TFV111" s="38"/>
      <c r="TFW111" s="38"/>
      <c r="TGC111" s="36"/>
      <c r="TGD111" s="38"/>
      <c r="TGE111" s="38"/>
      <c r="TGK111" s="36"/>
      <c r="TGL111" s="38"/>
      <c r="TGM111" s="38"/>
      <c r="TGS111" s="36"/>
      <c r="TGT111" s="38"/>
      <c r="TGU111" s="38"/>
      <c r="THA111" s="36"/>
      <c r="THB111" s="38"/>
      <c r="THC111" s="38"/>
      <c r="THI111" s="36"/>
      <c r="THJ111" s="38"/>
      <c r="THK111" s="38"/>
      <c r="THQ111" s="36"/>
      <c r="THR111" s="38"/>
      <c r="THS111" s="38"/>
      <c r="THY111" s="36"/>
      <c r="THZ111" s="38"/>
      <c r="TIA111" s="38"/>
      <c r="TIG111" s="36"/>
      <c r="TIH111" s="38"/>
      <c r="TII111" s="38"/>
      <c r="TIO111" s="36"/>
      <c r="TIP111" s="38"/>
      <c r="TIQ111" s="38"/>
      <c r="TIW111" s="36"/>
      <c r="TIX111" s="38"/>
      <c r="TIY111" s="38"/>
      <c r="TJE111" s="36"/>
      <c r="TJF111" s="38"/>
      <c r="TJG111" s="38"/>
      <c r="TJM111" s="36"/>
      <c r="TJN111" s="38"/>
      <c r="TJO111" s="38"/>
      <c r="TJU111" s="36"/>
      <c r="TJV111" s="38"/>
      <c r="TJW111" s="38"/>
      <c r="TKC111" s="36"/>
      <c r="TKD111" s="38"/>
      <c r="TKE111" s="38"/>
      <c r="TKK111" s="36"/>
      <c r="TKL111" s="38"/>
      <c r="TKM111" s="38"/>
      <c r="TKS111" s="36"/>
      <c r="TKT111" s="38"/>
      <c r="TKU111" s="38"/>
      <c r="TLA111" s="36"/>
      <c r="TLB111" s="38"/>
      <c r="TLC111" s="38"/>
      <c r="TLI111" s="36"/>
      <c r="TLJ111" s="38"/>
      <c r="TLK111" s="38"/>
      <c r="TLQ111" s="36"/>
      <c r="TLR111" s="38"/>
      <c r="TLS111" s="38"/>
      <c r="TLY111" s="36"/>
      <c r="TLZ111" s="38"/>
      <c r="TMA111" s="38"/>
      <c r="TMG111" s="36"/>
      <c r="TMH111" s="38"/>
      <c r="TMI111" s="38"/>
      <c r="TMO111" s="36"/>
      <c r="TMP111" s="38"/>
      <c r="TMQ111" s="38"/>
      <c r="TMW111" s="36"/>
      <c r="TMX111" s="38"/>
      <c r="TMY111" s="38"/>
      <c r="TNE111" s="36"/>
      <c r="TNF111" s="38"/>
      <c r="TNG111" s="38"/>
      <c r="TNM111" s="36"/>
      <c r="TNN111" s="38"/>
      <c r="TNO111" s="38"/>
      <c r="TNU111" s="36"/>
      <c r="TNV111" s="38"/>
      <c r="TNW111" s="38"/>
      <c r="TOC111" s="36"/>
      <c r="TOD111" s="38"/>
      <c r="TOE111" s="38"/>
      <c r="TOK111" s="36"/>
      <c r="TOL111" s="38"/>
      <c r="TOM111" s="38"/>
      <c r="TOS111" s="36"/>
      <c r="TOT111" s="38"/>
      <c r="TOU111" s="38"/>
      <c r="TPA111" s="36"/>
      <c r="TPB111" s="38"/>
      <c r="TPC111" s="38"/>
      <c r="TPI111" s="36"/>
      <c r="TPJ111" s="38"/>
      <c r="TPK111" s="38"/>
      <c r="TPQ111" s="36"/>
      <c r="TPR111" s="38"/>
      <c r="TPS111" s="38"/>
      <c r="TPY111" s="36"/>
      <c r="TPZ111" s="38"/>
      <c r="TQA111" s="38"/>
      <c r="TQG111" s="36"/>
      <c r="TQH111" s="38"/>
      <c r="TQI111" s="38"/>
      <c r="TQO111" s="36"/>
      <c r="TQP111" s="38"/>
      <c r="TQQ111" s="38"/>
      <c r="TQW111" s="36"/>
      <c r="TQX111" s="38"/>
      <c r="TQY111" s="38"/>
      <c r="TRE111" s="36"/>
      <c r="TRF111" s="38"/>
      <c r="TRG111" s="38"/>
      <c r="TRM111" s="36"/>
      <c r="TRN111" s="38"/>
      <c r="TRO111" s="38"/>
      <c r="TRU111" s="36"/>
      <c r="TRV111" s="38"/>
      <c r="TRW111" s="38"/>
      <c r="TSC111" s="36"/>
      <c r="TSD111" s="38"/>
      <c r="TSE111" s="38"/>
      <c r="TSK111" s="36"/>
      <c r="TSL111" s="38"/>
      <c r="TSM111" s="38"/>
      <c r="TSS111" s="36"/>
      <c r="TST111" s="38"/>
      <c r="TSU111" s="38"/>
      <c r="TTA111" s="36"/>
      <c r="TTB111" s="38"/>
      <c r="TTC111" s="38"/>
      <c r="TTI111" s="36"/>
      <c r="TTJ111" s="38"/>
      <c r="TTK111" s="38"/>
      <c r="TTQ111" s="36"/>
      <c r="TTR111" s="38"/>
      <c r="TTS111" s="38"/>
      <c r="TTY111" s="36"/>
      <c r="TTZ111" s="38"/>
      <c r="TUA111" s="38"/>
      <c r="TUG111" s="36"/>
      <c r="TUH111" s="38"/>
      <c r="TUI111" s="38"/>
      <c r="TUO111" s="36"/>
      <c r="TUP111" s="38"/>
      <c r="TUQ111" s="38"/>
      <c r="TUW111" s="36"/>
      <c r="TUX111" s="38"/>
      <c r="TUY111" s="38"/>
      <c r="TVE111" s="36"/>
      <c r="TVF111" s="38"/>
      <c r="TVG111" s="38"/>
      <c r="TVM111" s="36"/>
      <c r="TVN111" s="38"/>
      <c r="TVO111" s="38"/>
      <c r="TVU111" s="36"/>
      <c r="TVV111" s="38"/>
      <c r="TVW111" s="38"/>
      <c r="TWC111" s="36"/>
      <c r="TWD111" s="38"/>
      <c r="TWE111" s="38"/>
      <c r="TWK111" s="36"/>
      <c r="TWL111" s="38"/>
      <c r="TWM111" s="38"/>
      <c r="TWS111" s="36"/>
      <c r="TWT111" s="38"/>
      <c r="TWU111" s="38"/>
      <c r="TXA111" s="36"/>
      <c r="TXB111" s="38"/>
      <c r="TXC111" s="38"/>
      <c r="TXI111" s="36"/>
      <c r="TXJ111" s="38"/>
      <c r="TXK111" s="38"/>
      <c r="TXQ111" s="36"/>
      <c r="TXR111" s="38"/>
      <c r="TXS111" s="38"/>
      <c r="TXY111" s="36"/>
      <c r="TXZ111" s="38"/>
      <c r="TYA111" s="38"/>
      <c r="TYG111" s="36"/>
      <c r="TYH111" s="38"/>
      <c r="TYI111" s="38"/>
      <c r="TYO111" s="36"/>
      <c r="TYP111" s="38"/>
      <c r="TYQ111" s="38"/>
      <c r="TYW111" s="36"/>
      <c r="TYX111" s="38"/>
      <c r="TYY111" s="38"/>
      <c r="TZE111" s="36"/>
      <c r="TZF111" s="38"/>
      <c r="TZG111" s="38"/>
      <c r="TZM111" s="36"/>
      <c r="TZN111" s="38"/>
      <c r="TZO111" s="38"/>
      <c r="TZU111" s="36"/>
      <c r="TZV111" s="38"/>
      <c r="TZW111" s="38"/>
      <c r="UAC111" s="36"/>
      <c r="UAD111" s="38"/>
      <c r="UAE111" s="38"/>
      <c r="UAK111" s="36"/>
      <c r="UAL111" s="38"/>
      <c r="UAM111" s="38"/>
      <c r="UAS111" s="36"/>
      <c r="UAT111" s="38"/>
      <c r="UAU111" s="38"/>
      <c r="UBA111" s="36"/>
      <c r="UBB111" s="38"/>
      <c r="UBC111" s="38"/>
      <c r="UBI111" s="36"/>
      <c r="UBJ111" s="38"/>
      <c r="UBK111" s="38"/>
      <c r="UBQ111" s="36"/>
      <c r="UBR111" s="38"/>
      <c r="UBS111" s="38"/>
      <c r="UBY111" s="36"/>
      <c r="UBZ111" s="38"/>
      <c r="UCA111" s="38"/>
      <c r="UCG111" s="36"/>
      <c r="UCH111" s="38"/>
      <c r="UCI111" s="38"/>
      <c r="UCO111" s="36"/>
      <c r="UCP111" s="38"/>
      <c r="UCQ111" s="38"/>
      <c r="UCW111" s="36"/>
      <c r="UCX111" s="38"/>
      <c r="UCY111" s="38"/>
      <c r="UDE111" s="36"/>
      <c r="UDF111" s="38"/>
      <c r="UDG111" s="38"/>
      <c r="UDM111" s="36"/>
      <c r="UDN111" s="38"/>
      <c r="UDO111" s="38"/>
      <c r="UDU111" s="36"/>
      <c r="UDV111" s="38"/>
      <c r="UDW111" s="38"/>
      <c r="UEC111" s="36"/>
      <c r="UED111" s="38"/>
      <c r="UEE111" s="38"/>
      <c r="UEK111" s="36"/>
      <c r="UEL111" s="38"/>
      <c r="UEM111" s="38"/>
      <c r="UES111" s="36"/>
      <c r="UET111" s="38"/>
      <c r="UEU111" s="38"/>
      <c r="UFA111" s="36"/>
      <c r="UFB111" s="38"/>
      <c r="UFC111" s="38"/>
      <c r="UFI111" s="36"/>
      <c r="UFJ111" s="38"/>
      <c r="UFK111" s="38"/>
      <c r="UFQ111" s="36"/>
      <c r="UFR111" s="38"/>
      <c r="UFS111" s="38"/>
      <c r="UFY111" s="36"/>
      <c r="UFZ111" s="38"/>
      <c r="UGA111" s="38"/>
      <c r="UGG111" s="36"/>
      <c r="UGH111" s="38"/>
      <c r="UGI111" s="38"/>
      <c r="UGO111" s="36"/>
      <c r="UGP111" s="38"/>
      <c r="UGQ111" s="38"/>
      <c r="UGW111" s="36"/>
      <c r="UGX111" s="38"/>
      <c r="UGY111" s="38"/>
      <c r="UHE111" s="36"/>
      <c r="UHF111" s="38"/>
      <c r="UHG111" s="38"/>
      <c r="UHM111" s="36"/>
      <c r="UHN111" s="38"/>
      <c r="UHO111" s="38"/>
      <c r="UHU111" s="36"/>
      <c r="UHV111" s="38"/>
      <c r="UHW111" s="38"/>
      <c r="UIC111" s="36"/>
      <c r="UID111" s="38"/>
      <c r="UIE111" s="38"/>
      <c r="UIK111" s="36"/>
      <c r="UIL111" s="38"/>
      <c r="UIM111" s="38"/>
      <c r="UIS111" s="36"/>
      <c r="UIT111" s="38"/>
      <c r="UIU111" s="38"/>
      <c r="UJA111" s="36"/>
      <c r="UJB111" s="38"/>
      <c r="UJC111" s="38"/>
      <c r="UJI111" s="36"/>
      <c r="UJJ111" s="38"/>
      <c r="UJK111" s="38"/>
      <c r="UJQ111" s="36"/>
      <c r="UJR111" s="38"/>
      <c r="UJS111" s="38"/>
      <c r="UJY111" s="36"/>
      <c r="UJZ111" s="38"/>
      <c r="UKA111" s="38"/>
      <c r="UKG111" s="36"/>
      <c r="UKH111" s="38"/>
      <c r="UKI111" s="38"/>
      <c r="UKO111" s="36"/>
      <c r="UKP111" s="38"/>
      <c r="UKQ111" s="38"/>
      <c r="UKW111" s="36"/>
      <c r="UKX111" s="38"/>
      <c r="UKY111" s="38"/>
      <c r="ULE111" s="36"/>
      <c r="ULF111" s="38"/>
      <c r="ULG111" s="38"/>
      <c r="ULM111" s="36"/>
      <c r="ULN111" s="38"/>
      <c r="ULO111" s="38"/>
      <c r="ULU111" s="36"/>
      <c r="ULV111" s="38"/>
      <c r="ULW111" s="38"/>
      <c r="UMC111" s="36"/>
      <c r="UMD111" s="38"/>
      <c r="UME111" s="38"/>
      <c r="UMK111" s="36"/>
      <c r="UML111" s="38"/>
      <c r="UMM111" s="38"/>
      <c r="UMS111" s="36"/>
      <c r="UMT111" s="38"/>
      <c r="UMU111" s="38"/>
      <c r="UNA111" s="36"/>
      <c r="UNB111" s="38"/>
      <c r="UNC111" s="38"/>
      <c r="UNI111" s="36"/>
      <c r="UNJ111" s="38"/>
      <c r="UNK111" s="38"/>
      <c r="UNQ111" s="36"/>
      <c r="UNR111" s="38"/>
      <c r="UNS111" s="38"/>
      <c r="UNY111" s="36"/>
      <c r="UNZ111" s="38"/>
      <c r="UOA111" s="38"/>
      <c r="UOG111" s="36"/>
      <c r="UOH111" s="38"/>
      <c r="UOI111" s="38"/>
      <c r="UOO111" s="36"/>
      <c r="UOP111" s="38"/>
      <c r="UOQ111" s="38"/>
      <c r="UOW111" s="36"/>
      <c r="UOX111" s="38"/>
      <c r="UOY111" s="38"/>
      <c r="UPE111" s="36"/>
      <c r="UPF111" s="38"/>
      <c r="UPG111" s="38"/>
      <c r="UPM111" s="36"/>
      <c r="UPN111" s="38"/>
      <c r="UPO111" s="38"/>
      <c r="UPU111" s="36"/>
      <c r="UPV111" s="38"/>
      <c r="UPW111" s="38"/>
      <c r="UQC111" s="36"/>
      <c r="UQD111" s="38"/>
      <c r="UQE111" s="38"/>
      <c r="UQK111" s="36"/>
      <c r="UQL111" s="38"/>
      <c r="UQM111" s="38"/>
      <c r="UQS111" s="36"/>
      <c r="UQT111" s="38"/>
      <c r="UQU111" s="38"/>
      <c r="URA111" s="36"/>
      <c r="URB111" s="38"/>
      <c r="URC111" s="38"/>
      <c r="URI111" s="36"/>
      <c r="URJ111" s="38"/>
      <c r="URK111" s="38"/>
      <c r="URQ111" s="36"/>
      <c r="URR111" s="38"/>
      <c r="URS111" s="38"/>
      <c r="URY111" s="36"/>
      <c r="URZ111" s="38"/>
      <c r="USA111" s="38"/>
      <c r="USG111" s="36"/>
      <c r="USH111" s="38"/>
      <c r="USI111" s="38"/>
      <c r="USO111" s="36"/>
      <c r="USP111" s="38"/>
      <c r="USQ111" s="38"/>
      <c r="USW111" s="36"/>
      <c r="USX111" s="38"/>
      <c r="USY111" s="38"/>
      <c r="UTE111" s="36"/>
      <c r="UTF111" s="38"/>
      <c r="UTG111" s="38"/>
      <c r="UTM111" s="36"/>
      <c r="UTN111" s="38"/>
      <c r="UTO111" s="38"/>
      <c r="UTU111" s="36"/>
      <c r="UTV111" s="38"/>
      <c r="UTW111" s="38"/>
      <c r="UUC111" s="36"/>
      <c r="UUD111" s="38"/>
      <c r="UUE111" s="38"/>
      <c r="UUK111" s="36"/>
      <c r="UUL111" s="38"/>
      <c r="UUM111" s="38"/>
      <c r="UUS111" s="36"/>
      <c r="UUT111" s="38"/>
      <c r="UUU111" s="38"/>
      <c r="UVA111" s="36"/>
      <c r="UVB111" s="38"/>
      <c r="UVC111" s="38"/>
      <c r="UVI111" s="36"/>
      <c r="UVJ111" s="38"/>
      <c r="UVK111" s="38"/>
      <c r="UVQ111" s="36"/>
      <c r="UVR111" s="38"/>
      <c r="UVS111" s="38"/>
      <c r="UVY111" s="36"/>
      <c r="UVZ111" s="38"/>
      <c r="UWA111" s="38"/>
      <c r="UWG111" s="36"/>
      <c r="UWH111" s="38"/>
      <c r="UWI111" s="38"/>
      <c r="UWO111" s="36"/>
      <c r="UWP111" s="38"/>
      <c r="UWQ111" s="38"/>
      <c r="UWW111" s="36"/>
      <c r="UWX111" s="38"/>
      <c r="UWY111" s="38"/>
      <c r="UXE111" s="36"/>
      <c r="UXF111" s="38"/>
      <c r="UXG111" s="38"/>
      <c r="UXM111" s="36"/>
      <c r="UXN111" s="38"/>
      <c r="UXO111" s="38"/>
      <c r="UXU111" s="36"/>
      <c r="UXV111" s="38"/>
      <c r="UXW111" s="38"/>
      <c r="UYC111" s="36"/>
      <c r="UYD111" s="38"/>
      <c r="UYE111" s="38"/>
      <c r="UYK111" s="36"/>
      <c r="UYL111" s="38"/>
      <c r="UYM111" s="38"/>
      <c r="UYS111" s="36"/>
      <c r="UYT111" s="38"/>
      <c r="UYU111" s="38"/>
      <c r="UZA111" s="36"/>
      <c r="UZB111" s="38"/>
      <c r="UZC111" s="38"/>
      <c r="UZI111" s="36"/>
      <c r="UZJ111" s="38"/>
      <c r="UZK111" s="38"/>
      <c r="UZQ111" s="36"/>
      <c r="UZR111" s="38"/>
      <c r="UZS111" s="38"/>
      <c r="UZY111" s="36"/>
      <c r="UZZ111" s="38"/>
      <c r="VAA111" s="38"/>
      <c r="VAG111" s="36"/>
      <c r="VAH111" s="38"/>
      <c r="VAI111" s="38"/>
      <c r="VAO111" s="36"/>
      <c r="VAP111" s="38"/>
      <c r="VAQ111" s="38"/>
      <c r="VAW111" s="36"/>
      <c r="VAX111" s="38"/>
      <c r="VAY111" s="38"/>
      <c r="VBE111" s="36"/>
      <c r="VBF111" s="38"/>
      <c r="VBG111" s="38"/>
      <c r="VBM111" s="36"/>
      <c r="VBN111" s="38"/>
      <c r="VBO111" s="38"/>
      <c r="VBU111" s="36"/>
      <c r="VBV111" s="38"/>
      <c r="VBW111" s="38"/>
      <c r="VCC111" s="36"/>
      <c r="VCD111" s="38"/>
      <c r="VCE111" s="38"/>
      <c r="VCK111" s="36"/>
      <c r="VCL111" s="38"/>
      <c r="VCM111" s="38"/>
      <c r="VCS111" s="36"/>
      <c r="VCT111" s="38"/>
      <c r="VCU111" s="38"/>
      <c r="VDA111" s="36"/>
      <c r="VDB111" s="38"/>
      <c r="VDC111" s="38"/>
      <c r="VDI111" s="36"/>
      <c r="VDJ111" s="38"/>
      <c r="VDK111" s="38"/>
      <c r="VDQ111" s="36"/>
      <c r="VDR111" s="38"/>
      <c r="VDS111" s="38"/>
      <c r="VDY111" s="36"/>
      <c r="VDZ111" s="38"/>
      <c r="VEA111" s="38"/>
      <c r="VEG111" s="36"/>
      <c r="VEH111" s="38"/>
      <c r="VEI111" s="38"/>
      <c r="VEO111" s="36"/>
      <c r="VEP111" s="38"/>
      <c r="VEQ111" s="38"/>
      <c r="VEW111" s="36"/>
      <c r="VEX111" s="38"/>
      <c r="VEY111" s="38"/>
      <c r="VFE111" s="36"/>
      <c r="VFF111" s="38"/>
      <c r="VFG111" s="38"/>
      <c r="VFM111" s="36"/>
      <c r="VFN111" s="38"/>
      <c r="VFO111" s="38"/>
      <c r="VFU111" s="36"/>
      <c r="VFV111" s="38"/>
      <c r="VFW111" s="38"/>
      <c r="VGC111" s="36"/>
      <c r="VGD111" s="38"/>
      <c r="VGE111" s="38"/>
      <c r="VGK111" s="36"/>
      <c r="VGL111" s="38"/>
      <c r="VGM111" s="38"/>
      <c r="VGS111" s="36"/>
      <c r="VGT111" s="38"/>
      <c r="VGU111" s="38"/>
      <c r="VHA111" s="36"/>
      <c r="VHB111" s="38"/>
      <c r="VHC111" s="38"/>
      <c r="VHI111" s="36"/>
      <c r="VHJ111" s="38"/>
      <c r="VHK111" s="38"/>
      <c r="VHQ111" s="36"/>
      <c r="VHR111" s="38"/>
      <c r="VHS111" s="38"/>
      <c r="VHY111" s="36"/>
      <c r="VHZ111" s="38"/>
      <c r="VIA111" s="38"/>
      <c r="VIG111" s="36"/>
      <c r="VIH111" s="38"/>
      <c r="VII111" s="38"/>
      <c r="VIO111" s="36"/>
      <c r="VIP111" s="38"/>
      <c r="VIQ111" s="38"/>
      <c r="VIW111" s="36"/>
      <c r="VIX111" s="38"/>
      <c r="VIY111" s="38"/>
      <c r="VJE111" s="36"/>
      <c r="VJF111" s="38"/>
      <c r="VJG111" s="38"/>
      <c r="VJM111" s="36"/>
      <c r="VJN111" s="38"/>
      <c r="VJO111" s="38"/>
      <c r="VJU111" s="36"/>
      <c r="VJV111" s="38"/>
      <c r="VJW111" s="38"/>
      <c r="VKC111" s="36"/>
      <c r="VKD111" s="38"/>
      <c r="VKE111" s="38"/>
      <c r="VKK111" s="36"/>
      <c r="VKL111" s="38"/>
      <c r="VKM111" s="38"/>
      <c r="VKS111" s="36"/>
      <c r="VKT111" s="38"/>
      <c r="VKU111" s="38"/>
      <c r="VLA111" s="36"/>
      <c r="VLB111" s="38"/>
      <c r="VLC111" s="38"/>
      <c r="VLI111" s="36"/>
      <c r="VLJ111" s="38"/>
      <c r="VLK111" s="38"/>
      <c r="VLQ111" s="36"/>
      <c r="VLR111" s="38"/>
      <c r="VLS111" s="38"/>
      <c r="VLY111" s="36"/>
      <c r="VLZ111" s="38"/>
      <c r="VMA111" s="38"/>
      <c r="VMG111" s="36"/>
      <c r="VMH111" s="38"/>
      <c r="VMI111" s="38"/>
      <c r="VMO111" s="36"/>
      <c r="VMP111" s="38"/>
      <c r="VMQ111" s="38"/>
      <c r="VMW111" s="36"/>
      <c r="VMX111" s="38"/>
      <c r="VMY111" s="38"/>
      <c r="VNE111" s="36"/>
      <c r="VNF111" s="38"/>
      <c r="VNG111" s="38"/>
      <c r="VNM111" s="36"/>
      <c r="VNN111" s="38"/>
      <c r="VNO111" s="38"/>
      <c r="VNU111" s="36"/>
      <c r="VNV111" s="38"/>
      <c r="VNW111" s="38"/>
      <c r="VOC111" s="36"/>
      <c r="VOD111" s="38"/>
      <c r="VOE111" s="38"/>
      <c r="VOK111" s="36"/>
      <c r="VOL111" s="38"/>
      <c r="VOM111" s="38"/>
      <c r="VOS111" s="36"/>
      <c r="VOT111" s="38"/>
      <c r="VOU111" s="38"/>
      <c r="VPA111" s="36"/>
      <c r="VPB111" s="38"/>
      <c r="VPC111" s="38"/>
      <c r="VPI111" s="36"/>
      <c r="VPJ111" s="38"/>
      <c r="VPK111" s="38"/>
      <c r="VPQ111" s="36"/>
      <c r="VPR111" s="38"/>
      <c r="VPS111" s="38"/>
      <c r="VPY111" s="36"/>
      <c r="VPZ111" s="38"/>
      <c r="VQA111" s="38"/>
      <c r="VQG111" s="36"/>
      <c r="VQH111" s="38"/>
      <c r="VQI111" s="38"/>
      <c r="VQO111" s="36"/>
      <c r="VQP111" s="38"/>
      <c r="VQQ111" s="38"/>
      <c r="VQW111" s="36"/>
      <c r="VQX111" s="38"/>
      <c r="VQY111" s="38"/>
      <c r="VRE111" s="36"/>
      <c r="VRF111" s="38"/>
      <c r="VRG111" s="38"/>
      <c r="VRM111" s="36"/>
      <c r="VRN111" s="38"/>
      <c r="VRO111" s="38"/>
      <c r="VRU111" s="36"/>
      <c r="VRV111" s="38"/>
      <c r="VRW111" s="38"/>
      <c r="VSC111" s="36"/>
      <c r="VSD111" s="38"/>
      <c r="VSE111" s="38"/>
      <c r="VSK111" s="36"/>
      <c r="VSL111" s="38"/>
      <c r="VSM111" s="38"/>
      <c r="VSS111" s="36"/>
      <c r="VST111" s="38"/>
      <c r="VSU111" s="38"/>
      <c r="VTA111" s="36"/>
      <c r="VTB111" s="38"/>
      <c r="VTC111" s="38"/>
      <c r="VTI111" s="36"/>
      <c r="VTJ111" s="38"/>
      <c r="VTK111" s="38"/>
      <c r="VTQ111" s="36"/>
      <c r="VTR111" s="38"/>
      <c r="VTS111" s="38"/>
      <c r="VTY111" s="36"/>
      <c r="VTZ111" s="38"/>
      <c r="VUA111" s="38"/>
      <c r="VUG111" s="36"/>
      <c r="VUH111" s="38"/>
      <c r="VUI111" s="38"/>
      <c r="VUO111" s="36"/>
      <c r="VUP111" s="38"/>
      <c r="VUQ111" s="38"/>
      <c r="VUW111" s="36"/>
      <c r="VUX111" s="38"/>
      <c r="VUY111" s="38"/>
      <c r="VVE111" s="36"/>
      <c r="VVF111" s="38"/>
      <c r="VVG111" s="38"/>
      <c r="VVM111" s="36"/>
      <c r="VVN111" s="38"/>
      <c r="VVO111" s="38"/>
      <c r="VVU111" s="36"/>
      <c r="VVV111" s="38"/>
      <c r="VVW111" s="38"/>
      <c r="VWC111" s="36"/>
      <c r="VWD111" s="38"/>
      <c r="VWE111" s="38"/>
      <c r="VWK111" s="36"/>
      <c r="VWL111" s="38"/>
      <c r="VWM111" s="38"/>
      <c r="VWS111" s="36"/>
      <c r="VWT111" s="38"/>
      <c r="VWU111" s="38"/>
      <c r="VXA111" s="36"/>
      <c r="VXB111" s="38"/>
      <c r="VXC111" s="38"/>
      <c r="VXI111" s="36"/>
      <c r="VXJ111" s="38"/>
      <c r="VXK111" s="38"/>
      <c r="VXQ111" s="36"/>
      <c r="VXR111" s="38"/>
      <c r="VXS111" s="38"/>
      <c r="VXY111" s="36"/>
      <c r="VXZ111" s="38"/>
      <c r="VYA111" s="38"/>
      <c r="VYG111" s="36"/>
      <c r="VYH111" s="38"/>
      <c r="VYI111" s="38"/>
      <c r="VYO111" s="36"/>
      <c r="VYP111" s="38"/>
      <c r="VYQ111" s="38"/>
      <c r="VYW111" s="36"/>
      <c r="VYX111" s="38"/>
      <c r="VYY111" s="38"/>
      <c r="VZE111" s="36"/>
      <c r="VZF111" s="38"/>
      <c r="VZG111" s="38"/>
      <c r="VZM111" s="36"/>
      <c r="VZN111" s="38"/>
      <c r="VZO111" s="38"/>
      <c r="VZU111" s="36"/>
      <c r="VZV111" s="38"/>
      <c r="VZW111" s="38"/>
      <c r="WAC111" s="36"/>
      <c r="WAD111" s="38"/>
      <c r="WAE111" s="38"/>
      <c r="WAK111" s="36"/>
      <c r="WAL111" s="38"/>
      <c r="WAM111" s="38"/>
      <c r="WAS111" s="36"/>
      <c r="WAT111" s="38"/>
      <c r="WAU111" s="38"/>
      <c r="WBA111" s="36"/>
      <c r="WBB111" s="38"/>
      <c r="WBC111" s="38"/>
      <c r="WBI111" s="36"/>
      <c r="WBJ111" s="38"/>
      <c r="WBK111" s="38"/>
      <c r="WBQ111" s="36"/>
      <c r="WBR111" s="38"/>
      <c r="WBS111" s="38"/>
      <c r="WBY111" s="36"/>
      <c r="WBZ111" s="38"/>
      <c r="WCA111" s="38"/>
      <c r="WCG111" s="36"/>
      <c r="WCH111" s="38"/>
      <c r="WCI111" s="38"/>
      <c r="WCO111" s="36"/>
      <c r="WCP111" s="38"/>
      <c r="WCQ111" s="38"/>
      <c r="WCW111" s="36"/>
      <c r="WCX111" s="38"/>
      <c r="WCY111" s="38"/>
      <c r="WDE111" s="36"/>
      <c r="WDF111" s="38"/>
      <c r="WDG111" s="38"/>
      <c r="WDM111" s="36"/>
      <c r="WDN111" s="38"/>
      <c r="WDO111" s="38"/>
      <c r="WDU111" s="36"/>
      <c r="WDV111" s="38"/>
      <c r="WDW111" s="38"/>
      <c r="WEC111" s="36"/>
      <c r="WED111" s="38"/>
      <c r="WEE111" s="38"/>
      <c r="WEK111" s="36"/>
      <c r="WEL111" s="38"/>
      <c r="WEM111" s="38"/>
      <c r="WES111" s="36"/>
      <c r="WET111" s="38"/>
      <c r="WEU111" s="38"/>
      <c r="WFA111" s="36"/>
      <c r="WFB111" s="38"/>
      <c r="WFC111" s="38"/>
      <c r="WFI111" s="36"/>
      <c r="WFJ111" s="38"/>
      <c r="WFK111" s="38"/>
      <c r="WFQ111" s="36"/>
      <c r="WFR111" s="38"/>
      <c r="WFS111" s="38"/>
      <c r="WFY111" s="36"/>
      <c r="WFZ111" s="38"/>
      <c r="WGA111" s="38"/>
      <c r="WGG111" s="36"/>
      <c r="WGH111" s="38"/>
      <c r="WGI111" s="38"/>
      <c r="WGO111" s="36"/>
      <c r="WGP111" s="38"/>
      <c r="WGQ111" s="38"/>
      <c r="WGW111" s="36"/>
      <c r="WGX111" s="38"/>
      <c r="WGY111" s="38"/>
      <c r="WHE111" s="36"/>
      <c r="WHF111" s="38"/>
      <c r="WHG111" s="38"/>
      <c r="WHM111" s="36"/>
      <c r="WHN111" s="38"/>
      <c r="WHO111" s="38"/>
      <c r="WHU111" s="36"/>
      <c r="WHV111" s="38"/>
      <c r="WHW111" s="38"/>
      <c r="WIC111" s="36"/>
      <c r="WID111" s="38"/>
      <c r="WIE111" s="38"/>
      <c r="WIK111" s="36"/>
      <c r="WIL111" s="38"/>
      <c r="WIM111" s="38"/>
      <c r="WIS111" s="36"/>
      <c r="WIT111" s="38"/>
      <c r="WIU111" s="38"/>
      <c r="WJA111" s="36"/>
      <c r="WJB111" s="38"/>
      <c r="WJC111" s="38"/>
      <c r="WJI111" s="36"/>
      <c r="WJJ111" s="38"/>
      <c r="WJK111" s="38"/>
      <c r="WJQ111" s="36"/>
      <c r="WJR111" s="38"/>
      <c r="WJS111" s="38"/>
      <c r="WJY111" s="36"/>
      <c r="WJZ111" s="38"/>
      <c r="WKA111" s="38"/>
      <c r="WKG111" s="36"/>
      <c r="WKH111" s="38"/>
      <c r="WKI111" s="38"/>
      <c r="WKO111" s="36"/>
      <c r="WKP111" s="38"/>
      <c r="WKQ111" s="38"/>
      <c r="WKW111" s="36"/>
      <c r="WKX111" s="38"/>
      <c r="WKY111" s="38"/>
      <c r="WLE111" s="36"/>
      <c r="WLF111" s="38"/>
      <c r="WLG111" s="38"/>
      <c r="WLM111" s="36"/>
      <c r="WLN111" s="38"/>
      <c r="WLO111" s="38"/>
      <c r="WLU111" s="36"/>
      <c r="WLV111" s="38"/>
      <c r="WLW111" s="38"/>
      <c r="WMC111" s="36"/>
      <c r="WMD111" s="38"/>
      <c r="WME111" s="38"/>
      <c r="WMK111" s="36"/>
      <c r="WML111" s="38"/>
      <c r="WMM111" s="38"/>
      <c r="WMS111" s="36"/>
      <c r="WMT111" s="38"/>
      <c r="WMU111" s="38"/>
      <c r="WNA111" s="36"/>
      <c r="WNB111" s="38"/>
      <c r="WNC111" s="38"/>
      <c r="WNI111" s="36"/>
      <c r="WNJ111" s="38"/>
      <c r="WNK111" s="38"/>
      <c r="WNQ111" s="36"/>
      <c r="WNR111" s="38"/>
      <c r="WNS111" s="38"/>
      <c r="WNY111" s="36"/>
      <c r="WNZ111" s="38"/>
      <c r="WOA111" s="38"/>
      <c r="WOG111" s="36"/>
      <c r="WOH111" s="38"/>
      <c r="WOI111" s="38"/>
      <c r="WOO111" s="36"/>
      <c r="WOP111" s="38"/>
      <c r="WOQ111" s="38"/>
      <c r="WOW111" s="36"/>
      <c r="WOX111" s="38"/>
      <c r="WOY111" s="38"/>
      <c r="WPE111" s="36"/>
      <c r="WPF111" s="38"/>
      <c r="WPG111" s="38"/>
      <c r="WPM111" s="36"/>
      <c r="WPN111" s="38"/>
      <c r="WPO111" s="38"/>
      <c r="WPU111" s="36"/>
      <c r="WPV111" s="38"/>
      <c r="WPW111" s="38"/>
      <c r="WQC111" s="36"/>
      <c r="WQD111" s="38"/>
      <c r="WQE111" s="38"/>
      <c r="WQK111" s="36"/>
      <c r="WQL111" s="38"/>
      <c r="WQM111" s="38"/>
      <c r="WQS111" s="36"/>
      <c r="WQT111" s="38"/>
      <c r="WQU111" s="38"/>
      <c r="WRA111" s="36"/>
      <c r="WRB111" s="38"/>
      <c r="WRC111" s="38"/>
      <c r="WRI111" s="36"/>
      <c r="WRJ111" s="38"/>
      <c r="WRK111" s="38"/>
      <c r="WRQ111" s="36"/>
      <c r="WRR111" s="38"/>
      <c r="WRS111" s="38"/>
      <c r="WRY111" s="36"/>
      <c r="WRZ111" s="38"/>
      <c r="WSA111" s="38"/>
      <c r="WSG111" s="36"/>
      <c r="WSH111" s="38"/>
      <c r="WSI111" s="38"/>
      <c r="WSO111" s="36"/>
      <c r="WSP111" s="38"/>
      <c r="WSQ111" s="38"/>
      <c r="WSW111" s="36"/>
      <c r="WSX111" s="38"/>
      <c r="WSY111" s="38"/>
      <c r="WTE111" s="36"/>
      <c r="WTF111" s="38"/>
      <c r="WTG111" s="38"/>
      <c r="WTM111" s="36"/>
      <c r="WTN111" s="38"/>
      <c r="WTO111" s="38"/>
      <c r="WTU111" s="36"/>
      <c r="WTV111" s="38"/>
      <c r="WTW111" s="38"/>
      <c r="WUC111" s="36"/>
      <c r="WUD111" s="38"/>
      <c r="WUE111" s="38"/>
      <c r="WUK111" s="36"/>
      <c r="WUL111" s="38"/>
      <c r="WUM111" s="38"/>
      <c r="WUS111" s="36"/>
      <c r="WUT111" s="38"/>
      <c r="WUU111" s="38"/>
      <c r="WVA111" s="36"/>
      <c r="WVB111" s="38"/>
      <c r="WVC111" s="38"/>
      <c r="WVI111" s="36"/>
      <c r="WVJ111" s="38"/>
      <c r="WVK111" s="38"/>
      <c r="WVQ111" s="36"/>
      <c r="WVR111" s="38"/>
      <c r="WVS111" s="38"/>
      <c r="WVY111" s="36"/>
      <c r="WVZ111" s="38"/>
      <c r="WWA111" s="38"/>
      <c r="WWG111" s="36"/>
      <c r="WWH111" s="38"/>
      <c r="WWI111" s="38"/>
      <c r="WWO111" s="36"/>
      <c r="WWP111" s="38"/>
      <c r="WWQ111" s="38"/>
      <c r="WWW111" s="36"/>
      <c r="WWX111" s="38"/>
      <c r="WWY111" s="38"/>
      <c r="WXE111" s="36"/>
      <c r="WXF111" s="38"/>
      <c r="WXG111" s="38"/>
      <c r="WXM111" s="36"/>
      <c r="WXN111" s="38"/>
      <c r="WXO111" s="38"/>
      <c r="WXU111" s="36"/>
      <c r="WXV111" s="38"/>
      <c r="WXW111" s="38"/>
      <c r="WYC111" s="36"/>
      <c r="WYD111" s="38"/>
      <c r="WYE111" s="38"/>
      <c r="WYK111" s="36"/>
      <c r="WYL111" s="38"/>
      <c r="WYM111" s="38"/>
      <c r="WYS111" s="36"/>
      <c r="WYT111" s="38"/>
      <c r="WYU111" s="38"/>
      <c r="WZA111" s="36"/>
      <c r="WZB111" s="38"/>
      <c r="WZC111" s="38"/>
      <c r="WZI111" s="36"/>
      <c r="WZJ111" s="38"/>
      <c r="WZK111" s="38"/>
      <c r="WZQ111" s="36"/>
      <c r="WZR111" s="38"/>
      <c r="WZS111" s="38"/>
      <c r="WZY111" s="36"/>
      <c r="WZZ111" s="38"/>
      <c r="XAA111" s="38"/>
      <c r="XAG111" s="36"/>
      <c r="XAH111" s="38"/>
      <c r="XAI111" s="38"/>
      <c r="XAO111" s="36"/>
      <c r="XAP111" s="38"/>
      <c r="XAQ111" s="38"/>
      <c r="XAW111" s="36"/>
      <c r="XAX111" s="38"/>
      <c r="XAY111" s="38"/>
      <c r="XBE111" s="36"/>
      <c r="XBF111" s="38"/>
      <c r="XBG111" s="38"/>
      <c r="XBM111" s="36"/>
      <c r="XBN111" s="38"/>
      <c r="XBO111" s="38"/>
      <c r="XBU111" s="36"/>
      <c r="XBV111" s="38"/>
      <c r="XBW111" s="38"/>
      <c r="XCC111" s="36"/>
      <c r="XCD111" s="38"/>
      <c r="XCE111" s="38"/>
      <c r="XCK111" s="36"/>
      <c r="XCL111" s="38"/>
      <c r="XCM111" s="38"/>
      <c r="XCS111" s="36"/>
      <c r="XCT111" s="38"/>
      <c r="XCU111" s="38"/>
      <c r="XDA111" s="36"/>
      <c r="XDB111" s="38"/>
      <c r="XDC111" s="38"/>
      <c r="XDI111" s="36"/>
      <c r="XDJ111" s="38"/>
      <c r="XDK111" s="38"/>
      <c r="XDQ111" s="36"/>
      <c r="XDR111" s="38"/>
      <c r="XDS111" s="38"/>
      <c r="XDY111" s="36"/>
      <c r="XDZ111" s="38"/>
      <c r="XEA111" s="38"/>
      <c r="XEG111" s="36"/>
      <c r="XEH111" s="38"/>
      <c r="XEI111" s="38"/>
      <c r="XEO111" s="36"/>
      <c r="XEP111" s="38"/>
      <c r="XEQ111" s="38"/>
      <c r="XEW111" s="36"/>
      <c r="XEX111" s="38"/>
      <c r="XEY111" s="38"/>
    </row>
    <row r="112" spans="1:1019 1025:2043 2049:3067 3073:4091 4097:5115 5121:6139 6145:7163 7169:8187 8193:9211 9217:10235 10241:11259 11265:12283 12289:13307 13313:14331 14337:15355 15361:16379" s="24" customFormat="1" ht="15" customHeight="1">
      <c r="A112" s="36"/>
      <c r="B112" s="38" t="s">
        <v>32</v>
      </c>
      <c r="C112" s="38">
        <v>1029489</v>
      </c>
      <c r="D112" s="24">
        <v>260356</v>
      </c>
      <c r="E112" s="24">
        <v>70041</v>
      </c>
      <c r="F112" s="24">
        <v>528979</v>
      </c>
      <c r="G112" s="24">
        <v>167514</v>
      </c>
      <c r="H112" s="24">
        <v>2599</v>
      </c>
      <c r="J112" s="23"/>
      <c r="K112" s="38"/>
      <c r="Q112" s="36"/>
      <c r="R112" s="38"/>
      <c r="S112" s="38"/>
      <c r="Y112" s="36"/>
      <c r="Z112" s="38"/>
      <c r="AA112" s="38"/>
      <c r="AG112" s="36"/>
      <c r="AH112" s="38"/>
      <c r="AI112" s="38"/>
      <c r="AO112" s="36"/>
      <c r="AP112" s="38"/>
      <c r="AQ112" s="38"/>
      <c r="AW112" s="36"/>
      <c r="AX112" s="38"/>
      <c r="AY112" s="38"/>
      <c r="BE112" s="36"/>
      <c r="BF112" s="38"/>
      <c r="BG112" s="38"/>
      <c r="BM112" s="36"/>
      <c r="BN112" s="38"/>
      <c r="BO112" s="38"/>
      <c r="BU112" s="36"/>
      <c r="BV112" s="38"/>
      <c r="BW112" s="38"/>
      <c r="CC112" s="36"/>
      <c r="CD112" s="38"/>
      <c r="CE112" s="38"/>
      <c r="CK112" s="36"/>
      <c r="CL112" s="38"/>
      <c r="CM112" s="38"/>
      <c r="CS112" s="36"/>
      <c r="CT112" s="38"/>
      <c r="CU112" s="38"/>
      <c r="DA112" s="36"/>
      <c r="DB112" s="38"/>
      <c r="DC112" s="38"/>
      <c r="DI112" s="36"/>
      <c r="DJ112" s="38"/>
      <c r="DK112" s="38"/>
      <c r="DQ112" s="36"/>
      <c r="DR112" s="38"/>
      <c r="DS112" s="38"/>
      <c r="DY112" s="36"/>
      <c r="DZ112" s="38"/>
      <c r="EA112" s="38"/>
      <c r="EG112" s="36"/>
      <c r="EH112" s="38"/>
      <c r="EI112" s="38"/>
      <c r="EO112" s="36"/>
      <c r="EP112" s="38"/>
      <c r="EQ112" s="38"/>
      <c r="EW112" s="36"/>
      <c r="EX112" s="38"/>
      <c r="EY112" s="38"/>
      <c r="FE112" s="36"/>
      <c r="FF112" s="38"/>
      <c r="FG112" s="38"/>
      <c r="FM112" s="36"/>
      <c r="FN112" s="38"/>
      <c r="FO112" s="38"/>
      <c r="FU112" s="36"/>
      <c r="FV112" s="38"/>
      <c r="FW112" s="38"/>
      <c r="GC112" s="36"/>
      <c r="GD112" s="38"/>
      <c r="GE112" s="38"/>
      <c r="GK112" s="36"/>
      <c r="GL112" s="38"/>
      <c r="GM112" s="38"/>
      <c r="GS112" s="36"/>
      <c r="GT112" s="38"/>
      <c r="GU112" s="38"/>
      <c r="HA112" s="36"/>
      <c r="HB112" s="38"/>
      <c r="HC112" s="38"/>
      <c r="HI112" s="36"/>
      <c r="HJ112" s="38"/>
      <c r="HK112" s="38"/>
      <c r="HQ112" s="36"/>
      <c r="HR112" s="38"/>
      <c r="HS112" s="38"/>
      <c r="HY112" s="36"/>
      <c r="HZ112" s="38"/>
      <c r="IA112" s="38"/>
      <c r="IG112" s="36"/>
      <c r="IH112" s="38"/>
      <c r="II112" s="38"/>
      <c r="IO112" s="36"/>
      <c r="IP112" s="38"/>
      <c r="IQ112" s="38"/>
      <c r="IW112" s="36"/>
      <c r="IX112" s="38"/>
      <c r="IY112" s="38"/>
      <c r="JE112" s="36"/>
      <c r="JF112" s="38"/>
      <c r="JG112" s="38"/>
      <c r="JM112" s="36"/>
      <c r="JN112" s="38"/>
      <c r="JO112" s="38"/>
      <c r="JU112" s="36"/>
      <c r="JV112" s="38"/>
      <c r="JW112" s="38"/>
      <c r="KC112" s="36"/>
      <c r="KD112" s="38"/>
      <c r="KE112" s="38"/>
      <c r="KK112" s="36"/>
      <c r="KL112" s="38"/>
      <c r="KM112" s="38"/>
      <c r="KS112" s="36"/>
      <c r="KT112" s="38"/>
      <c r="KU112" s="38"/>
      <c r="LA112" s="36"/>
      <c r="LB112" s="38"/>
      <c r="LC112" s="38"/>
      <c r="LI112" s="36"/>
      <c r="LJ112" s="38"/>
      <c r="LK112" s="38"/>
      <c r="LQ112" s="36"/>
      <c r="LR112" s="38"/>
      <c r="LS112" s="38"/>
      <c r="LY112" s="36"/>
      <c r="LZ112" s="38"/>
      <c r="MA112" s="38"/>
      <c r="MG112" s="36"/>
      <c r="MH112" s="38"/>
      <c r="MI112" s="38"/>
      <c r="MO112" s="36"/>
      <c r="MP112" s="38"/>
      <c r="MQ112" s="38"/>
      <c r="MW112" s="36"/>
      <c r="MX112" s="38"/>
      <c r="MY112" s="38"/>
      <c r="NE112" s="36"/>
      <c r="NF112" s="38"/>
      <c r="NG112" s="38"/>
      <c r="NM112" s="36"/>
      <c r="NN112" s="38"/>
      <c r="NO112" s="38"/>
      <c r="NU112" s="36"/>
      <c r="NV112" s="38"/>
      <c r="NW112" s="38"/>
      <c r="OC112" s="36"/>
      <c r="OD112" s="38"/>
      <c r="OE112" s="38"/>
      <c r="OK112" s="36"/>
      <c r="OL112" s="38"/>
      <c r="OM112" s="38"/>
      <c r="OS112" s="36"/>
      <c r="OT112" s="38"/>
      <c r="OU112" s="38"/>
      <c r="PA112" s="36"/>
      <c r="PB112" s="38"/>
      <c r="PC112" s="38"/>
      <c r="PI112" s="36"/>
      <c r="PJ112" s="38"/>
      <c r="PK112" s="38"/>
      <c r="PQ112" s="36"/>
      <c r="PR112" s="38"/>
      <c r="PS112" s="38"/>
      <c r="PY112" s="36"/>
      <c r="PZ112" s="38"/>
      <c r="QA112" s="38"/>
      <c r="QG112" s="36"/>
      <c r="QH112" s="38"/>
      <c r="QI112" s="38"/>
      <c r="QO112" s="36"/>
      <c r="QP112" s="38"/>
      <c r="QQ112" s="38"/>
      <c r="QW112" s="36"/>
      <c r="QX112" s="38"/>
      <c r="QY112" s="38"/>
      <c r="RE112" s="36"/>
      <c r="RF112" s="38"/>
      <c r="RG112" s="38"/>
      <c r="RM112" s="36"/>
      <c r="RN112" s="38"/>
      <c r="RO112" s="38"/>
      <c r="RU112" s="36"/>
      <c r="RV112" s="38"/>
      <c r="RW112" s="38"/>
      <c r="SC112" s="36"/>
      <c r="SD112" s="38"/>
      <c r="SE112" s="38"/>
      <c r="SK112" s="36"/>
      <c r="SL112" s="38"/>
      <c r="SM112" s="38"/>
      <c r="SS112" s="36"/>
      <c r="ST112" s="38"/>
      <c r="SU112" s="38"/>
      <c r="TA112" s="36"/>
      <c r="TB112" s="38"/>
      <c r="TC112" s="38"/>
      <c r="TI112" s="36"/>
      <c r="TJ112" s="38"/>
      <c r="TK112" s="38"/>
      <c r="TQ112" s="36"/>
      <c r="TR112" s="38"/>
      <c r="TS112" s="38"/>
      <c r="TY112" s="36"/>
      <c r="TZ112" s="38"/>
      <c r="UA112" s="38"/>
      <c r="UG112" s="36"/>
      <c r="UH112" s="38"/>
      <c r="UI112" s="38"/>
      <c r="UO112" s="36"/>
      <c r="UP112" s="38"/>
      <c r="UQ112" s="38"/>
      <c r="UW112" s="36"/>
      <c r="UX112" s="38"/>
      <c r="UY112" s="38"/>
      <c r="VE112" s="36"/>
      <c r="VF112" s="38"/>
      <c r="VG112" s="38"/>
      <c r="VM112" s="36"/>
      <c r="VN112" s="38"/>
      <c r="VO112" s="38"/>
      <c r="VU112" s="36"/>
      <c r="VV112" s="38"/>
      <c r="VW112" s="38"/>
      <c r="WC112" s="36"/>
      <c r="WD112" s="38"/>
      <c r="WE112" s="38"/>
      <c r="WK112" s="36"/>
      <c r="WL112" s="38"/>
      <c r="WM112" s="38"/>
      <c r="WS112" s="36"/>
      <c r="WT112" s="38"/>
      <c r="WU112" s="38"/>
      <c r="XA112" s="36"/>
      <c r="XB112" s="38"/>
      <c r="XC112" s="38"/>
      <c r="XI112" s="36"/>
      <c r="XJ112" s="38"/>
      <c r="XK112" s="38"/>
      <c r="XQ112" s="36"/>
      <c r="XR112" s="38"/>
      <c r="XS112" s="38"/>
      <c r="XY112" s="36"/>
      <c r="XZ112" s="38"/>
      <c r="YA112" s="38"/>
      <c r="YG112" s="36"/>
      <c r="YH112" s="38"/>
      <c r="YI112" s="38"/>
      <c r="YO112" s="36"/>
      <c r="YP112" s="38"/>
      <c r="YQ112" s="38"/>
      <c r="YW112" s="36"/>
      <c r="YX112" s="38"/>
      <c r="YY112" s="38"/>
      <c r="ZE112" s="36"/>
      <c r="ZF112" s="38"/>
      <c r="ZG112" s="38"/>
      <c r="ZM112" s="36"/>
      <c r="ZN112" s="38"/>
      <c r="ZO112" s="38"/>
      <c r="ZU112" s="36"/>
      <c r="ZV112" s="38"/>
      <c r="ZW112" s="38"/>
      <c r="AAC112" s="36"/>
      <c r="AAD112" s="38"/>
      <c r="AAE112" s="38"/>
      <c r="AAK112" s="36"/>
      <c r="AAL112" s="38"/>
      <c r="AAM112" s="38"/>
      <c r="AAS112" s="36"/>
      <c r="AAT112" s="38"/>
      <c r="AAU112" s="38"/>
      <c r="ABA112" s="36"/>
      <c r="ABB112" s="38"/>
      <c r="ABC112" s="38"/>
      <c r="ABI112" s="36"/>
      <c r="ABJ112" s="38"/>
      <c r="ABK112" s="38"/>
      <c r="ABQ112" s="36"/>
      <c r="ABR112" s="38"/>
      <c r="ABS112" s="38"/>
      <c r="ABY112" s="36"/>
      <c r="ABZ112" s="38"/>
      <c r="ACA112" s="38"/>
      <c r="ACG112" s="36"/>
      <c r="ACH112" s="38"/>
      <c r="ACI112" s="38"/>
      <c r="ACO112" s="36"/>
      <c r="ACP112" s="38"/>
      <c r="ACQ112" s="38"/>
      <c r="ACW112" s="36"/>
      <c r="ACX112" s="38"/>
      <c r="ACY112" s="38"/>
      <c r="ADE112" s="36"/>
      <c r="ADF112" s="38"/>
      <c r="ADG112" s="38"/>
      <c r="ADM112" s="36"/>
      <c r="ADN112" s="38"/>
      <c r="ADO112" s="38"/>
      <c r="ADU112" s="36"/>
      <c r="ADV112" s="38"/>
      <c r="ADW112" s="38"/>
      <c r="AEC112" s="36"/>
      <c r="AED112" s="38"/>
      <c r="AEE112" s="38"/>
      <c r="AEK112" s="36"/>
      <c r="AEL112" s="38"/>
      <c r="AEM112" s="38"/>
      <c r="AES112" s="36"/>
      <c r="AET112" s="38"/>
      <c r="AEU112" s="38"/>
      <c r="AFA112" s="36"/>
      <c r="AFB112" s="38"/>
      <c r="AFC112" s="38"/>
      <c r="AFI112" s="36"/>
      <c r="AFJ112" s="38"/>
      <c r="AFK112" s="38"/>
      <c r="AFQ112" s="36"/>
      <c r="AFR112" s="38"/>
      <c r="AFS112" s="38"/>
      <c r="AFY112" s="36"/>
      <c r="AFZ112" s="38"/>
      <c r="AGA112" s="38"/>
      <c r="AGG112" s="36"/>
      <c r="AGH112" s="38"/>
      <c r="AGI112" s="38"/>
      <c r="AGO112" s="36"/>
      <c r="AGP112" s="38"/>
      <c r="AGQ112" s="38"/>
      <c r="AGW112" s="36"/>
      <c r="AGX112" s="38"/>
      <c r="AGY112" s="38"/>
      <c r="AHE112" s="36"/>
      <c r="AHF112" s="38"/>
      <c r="AHG112" s="38"/>
      <c r="AHM112" s="36"/>
      <c r="AHN112" s="38"/>
      <c r="AHO112" s="38"/>
      <c r="AHU112" s="36"/>
      <c r="AHV112" s="38"/>
      <c r="AHW112" s="38"/>
      <c r="AIC112" s="36"/>
      <c r="AID112" s="38"/>
      <c r="AIE112" s="38"/>
      <c r="AIK112" s="36"/>
      <c r="AIL112" s="38"/>
      <c r="AIM112" s="38"/>
      <c r="AIS112" s="36"/>
      <c r="AIT112" s="38"/>
      <c r="AIU112" s="38"/>
      <c r="AJA112" s="36"/>
      <c r="AJB112" s="38"/>
      <c r="AJC112" s="38"/>
      <c r="AJI112" s="36"/>
      <c r="AJJ112" s="38"/>
      <c r="AJK112" s="38"/>
      <c r="AJQ112" s="36"/>
      <c r="AJR112" s="38"/>
      <c r="AJS112" s="38"/>
      <c r="AJY112" s="36"/>
      <c r="AJZ112" s="38"/>
      <c r="AKA112" s="38"/>
      <c r="AKG112" s="36"/>
      <c r="AKH112" s="38"/>
      <c r="AKI112" s="38"/>
      <c r="AKO112" s="36"/>
      <c r="AKP112" s="38"/>
      <c r="AKQ112" s="38"/>
      <c r="AKW112" s="36"/>
      <c r="AKX112" s="38"/>
      <c r="AKY112" s="38"/>
      <c r="ALE112" s="36"/>
      <c r="ALF112" s="38"/>
      <c r="ALG112" s="38"/>
      <c r="ALM112" s="36"/>
      <c r="ALN112" s="38"/>
      <c r="ALO112" s="38"/>
      <c r="ALU112" s="36"/>
      <c r="ALV112" s="38"/>
      <c r="ALW112" s="38"/>
      <c r="AMC112" s="36"/>
      <c r="AMD112" s="38"/>
      <c r="AME112" s="38"/>
      <c r="AMK112" s="36"/>
      <c r="AML112" s="38"/>
      <c r="AMM112" s="38"/>
      <c r="AMS112" s="36"/>
      <c r="AMT112" s="38"/>
      <c r="AMU112" s="38"/>
      <c r="ANA112" s="36"/>
      <c r="ANB112" s="38"/>
      <c r="ANC112" s="38"/>
      <c r="ANI112" s="36"/>
      <c r="ANJ112" s="38"/>
      <c r="ANK112" s="38"/>
      <c r="ANQ112" s="36"/>
      <c r="ANR112" s="38"/>
      <c r="ANS112" s="38"/>
      <c r="ANY112" s="36"/>
      <c r="ANZ112" s="38"/>
      <c r="AOA112" s="38"/>
      <c r="AOG112" s="36"/>
      <c r="AOH112" s="38"/>
      <c r="AOI112" s="38"/>
      <c r="AOO112" s="36"/>
      <c r="AOP112" s="38"/>
      <c r="AOQ112" s="38"/>
      <c r="AOW112" s="36"/>
      <c r="AOX112" s="38"/>
      <c r="AOY112" s="38"/>
      <c r="APE112" s="36"/>
      <c r="APF112" s="38"/>
      <c r="APG112" s="38"/>
      <c r="APM112" s="36"/>
      <c r="APN112" s="38"/>
      <c r="APO112" s="38"/>
      <c r="APU112" s="36"/>
      <c r="APV112" s="38"/>
      <c r="APW112" s="38"/>
      <c r="AQC112" s="36"/>
      <c r="AQD112" s="38"/>
      <c r="AQE112" s="38"/>
      <c r="AQK112" s="36"/>
      <c r="AQL112" s="38"/>
      <c r="AQM112" s="38"/>
      <c r="AQS112" s="36"/>
      <c r="AQT112" s="38"/>
      <c r="AQU112" s="38"/>
      <c r="ARA112" s="36"/>
      <c r="ARB112" s="38"/>
      <c r="ARC112" s="38"/>
      <c r="ARI112" s="36"/>
      <c r="ARJ112" s="38"/>
      <c r="ARK112" s="38"/>
      <c r="ARQ112" s="36"/>
      <c r="ARR112" s="38"/>
      <c r="ARS112" s="38"/>
      <c r="ARY112" s="36"/>
      <c r="ARZ112" s="38"/>
      <c r="ASA112" s="38"/>
      <c r="ASG112" s="36"/>
      <c r="ASH112" s="38"/>
      <c r="ASI112" s="38"/>
      <c r="ASO112" s="36"/>
      <c r="ASP112" s="38"/>
      <c r="ASQ112" s="38"/>
      <c r="ASW112" s="36"/>
      <c r="ASX112" s="38"/>
      <c r="ASY112" s="38"/>
      <c r="ATE112" s="36"/>
      <c r="ATF112" s="38"/>
      <c r="ATG112" s="38"/>
      <c r="ATM112" s="36"/>
      <c r="ATN112" s="38"/>
      <c r="ATO112" s="38"/>
      <c r="ATU112" s="36"/>
      <c r="ATV112" s="38"/>
      <c r="ATW112" s="38"/>
      <c r="AUC112" s="36"/>
      <c r="AUD112" s="38"/>
      <c r="AUE112" s="38"/>
      <c r="AUK112" s="36"/>
      <c r="AUL112" s="38"/>
      <c r="AUM112" s="38"/>
      <c r="AUS112" s="36"/>
      <c r="AUT112" s="38"/>
      <c r="AUU112" s="38"/>
      <c r="AVA112" s="36"/>
      <c r="AVB112" s="38"/>
      <c r="AVC112" s="38"/>
      <c r="AVI112" s="36"/>
      <c r="AVJ112" s="38"/>
      <c r="AVK112" s="38"/>
      <c r="AVQ112" s="36"/>
      <c r="AVR112" s="38"/>
      <c r="AVS112" s="38"/>
      <c r="AVY112" s="36"/>
      <c r="AVZ112" s="38"/>
      <c r="AWA112" s="38"/>
      <c r="AWG112" s="36"/>
      <c r="AWH112" s="38"/>
      <c r="AWI112" s="38"/>
      <c r="AWO112" s="36"/>
      <c r="AWP112" s="38"/>
      <c r="AWQ112" s="38"/>
      <c r="AWW112" s="36"/>
      <c r="AWX112" s="38"/>
      <c r="AWY112" s="38"/>
      <c r="AXE112" s="36"/>
      <c r="AXF112" s="38"/>
      <c r="AXG112" s="38"/>
      <c r="AXM112" s="36"/>
      <c r="AXN112" s="38"/>
      <c r="AXO112" s="38"/>
      <c r="AXU112" s="36"/>
      <c r="AXV112" s="38"/>
      <c r="AXW112" s="38"/>
      <c r="AYC112" s="36"/>
      <c r="AYD112" s="38"/>
      <c r="AYE112" s="38"/>
      <c r="AYK112" s="36"/>
      <c r="AYL112" s="38"/>
      <c r="AYM112" s="38"/>
      <c r="AYS112" s="36"/>
      <c r="AYT112" s="38"/>
      <c r="AYU112" s="38"/>
      <c r="AZA112" s="36"/>
      <c r="AZB112" s="38"/>
      <c r="AZC112" s="38"/>
      <c r="AZI112" s="36"/>
      <c r="AZJ112" s="38"/>
      <c r="AZK112" s="38"/>
      <c r="AZQ112" s="36"/>
      <c r="AZR112" s="38"/>
      <c r="AZS112" s="38"/>
      <c r="AZY112" s="36"/>
      <c r="AZZ112" s="38"/>
      <c r="BAA112" s="38"/>
      <c r="BAG112" s="36"/>
      <c r="BAH112" s="38"/>
      <c r="BAI112" s="38"/>
      <c r="BAO112" s="36"/>
      <c r="BAP112" s="38"/>
      <c r="BAQ112" s="38"/>
      <c r="BAW112" s="36"/>
      <c r="BAX112" s="38"/>
      <c r="BAY112" s="38"/>
      <c r="BBE112" s="36"/>
      <c r="BBF112" s="38"/>
      <c r="BBG112" s="38"/>
      <c r="BBM112" s="36"/>
      <c r="BBN112" s="38"/>
      <c r="BBO112" s="38"/>
      <c r="BBU112" s="36"/>
      <c r="BBV112" s="38"/>
      <c r="BBW112" s="38"/>
      <c r="BCC112" s="36"/>
      <c r="BCD112" s="38"/>
      <c r="BCE112" s="38"/>
      <c r="BCK112" s="36"/>
      <c r="BCL112" s="38"/>
      <c r="BCM112" s="38"/>
      <c r="BCS112" s="36"/>
      <c r="BCT112" s="38"/>
      <c r="BCU112" s="38"/>
      <c r="BDA112" s="36"/>
      <c r="BDB112" s="38"/>
      <c r="BDC112" s="38"/>
      <c r="BDI112" s="36"/>
      <c r="BDJ112" s="38"/>
      <c r="BDK112" s="38"/>
      <c r="BDQ112" s="36"/>
      <c r="BDR112" s="38"/>
      <c r="BDS112" s="38"/>
      <c r="BDY112" s="36"/>
      <c r="BDZ112" s="38"/>
      <c r="BEA112" s="38"/>
      <c r="BEG112" s="36"/>
      <c r="BEH112" s="38"/>
      <c r="BEI112" s="38"/>
      <c r="BEO112" s="36"/>
      <c r="BEP112" s="38"/>
      <c r="BEQ112" s="38"/>
      <c r="BEW112" s="36"/>
      <c r="BEX112" s="38"/>
      <c r="BEY112" s="38"/>
      <c r="BFE112" s="36"/>
      <c r="BFF112" s="38"/>
      <c r="BFG112" s="38"/>
      <c r="BFM112" s="36"/>
      <c r="BFN112" s="38"/>
      <c r="BFO112" s="38"/>
      <c r="BFU112" s="36"/>
      <c r="BFV112" s="38"/>
      <c r="BFW112" s="38"/>
      <c r="BGC112" s="36"/>
      <c r="BGD112" s="38"/>
      <c r="BGE112" s="38"/>
      <c r="BGK112" s="36"/>
      <c r="BGL112" s="38"/>
      <c r="BGM112" s="38"/>
      <c r="BGS112" s="36"/>
      <c r="BGT112" s="38"/>
      <c r="BGU112" s="38"/>
      <c r="BHA112" s="36"/>
      <c r="BHB112" s="38"/>
      <c r="BHC112" s="38"/>
      <c r="BHI112" s="36"/>
      <c r="BHJ112" s="38"/>
      <c r="BHK112" s="38"/>
      <c r="BHQ112" s="36"/>
      <c r="BHR112" s="38"/>
      <c r="BHS112" s="38"/>
      <c r="BHY112" s="36"/>
      <c r="BHZ112" s="38"/>
      <c r="BIA112" s="38"/>
      <c r="BIG112" s="36"/>
      <c r="BIH112" s="38"/>
      <c r="BII112" s="38"/>
      <c r="BIO112" s="36"/>
      <c r="BIP112" s="38"/>
      <c r="BIQ112" s="38"/>
      <c r="BIW112" s="36"/>
      <c r="BIX112" s="38"/>
      <c r="BIY112" s="38"/>
      <c r="BJE112" s="36"/>
      <c r="BJF112" s="38"/>
      <c r="BJG112" s="38"/>
      <c r="BJM112" s="36"/>
      <c r="BJN112" s="38"/>
      <c r="BJO112" s="38"/>
      <c r="BJU112" s="36"/>
      <c r="BJV112" s="38"/>
      <c r="BJW112" s="38"/>
      <c r="BKC112" s="36"/>
      <c r="BKD112" s="38"/>
      <c r="BKE112" s="38"/>
      <c r="BKK112" s="36"/>
      <c r="BKL112" s="38"/>
      <c r="BKM112" s="38"/>
      <c r="BKS112" s="36"/>
      <c r="BKT112" s="38"/>
      <c r="BKU112" s="38"/>
      <c r="BLA112" s="36"/>
      <c r="BLB112" s="38"/>
      <c r="BLC112" s="38"/>
      <c r="BLI112" s="36"/>
      <c r="BLJ112" s="38"/>
      <c r="BLK112" s="38"/>
      <c r="BLQ112" s="36"/>
      <c r="BLR112" s="38"/>
      <c r="BLS112" s="38"/>
      <c r="BLY112" s="36"/>
      <c r="BLZ112" s="38"/>
      <c r="BMA112" s="38"/>
      <c r="BMG112" s="36"/>
      <c r="BMH112" s="38"/>
      <c r="BMI112" s="38"/>
      <c r="BMO112" s="36"/>
      <c r="BMP112" s="38"/>
      <c r="BMQ112" s="38"/>
      <c r="BMW112" s="36"/>
      <c r="BMX112" s="38"/>
      <c r="BMY112" s="38"/>
      <c r="BNE112" s="36"/>
      <c r="BNF112" s="38"/>
      <c r="BNG112" s="38"/>
      <c r="BNM112" s="36"/>
      <c r="BNN112" s="38"/>
      <c r="BNO112" s="38"/>
      <c r="BNU112" s="36"/>
      <c r="BNV112" s="38"/>
      <c r="BNW112" s="38"/>
      <c r="BOC112" s="36"/>
      <c r="BOD112" s="38"/>
      <c r="BOE112" s="38"/>
      <c r="BOK112" s="36"/>
      <c r="BOL112" s="38"/>
      <c r="BOM112" s="38"/>
      <c r="BOS112" s="36"/>
      <c r="BOT112" s="38"/>
      <c r="BOU112" s="38"/>
      <c r="BPA112" s="36"/>
      <c r="BPB112" s="38"/>
      <c r="BPC112" s="38"/>
      <c r="BPI112" s="36"/>
      <c r="BPJ112" s="38"/>
      <c r="BPK112" s="38"/>
      <c r="BPQ112" s="36"/>
      <c r="BPR112" s="38"/>
      <c r="BPS112" s="38"/>
      <c r="BPY112" s="36"/>
      <c r="BPZ112" s="38"/>
      <c r="BQA112" s="38"/>
      <c r="BQG112" s="36"/>
      <c r="BQH112" s="38"/>
      <c r="BQI112" s="38"/>
      <c r="BQO112" s="36"/>
      <c r="BQP112" s="38"/>
      <c r="BQQ112" s="38"/>
      <c r="BQW112" s="36"/>
      <c r="BQX112" s="38"/>
      <c r="BQY112" s="38"/>
      <c r="BRE112" s="36"/>
      <c r="BRF112" s="38"/>
      <c r="BRG112" s="38"/>
      <c r="BRM112" s="36"/>
      <c r="BRN112" s="38"/>
      <c r="BRO112" s="38"/>
      <c r="BRU112" s="36"/>
      <c r="BRV112" s="38"/>
      <c r="BRW112" s="38"/>
      <c r="BSC112" s="36"/>
      <c r="BSD112" s="38"/>
      <c r="BSE112" s="38"/>
      <c r="BSK112" s="36"/>
      <c r="BSL112" s="38"/>
      <c r="BSM112" s="38"/>
      <c r="BSS112" s="36"/>
      <c r="BST112" s="38"/>
      <c r="BSU112" s="38"/>
      <c r="BTA112" s="36"/>
      <c r="BTB112" s="38"/>
      <c r="BTC112" s="38"/>
      <c r="BTI112" s="36"/>
      <c r="BTJ112" s="38"/>
      <c r="BTK112" s="38"/>
      <c r="BTQ112" s="36"/>
      <c r="BTR112" s="38"/>
      <c r="BTS112" s="38"/>
      <c r="BTY112" s="36"/>
      <c r="BTZ112" s="38"/>
      <c r="BUA112" s="38"/>
      <c r="BUG112" s="36"/>
      <c r="BUH112" s="38"/>
      <c r="BUI112" s="38"/>
      <c r="BUO112" s="36"/>
      <c r="BUP112" s="38"/>
      <c r="BUQ112" s="38"/>
      <c r="BUW112" s="36"/>
      <c r="BUX112" s="38"/>
      <c r="BUY112" s="38"/>
      <c r="BVE112" s="36"/>
      <c r="BVF112" s="38"/>
      <c r="BVG112" s="38"/>
      <c r="BVM112" s="36"/>
      <c r="BVN112" s="38"/>
      <c r="BVO112" s="38"/>
      <c r="BVU112" s="36"/>
      <c r="BVV112" s="38"/>
      <c r="BVW112" s="38"/>
      <c r="BWC112" s="36"/>
      <c r="BWD112" s="38"/>
      <c r="BWE112" s="38"/>
      <c r="BWK112" s="36"/>
      <c r="BWL112" s="38"/>
      <c r="BWM112" s="38"/>
      <c r="BWS112" s="36"/>
      <c r="BWT112" s="38"/>
      <c r="BWU112" s="38"/>
      <c r="BXA112" s="36"/>
      <c r="BXB112" s="38"/>
      <c r="BXC112" s="38"/>
      <c r="BXI112" s="36"/>
      <c r="BXJ112" s="38"/>
      <c r="BXK112" s="38"/>
      <c r="BXQ112" s="36"/>
      <c r="BXR112" s="38"/>
      <c r="BXS112" s="38"/>
      <c r="BXY112" s="36"/>
      <c r="BXZ112" s="38"/>
      <c r="BYA112" s="38"/>
      <c r="BYG112" s="36"/>
      <c r="BYH112" s="38"/>
      <c r="BYI112" s="38"/>
      <c r="BYO112" s="36"/>
      <c r="BYP112" s="38"/>
      <c r="BYQ112" s="38"/>
      <c r="BYW112" s="36"/>
      <c r="BYX112" s="38"/>
      <c r="BYY112" s="38"/>
      <c r="BZE112" s="36"/>
      <c r="BZF112" s="38"/>
      <c r="BZG112" s="38"/>
      <c r="BZM112" s="36"/>
      <c r="BZN112" s="38"/>
      <c r="BZO112" s="38"/>
      <c r="BZU112" s="36"/>
      <c r="BZV112" s="38"/>
      <c r="BZW112" s="38"/>
      <c r="CAC112" s="36"/>
      <c r="CAD112" s="38"/>
      <c r="CAE112" s="38"/>
      <c r="CAK112" s="36"/>
      <c r="CAL112" s="38"/>
      <c r="CAM112" s="38"/>
      <c r="CAS112" s="36"/>
      <c r="CAT112" s="38"/>
      <c r="CAU112" s="38"/>
      <c r="CBA112" s="36"/>
      <c r="CBB112" s="38"/>
      <c r="CBC112" s="38"/>
      <c r="CBI112" s="36"/>
      <c r="CBJ112" s="38"/>
      <c r="CBK112" s="38"/>
      <c r="CBQ112" s="36"/>
      <c r="CBR112" s="38"/>
      <c r="CBS112" s="38"/>
      <c r="CBY112" s="36"/>
      <c r="CBZ112" s="38"/>
      <c r="CCA112" s="38"/>
      <c r="CCG112" s="36"/>
      <c r="CCH112" s="38"/>
      <c r="CCI112" s="38"/>
      <c r="CCO112" s="36"/>
      <c r="CCP112" s="38"/>
      <c r="CCQ112" s="38"/>
      <c r="CCW112" s="36"/>
      <c r="CCX112" s="38"/>
      <c r="CCY112" s="38"/>
      <c r="CDE112" s="36"/>
      <c r="CDF112" s="38"/>
      <c r="CDG112" s="38"/>
      <c r="CDM112" s="36"/>
      <c r="CDN112" s="38"/>
      <c r="CDO112" s="38"/>
      <c r="CDU112" s="36"/>
      <c r="CDV112" s="38"/>
      <c r="CDW112" s="38"/>
      <c r="CEC112" s="36"/>
      <c r="CED112" s="38"/>
      <c r="CEE112" s="38"/>
      <c r="CEK112" s="36"/>
      <c r="CEL112" s="38"/>
      <c r="CEM112" s="38"/>
      <c r="CES112" s="36"/>
      <c r="CET112" s="38"/>
      <c r="CEU112" s="38"/>
      <c r="CFA112" s="36"/>
      <c r="CFB112" s="38"/>
      <c r="CFC112" s="38"/>
      <c r="CFI112" s="36"/>
      <c r="CFJ112" s="38"/>
      <c r="CFK112" s="38"/>
      <c r="CFQ112" s="36"/>
      <c r="CFR112" s="38"/>
      <c r="CFS112" s="38"/>
      <c r="CFY112" s="36"/>
      <c r="CFZ112" s="38"/>
      <c r="CGA112" s="38"/>
      <c r="CGG112" s="36"/>
      <c r="CGH112" s="38"/>
      <c r="CGI112" s="38"/>
      <c r="CGO112" s="36"/>
      <c r="CGP112" s="38"/>
      <c r="CGQ112" s="38"/>
      <c r="CGW112" s="36"/>
      <c r="CGX112" s="38"/>
      <c r="CGY112" s="38"/>
      <c r="CHE112" s="36"/>
      <c r="CHF112" s="38"/>
      <c r="CHG112" s="38"/>
      <c r="CHM112" s="36"/>
      <c r="CHN112" s="38"/>
      <c r="CHO112" s="38"/>
      <c r="CHU112" s="36"/>
      <c r="CHV112" s="38"/>
      <c r="CHW112" s="38"/>
      <c r="CIC112" s="36"/>
      <c r="CID112" s="38"/>
      <c r="CIE112" s="38"/>
      <c r="CIK112" s="36"/>
      <c r="CIL112" s="38"/>
      <c r="CIM112" s="38"/>
      <c r="CIS112" s="36"/>
      <c r="CIT112" s="38"/>
      <c r="CIU112" s="38"/>
      <c r="CJA112" s="36"/>
      <c r="CJB112" s="38"/>
      <c r="CJC112" s="38"/>
      <c r="CJI112" s="36"/>
      <c r="CJJ112" s="38"/>
      <c r="CJK112" s="38"/>
      <c r="CJQ112" s="36"/>
      <c r="CJR112" s="38"/>
      <c r="CJS112" s="38"/>
      <c r="CJY112" s="36"/>
      <c r="CJZ112" s="38"/>
      <c r="CKA112" s="38"/>
      <c r="CKG112" s="36"/>
      <c r="CKH112" s="38"/>
      <c r="CKI112" s="38"/>
      <c r="CKO112" s="36"/>
      <c r="CKP112" s="38"/>
      <c r="CKQ112" s="38"/>
      <c r="CKW112" s="36"/>
      <c r="CKX112" s="38"/>
      <c r="CKY112" s="38"/>
      <c r="CLE112" s="36"/>
      <c r="CLF112" s="38"/>
      <c r="CLG112" s="38"/>
      <c r="CLM112" s="36"/>
      <c r="CLN112" s="38"/>
      <c r="CLO112" s="38"/>
      <c r="CLU112" s="36"/>
      <c r="CLV112" s="38"/>
      <c r="CLW112" s="38"/>
      <c r="CMC112" s="36"/>
      <c r="CMD112" s="38"/>
      <c r="CME112" s="38"/>
      <c r="CMK112" s="36"/>
      <c r="CML112" s="38"/>
      <c r="CMM112" s="38"/>
      <c r="CMS112" s="36"/>
      <c r="CMT112" s="38"/>
      <c r="CMU112" s="38"/>
      <c r="CNA112" s="36"/>
      <c r="CNB112" s="38"/>
      <c r="CNC112" s="38"/>
      <c r="CNI112" s="36"/>
      <c r="CNJ112" s="38"/>
      <c r="CNK112" s="38"/>
      <c r="CNQ112" s="36"/>
      <c r="CNR112" s="38"/>
      <c r="CNS112" s="38"/>
      <c r="CNY112" s="36"/>
      <c r="CNZ112" s="38"/>
      <c r="COA112" s="38"/>
      <c r="COG112" s="36"/>
      <c r="COH112" s="38"/>
      <c r="COI112" s="38"/>
      <c r="COO112" s="36"/>
      <c r="COP112" s="38"/>
      <c r="COQ112" s="38"/>
      <c r="COW112" s="36"/>
      <c r="COX112" s="38"/>
      <c r="COY112" s="38"/>
      <c r="CPE112" s="36"/>
      <c r="CPF112" s="38"/>
      <c r="CPG112" s="38"/>
      <c r="CPM112" s="36"/>
      <c r="CPN112" s="38"/>
      <c r="CPO112" s="38"/>
      <c r="CPU112" s="36"/>
      <c r="CPV112" s="38"/>
      <c r="CPW112" s="38"/>
      <c r="CQC112" s="36"/>
      <c r="CQD112" s="38"/>
      <c r="CQE112" s="38"/>
      <c r="CQK112" s="36"/>
      <c r="CQL112" s="38"/>
      <c r="CQM112" s="38"/>
      <c r="CQS112" s="36"/>
      <c r="CQT112" s="38"/>
      <c r="CQU112" s="38"/>
      <c r="CRA112" s="36"/>
      <c r="CRB112" s="38"/>
      <c r="CRC112" s="38"/>
      <c r="CRI112" s="36"/>
      <c r="CRJ112" s="38"/>
      <c r="CRK112" s="38"/>
      <c r="CRQ112" s="36"/>
      <c r="CRR112" s="38"/>
      <c r="CRS112" s="38"/>
      <c r="CRY112" s="36"/>
      <c r="CRZ112" s="38"/>
      <c r="CSA112" s="38"/>
      <c r="CSG112" s="36"/>
      <c r="CSH112" s="38"/>
      <c r="CSI112" s="38"/>
      <c r="CSO112" s="36"/>
      <c r="CSP112" s="38"/>
      <c r="CSQ112" s="38"/>
      <c r="CSW112" s="36"/>
      <c r="CSX112" s="38"/>
      <c r="CSY112" s="38"/>
      <c r="CTE112" s="36"/>
      <c r="CTF112" s="38"/>
      <c r="CTG112" s="38"/>
      <c r="CTM112" s="36"/>
      <c r="CTN112" s="38"/>
      <c r="CTO112" s="38"/>
      <c r="CTU112" s="36"/>
      <c r="CTV112" s="38"/>
      <c r="CTW112" s="38"/>
      <c r="CUC112" s="36"/>
      <c r="CUD112" s="38"/>
      <c r="CUE112" s="38"/>
      <c r="CUK112" s="36"/>
      <c r="CUL112" s="38"/>
      <c r="CUM112" s="38"/>
      <c r="CUS112" s="36"/>
      <c r="CUT112" s="38"/>
      <c r="CUU112" s="38"/>
      <c r="CVA112" s="36"/>
      <c r="CVB112" s="38"/>
      <c r="CVC112" s="38"/>
      <c r="CVI112" s="36"/>
      <c r="CVJ112" s="38"/>
      <c r="CVK112" s="38"/>
      <c r="CVQ112" s="36"/>
      <c r="CVR112" s="38"/>
      <c r="CVS112" s="38"/>
      <c r="CVY112" s="36"/>
      <c r="CVZ112" s="38"/>
      <c r="CWA112" s="38"/>
      <c r="CWG112" s="36"/>
      <c r="CWH112" s="38"/>
      <c r="CWI112" s="38"/>
      <c r="CWO112" s="36"/>
      <c r="CWP112" s="38"/>
      <c r="CWQ112" s="38"/>
      <c r="CWW112" s="36"/>
      <c r="CWX112" s="38"/>
      <c r="CWY112" s="38"/>
      <c r="CXE112" s="36"/>
      <c r="CXF112" s="38"/>
      <c r="CXG112" s="38"/>
      <c r="CXM112" s="36"/>
      <c r="CXN112" s="38"/>
      <c r="CXO112" s="38"/>
      <c r="CXU112" s="36"/>
      <c r="CXV112" s="38"/>
      <c r="CXW112" s="38"/>
      <c r="CYC112" s="36"/>
      <c r="CYD112" s="38"/>
      <c r="CYE112" s="38"/>
      <c r="CYK112" s="36"/>
      <c r="CYL112" s="38"/>
      <c r="CYM112" s="38"/>
      <c r="CYS112" s="36"/>
      <c r="CYT112" s="38"/>
      <c r="CYU112" s="38"/>
      <c r="CZA112" s="36"/>
      <c r="CZB112" s="38"/>
      <c r="CZC112" s="38"/>
      <c r="CZI112" s="36"/>
      <c r="CZJ112" s="38"/>
      <c r="CZK112" s="38"/>
      <c r="CZQ112" s="36"/>
      <c r="CZR112" s="38"/>
      <c r="CZS112" s="38"/>
      <c r="CZY112" s="36"/>
      <c r="CZZ112" s="38"/>
      <c r="DAA112" s="38"/>
      <c r="DAG112" s="36"/>
      <c r="DAH112" s="38"/>
      <c r="DAI112" s="38"/>
      <c r="DAO112" s="36"/>
      <c r="DAP112" s="38"/>
      <c r="DAQ112" s="38"/>
      <c r="DAW112" s="36"/>
      <c r="DAX112" s="38"/>
      <c r="DAY112" s="38"/>
      <c r="DBE112" s="36"/>
      <c r="DBF112" s="38"/>
      <c r="DBG112" s="38"/>
      <c r="DBM112" s="36"/>
      <c r="DBN112" s="38"/>
      <c r="DBO112" s="38"/>
      <c r="DBU112" s="36"/>
      <c r="DBV112" s="38"/>
      <c r="DBW112" s="38"/>
      <c r="DCC112" s="36"/>
      <c r="DCD112" s="38"/>
      <c r="DCE112" s="38"/>
      <c r="DCK112" s="36"/>
      <c r="DCL112" s="38"/>
      <c r="DCM112" s="38"/>
      <c r="DCS112" s="36"/>
      <c r="DCT112" s="38"/>
      <c r="DCU112" s="38"/>
      <c r="DDA112" s="36"/>
      <c r="DDB112" s="38"/>
      <c r="DDC112" s="38"/>
      <c r="DDI112" s="36"/>
      <c r="DDJ112" s="38"/>
      <c r="DDK112" s="38"/>
      <c r="DDQ112" s="36"/>
      <c r="DDR112" s="38"/>
      <c r="DDS112" s="38"/>
      <c r="DDY112" s="36"/>
      <c r="DDZ112" s="38"/>
      <c r="DEA112" s="38"/>
      <c r="DEG112" s="36"/>
      <c r="DEH112" s="38"/>
      <c r="DEI112" s="38"/>
      <c r="DEO112" s="36"/>
      <c r="DEP112" s="38"/>
      <c r="DEQ112" s="38"/>
      <c r="DEW112" s="36"/>
      <c r="DEX112" s="38"/>
      <c r="DEY112" s="38"/>
      <c r="DFE112" s="36"/>
      <c r="DFF112" s="38"/>
      <c r="DFG112" s="38"/>
      <c r="DFM112" s="36"/>
      <c r="DFN112" s="38"/>
      <c r="DFO112" s="38"/>
      <c r="DFU112" s="36"/>
      <c r="DFV112" s="38"/>
      <c r="DFW112" s="38"/>
      <c r="DGC112" s="36"/>
      <c r="DGD112" s="38"/>
      <c r="DGE112" s="38"/>
      <c r="DGK112" s="36"/>
      <c r="DGL112" s="38"/>
      <c r="DGM112" s="38"/>
      <c r="DGS112" s="36"/>
      <c r="DGT112" s="38"/>
      <c r="DGU112" s="38"/>
      <c r="DHA112" s="36"/>
      <c r="DHB112" s="38"/>
      <c r="DHC112" s="38"/>
      <c r="DHI112" s="36"/>
      <c r="DHJ112" s="38"/>
      <c r="DHK112" s="38"/>
      <c r="DHQ112" s="36"/>
      <c r="DHR112" s="38"/>
      <c r="DHS112" s="38"/>
      <c r="DHY112" s="36"/>
      <c r="DHZ112" s="38"/>
      <c r="DIA112" s="38"/>
      <c r="DIG112" s="36"/>
      <c r="DIH112" s="38"/>
      <c r="DII112" s="38"/>
      <c r="DIO112" s="36"/>
      <c r="DIP112" s="38"/>
      <c r="DIQ112" s="38"/>
      <c r="DIW112" s="36"/>
      <c r="DIX112" s="38"/>
      <c r="DIY112" s="38"/>
      <c r="DJE112" s="36"/>
      <c r="DJF112" s="38"/>
      <c r="DJG112" s="38"/>
      <c r="DJM112" s="36"/>
      <c r="DJN112" s="38"/>
      <c r="DJO112" s="38"/>
      <c r="DJU112" s="36"/>
      <c r="DJV112" s="38"/>
      <c r="DJW112" s="38"/>
      <c r="DKC112" s="36"/>
      <c r="DKD112" s="38"/>
      <c r="DKE112" s="38"/>
      <c r="DKK112" s="36"/>
      <c r="DKL112" s="38"/>
      <c r="DKM112" s="38"/>
      <c r="DKS112" s="36"/>
      <c r="DKT112" s="38"/>
      <c r="DKU112" s="38"/>
      <c r="DLA112" s="36"/>
      <c r="DLB112" s="38"/>
      <c r="DLC112" s="38"/>
      <c r="DLI112" s="36"/>
      <c r="DLJ112" s="38"/>
      <c r="DLK112" s="38"/>
      <c r="DLQ112" s="36"/>
      <c r="DLR112" s="38"/>
      <c r="DLS112" s="38"/>
      <c r="DLY112" s="36"/>
      <c r="DLZ112" s="38"/>
      <c r="DMA112" s="38"/>
      <c r="DMG112" s="36"/>
      <c r="DMH112" s="38"/>
      <c r="DMI112" s="38"/>
      <c r="DMO112" s="36"/>
      <c r="DMP112" s="38"/>
      <c r="DMQ112" s="38"/>
      <c r="DMW112" s="36"/>
      <c r="DMX112" s="38"/>
      <c r="DMY112" s="38"/>
      <c r="DNE112" s="36"/>
      <c r="DNF112" s="38"/>
      <c r="DNG112" s="38"/>
      <c r="DNM112" s="36"/>
      <c r="DNN112" s="38"/>
      <c r="DNO112" s="38"/>
      <c r="DNU112" s="36"/>
      <c r="DNV112" s="38"/>
      <c r="DNW112" s="38"/>
      <c r="DOC112" s="36"/>
      <c r="DOD112" s="38"/>
      <c r="DOE112" s="38"/>
      <c r="DOK112" s="36"/>
      <c r="DOL112" s="38"/>
      <c r="DOM112" s="38"/>
      <c r="DOS112" s="36"/>
      <c r="DOT112" s="38"/>
      <c r="DOU112" s="38"/>
      <c r="DPA112" s="36"/>
      <c r="DPB112" s="38"/>
      <c r="DPC112" s="38"/>
      <c r="DPI112" s="36"/>
      <c r="DPJ112" s="38"/>
      <c r="DPK112" s="38"/>
      <c r="DPQ112" s="36"/>
      <c r="DPR112" s="38"/>
      <c r="DPS112" s="38"/>
      <c r="DPY112" s="36"/>
      <c r="DPZ112" s="38"/>
      <c r="DQA112" s="38"/>
      <c r="DQG112" s="36"/>
      <c r="DQH112" s="38"/>
      <c r="DQI112" s="38"/>
      <c r="DQO112" s="36"/>
      <c r="DQP112" s="38"/>
      <c r="DQQ112" s="38"/>
      <c r="DQW112" s="36"/>
      <c r="DQX112" s="38"/>
      <c r="DQY112" s="38"/>
      <c r="DRE112" s="36"/>
      <c r="DRF112" s="38"/>
      <c r="DRG112" s="38"/>
      <c r="DRM112" s="36"/>
      <c r="DRN112" s="38"/>
      <c r="DRO112" s="38"/>
      <c r="DRU112" s="36"/>
      <c r="DRV112" s="38"/>
      <c r="DRW112" s="38"/>
      <c r="DSC112" s="36"/>
      <c r="DSD112" s="38"/>
      <c r="DSE112" s="38"/>
      <c r="DSK112" s="36"/>
      <c r="DSL112" s="38"/>
      <c r="DSM112" s="38"/>
      <c r="DSS112" s="36"/>
      <c r="DST112" s="38"/>
      <c r="DSU112" s="38"/>
      <c r="DTA112" s="36"/>
      <c r="DTB112" s="38"/>
      <c r="DTC112" s="38"/>
      <c r="DTI112" s="36"/>
      <c r="DTJ112" s="38"/>
      <c r="DTK112" s="38"/>
      <c r="DTQ112" s="36"/>
      <c r="DTR112" s="38"/>
      <c r="DTS112" s="38"/>
      <c r="DTY112" s="36"/>
      <c r="DTZ112" s="38"/>
      <c r="DUA112" s="38"/>
      <c r="DUG112" s="36"/>
      <c r="DUH112" s="38"/>
      <c r="DUI112" s="38"/>
      <c r="DUO112" s="36"/>
      <c r="DUP112" s="38"/>
      <c r="DUQ112" s="38"/>
      <c r="DUW112" s="36"/>
      <c r="DUX112" s="38"/>
      <c r="DUY112" s="38"/>
      <c r="DVE112" s="36"/>
      <c r="DVF112" s="38"/>
      <c r="DVG112" s="38"/>
      <c r="DVM112" s="36"/>
      <c r="DVN112" s="38"/>
      <c r="DVO112" s="38"/>
      <c r="DVU112" s="36"/>
      <c r="DVV112" s="38"/>
      <c r="DVW112" s="38"/>
      <c r="DWC112" s="36"/>
      <c r="DWD112" s="38"/>
      <c r="DWE112" s="38"/>
      <c r="DWK112" s="36"/>
      <c r="DWL112" s="38"/>
      <c r="DWM112" s="38"/>
      <c r="DWS112" s="36"/>
      <c r="DWT112" s="38"/>
      <c r="DWU112" s="38"/>
      <c r="DXA112" s="36"/>
      <c r="DXB112" s="38"/>
      <c r="DXC112" s="38"/>
      <c r="DXI112" s="36"/>
      <c r="DXJ112" s="38"/>
      <c r="DXK112" s="38"/>
      <c r="DXQ112" s="36"/>
      <c r="DXR112" s="38"/>
      <c r="DXS112" s="38"/>
      <c r="DXY112" s="36"/>
      <c r="DXZ112" s="38"/>
      <c r="DYA112" s="38"/>
      <c r="DYG112" s="36"/>
      <c r="DYH112" s="38"/>
      <c r="DYI112" s="38"/>
      <c r="DYO112" s="36"/>
      <c r="DYP112" s="38"/>
      <c r="DYQ112" s="38"/>
      <c r="DYW112" s="36"/>
      <c r="DYX112" s="38"/>
      <c r="DYY112" s="38"/>
      <c r="DZE112" s="36"/>
      <c r="DZF112" s="38"/>
      <c r="DZG112" s="38"/>
      <c r="DZM112" s="36"/>
      <c r="DZN112" s="38"/>
      <c r="DZO112" s="38"/>
      <c r="DZU112" s="36"/>
      <c r="DZV112" s="38"/>
      <c r="DZW112" s="38"/>
      <c r="EAC112" s="36"/>
      <c r="EAD112" s="38"/>
      <c r="EAE112" s="38"/>
      <c r="EAK112" s="36"/>
      <c r="EAL112" s="38"/>
      <c r="EAM112" s="38"/>
      <c r="EAS112" s="36"/>
      <c r="EAT112" s="38"/>
      <c r="EAU112" s="38"/>
      <c r="EBA112" s="36"/>
      <c r="EBB112" s="38"/>
      <c r="EBC112" s="38"/>
      <c r="EBI112" s="36"/>
      <c r="EBJ112" s="38"/>
      <c r="EBK112" s="38"/>
      <c r="EBQ112" s="36"/>
      <c r="EBR112" s="38"/>
      <c r="EBS112" s="38"/>
      <c r="EBY112" s="36"/>
      <c r="EBZ112" s="38"/>
      <c r="ECA112" s="38"/>
      <c r="ECG112" s="36"/>
      <c r="ECH112" s="38"/>
      <c r="ECI112" s="38"/>
      <c r="ECO112" s="36"/>
      <c r="ECP112" s="38"/>
      <c r="ECQ112" s="38"/>
      <c r="ECW112" s="36"/>
      <c r="ECX112" s="38"/>
      <c r="ECY112" s="38"/>
      <c r="EDE112" s="36"/>
      <c r="EDF112" s="38"/>
      <c r="EDG112" s="38"/>
      <c r="EDM112" s="36"/>
      <c r="EDN112" s="38"/>
      <c r="EDO112" s="38"/>
      <c r="EDU112" s="36"/>
      <c r="EDV112" s="38"/>
      <c r="EDW112" s="38"/>
      <c r="EEC112" s="36"/>
      <c r="EED112" s="38"/>
      <c r="EEE112" s="38"/>
      <c r="EEK112" s="36"/>
      <c r="EEL112" s="38"/>
      <c r="EEM112" s="38"/>
      <c r="EES112" s="36"/>
      <c r="EET112" s="38"/>
      <c r="EEU112" s="38"/>
      <c r="EFA112" s="36"/>
      <c r="EFB112" s="38"/>
      <c r="EFC112" s="38"/>
      <c r="EFI112" s="36"/>
      <c r="EFJ112" s="38"/>
      <c r="EFK112" s="38"/>
      <c r="EFQ112" s="36"/>
      <c r="EFR112" s="38"/>
      <c r="EFS112" s="38"/>
      <c r="EFY112" s="36"/>
      <c r="EFZ112" s="38"/>
      <c r="EGA112" s="38"/>
      <c r="EGG112" s="36"/>
      <c r="EGH112" s="38"/>
      <c r="EGI112" s="38"/>
      <c r="EGO112" s="36"/>
      <c r="EGP112" s="38"/>
      <c r="EGQ112" s="38"/>
      <c r="EGW112" s="36"/>
      <c r="EGX112" s="38"/>
      <c r="EGY112" s="38"/>
      <c r="EHE112" s="36"/>
      <c r="EHF112" s="38"/>
      <c r="EHG112" s="38"/>
      <c r="EHM112" s="36"/>
      <c r="EHN112" s="38"/>
      <c r="EHO112" s="38"/>
      <c r="EHU112" s="36"/>
      <c r="EHV112" s="38"/>
      <c r="EHW112" s="38"/>
      <c r="EIC112" s="36"/>
      <c r="EID112" s="38"/>
      <c r="EIE112" s="38"/>
      <c r="EIK112" s="36"/>
      <c r="EIL112" s="38"/>
      <c r="EIM112" s="38"/>
      <c r="EIS112" s="36"/>
      <c r="EIT112" s="38"/>
      <c r="EIU112" s="38"/>
      <c r="EJA112" s="36"/>
      <c r="EJB112" s="38"/>
      <c r="EJC112" s="38"/>
      <c r="EJI112" s="36"/>
      <c r="EJJ112" s="38"/>
      <c r="EJK112" s="38"/>
      <c r="EJQ112" s="36"/>
      <c r="EJR112" s="38"/>
      <c r="EJS112" s="38"/>
      <c r="EJY112" s="36"/>
      <c r="EJZ112" s="38"/>
      <c r="EKA112" s="38"/>
      <c r="EKG112" s="36"/>
      <c r="EKH112" s="38"/>
      <c r="EKI112" s="38"/>
      <c r="EKO112" s="36"/>
      <c r="EKP112" s="38"/>
      <c r="EKQ112" s="38"/>
      <c r="EKW112" s="36"/>
      <c r="EKX112" s="38"/>
      <c r="EKY112" s="38"/>
      <c r="ELE112" s="36"/>
      <c r="ELF112" s="38"/>
      <c r="ELG112" s="38"/>
      <c r="ELM112" s="36"/>
      <c r="ELN112" s="38"/>
      <c r="ELO112" s="38"/>
      <c r="ELU112" s="36"/>
      <c r="ELV112" s="38"/>
      <c r="ELW112" s="38"/>
      <c r="EMC112" s="36"/>
      <c r="EMD112" s="38"/>
      <c r="EME112" s="38"/>
      <c r="EMK112" s="36"/>
      <c r="EML112" s="38"/>
      <c r="EMM112" s="38"/>
      <c r="EMS112" s="36"/>
      <c r="EMT112" s="38"/>
      <c r="EMU112" s="38"/>
      <c r="ENA112" s="36"/>
      <c r="ENB112" s="38"/>
      <c r="ENC112" s="38"/>
      <c r="ENI112" s="36"/>
      <c r="ENJ112" s="38"/>
      <c r="ENK112" s="38"/>
      <c r="ENQ112" s="36"/>
      <c r="ENR112" s="38"/>
      <c r="ENS112" s="38"/>
      <c r="ENY112" s="36"/>
      <c r="ENZ112" s="38"/>
      <c r="EOA112" s="38"/>
      <c r="EOG112" s="36"/>
      <c r="EOH112" s="38"/>
      <c r="EOI112" s="38"/>
      <c r="EOO112" s="36"/>
      <c r="EOP112" s="38"/>
      <c r="EOQ112" s="38"/>
      <c r="EOW112" s="36"/>
      <c r="EOX112" s="38"/>
      <c r="EOY112" s="38"/>
      <c r="EPE112" s="36"/>
      <c r="EPF112" s="38"/>
      <c r="EPG112" s="38"/>
      <c r="EPM112" s="36"/>
      <c r="EPN112" s="38"/>
      <c r="EPO112" s="38"/>
      <c r="EPU112" s="36"/>
      <c r="EPV112" s="38"/>
      <c r="EPW112" s="38"/>
      <c r="EQC112" s="36"/>
      <c r="EQD112" s="38"/>
      <c r="EQE112" s="38"/>
      <c r="EQK112" s="36"/>
      <c r="EQL112" s="38"/>
      <c r="EQM112" s="38"/>
      <c r="EQS112" s="36"/>
      <c r="EQT112" s="38"/>
      <c r="EQU112" s="38"/>
      <c r="ERA112" s="36"/>
      <c r="ERB112" s="38"/>
      <c r="ERC112" s="38"/>
      <c r="ERI112" s="36"/>
      <c r="ERJ112" s="38"/>
      <c r="ERK112" s="38"/>
      <c r="ERQ112" s="36"/>
      <c r="ERR112" s="38"/>
      <c r="ERS112" s="38"/>
      <c r="ERY112" s="36"/>
      <c r="ERZ112" s="38"/>
      <c r="ESA112" s="38"/>
      <c r="ESG112" s="36"/>
      <c r="ESH112" s="38"/>
      <c r="ESI112" s="38"/>
      <c r="ESO112" s="36"/>
      <c r="ESP112" s="38"/>
      <c r="ESQ112" s="38"/>
      <c r="ESW112" s="36"/>
      <c r="ESX112" s="38"/>
      <c r="ESY112" s="38"/>
      <c r="ETE112" s="36"/>
      <c r="ETF112" s="38"/>
      <c r="ETG112" s="38"/>
      <c r="ETM112" s="36"/>
      <c r="ETN112" s="38"/>
      <c r="ETO112" s="38"/>
      <c r="ETU112" s="36"/>
      <c r="ETV112" s="38"/>
      <c r="ETW112" s="38"/>
      <c r="EUC112" s="36"/>
      <c r="EUD112" s="38"/>
      <c r="EUE112" s="38"/>
      <c r="EUK112" s="36"/>
      <c r="EUL112" s="38"/>
      <c r="EUM112" s="38"/>
      <c r="EUS112" s="36"/>
      <c r="EUT112" s="38"/>
      <c r="EUU112" s="38"/>
      <c r="EVA112" s="36"/>
      <c r="EVB112" s="38"/>
      <c r="EVC112" s="38"/>
      <c r="EVI112" s="36"/>
      <c r="EVJ112" s="38"/>
      <c r="EVK112" s="38"/>
      <c r="EVQ112" s="36"/>
      <c r="EVR112" s="38"/>
      <c r="EVS112" s="38"/>
      <c r="EVY112" s="36"/>
      <c r="EVZ112" s="38"/>
      <c r="EWA112" s="38"/>
      <c r="EWG112" s="36"/>
      <c r="EWH112" s="38"/>
      <c r="EWI112" s="38"/>
      <c r="EWO112" s="36"/>
      <c r="EWP112" s="38"/>
      <c r="EWQ112" s="38"/>
      <c r="EWW112" s="36"/>
      <c r="EWX112" s="38"/>
      <c r="EWY112" s="38"/>
      <c r="EXE112" s="36"/>
      <c r="EXF112" s="38"/>
      <c r="EXG112" s="38"/>
      <c r="EXM112" s="36"/>
      <c r="EXN112" s="38"/>
      <c r="EXO112" s="38"/>
      <c r="EXU112" s="36"/>
      <c r="EXV112" s="38"/>
      <c r="EXW112" s="38"/>
      <c r="EYC112" s="36"/>
      <c r="EYD112" s="38"/>
      <c r="EYE112" s="38"/>
      <c r="EYK112" s="36"/>
      <c r="EYL112" s="38"/>
      <c r="EYM112" s="38"/>
      <c r="EYS112" s="36"/>
      <c r="EYT112" s="38"/>
      <c r="EYU112" s="38"/>
      <c r="EZA112" s="36"/>
      <c r="EZB112" s="38"/>
      <c r="EZC112" s="38"/>
      <c r="EZI112" s="36"/>
      <c r="EZJ112" s="38"/>
      <c r="EZK112" s="38"/>
      <c r="EZQ112" s="36"/>
      <c r="EZR112" s="38"/>
      <c r="EZS112" s="38"/>
      <c r="EZY112" s="36"/>
      <c r="EZZ112" s="38"/>
      <c r="FAA112" s="38"/>
      <c r="FAG112" s="36"/>
      <c r="FAH112" s="38"/>
      <c r="FAI112" s="38"/>
      <c r="FAO112" s="36"/>
      <c r="FAP112" s="38"/>
      <c r="FAQ112" s="38"/>
      <c r="FAW112" s="36"/>
      <c r="FAX112" s="38"/>
      <c r="FAY112" s="38"/>
      <c r="FBE112" s="36"/>
      <c r="FBF112" s="38"/>
      <c r="FBG112" s="38"/>
      <c r="FBM112" s="36"/>
      <c r="FBN112" s="38"/>
      <c r="FBO112" s="38"/>
      <c r="FBU112" s="36"/>
      <c r="FBV112" s="38"/>
      <c r="FBW112" s="38"/>
      <c r="FCC112" s="36"/>
      <c r="FCD112" s="38"/>
      <c r="FCE112" s="38"/>
      <c r="FCK112" s="36"/>
      <c r="FCL112" s="38"/>
      <c r="FCM112" s="38"/>
      <c r="FCS112" s="36"/>
      <c r="FCT112" s="38"/>
      <c r="FCU112" s="38"/>
      <c r="FDA112" s="36"/>
      <c r="FDB112" s="38"/>
      <c r="FDC112" s="38"/>
      <c r="FDI112" s="36"/>
      <c r="FDJ112" s="38"/>
      <c r="FDK112" s="38"/>
      <c r="FDQ112" s="36"/>
      <c r="FDR112" s="38"/>
      <c r="FDS112" s="38"/>
      <c r="FDY112" s="36"/>
      <c r="FDZ112" s="38"/>
      <c r="FEA112" s="38"/>
      <c r="FEG112" s="36"/>
      <c r="FEH112" s="38"/>
      <c r="FEI112" s="38"/>
      <c r="FEO112" s="36"/>
      <c r="FEP112" s="38"/>
      <c r="FEQ112" s="38"/>
      <c r="FEW112" s="36"/>
      <c r="FEX112" s="38"/>
      <c r="FEY112" s="38"/>
      <c r="FFE112" s="36"/>
      <c r="FFF112" s="38"/>
      <c r="FFG112" s="38"/>
      <c r="FFM112" s="36"/>
      <c r="FFN112" s="38"/>
      <c r="FFO112" s="38"/>
      <c r="FFU112" s="36"/>
      <c r="FFV112" s="38"/>
      <c r="FFW112" s="38"/>
      <c r="FGC112" s="36"/>
      <c r="FGD112" s="38"/>
      <c r="FGE112" s="38"/>
      <c r="FGK112" s="36"/>
      <c r="FGL112" s="38"/>
      <c r="FGM112" s="38"/>
      <c r="FGS112" s="36"/>
      <c r="FGT112" s="38"/>
      <c r="FGU112" s="38"/>
      <c r="FHA112" s="36"/>
      <c r="FHB112" s="38"/>
      <c r="FHC112" s="38"/>
      <c r="FHI112" s="36"/>
      <c r="FHJ112" s="38"/>
      <c r="FHK112" s="38"/>
      <c r="FHQ112" s="36"/>
      <c r="FHR112" s="38"/>
      <c r="FHS112" s="38"/>
      <c r="FHY112" s="36"/>
      <c r="FHZ112" s="38"/>
      <c r="FIA112" s="38"/>
      <c r="FIG112" s="36"/>
      <c r="FIH112" s="38"/>
      <c r="FII112" s="38"/>
      <c r="FIO112" s="36"/>
      <c r="FIP112" s="38"/>
      <c r="FIQ112" s="38"/>
      <c r="FIW112" s="36"/>
      <c r="FIX112" s="38"/>
      <c r="FIY112" s="38"/>
      <c r="FJE112" s="36"/>
      <c r="FJF112" s="38"/>
      <c r="FJG112" s="38"/>
      <c r="FJM112" s="36"/>
      <c r="FJN112" s="38"/>
      <c r="FJO112" s="38"/>
      <c r="FJU112" s="36"/>
      <c r="FJV112" s="38"/>
      <c r="FJW112" s="38"/>
      <c r="FKC112" s="36"/>
      <c r="FKD112" s="38"/>
      <c r="FKE112" s="38"/>
      <c r="FKK112" s="36"/>
      <c r="FKL112" s="38"/>
      <c r="FKM112" s="38"/>
      <c r="FKS112" s="36"/>
      <c r="FKT112" s="38"/>
      <c r="FKU112" s="38"/>
      <c r="FLA112" s="36"/>
      <c r="FLB112" s="38"/>
      <c r="FLC112" s="38"/>
      <c r="FLI112" s="36"/>
      <c r="FLJ112" s="38"/>
      <c r="FLK112" s="38"/>
      <c r="FLQ112" s="36"/>
      <c r="FLR112" s="38"/>
      <c r="FLS112" s="38"/>
      <c r="FLY112" s="36"/>
      <c r="FLZ112" s="38"/>
      <c r="FMA112" s="38"/>
      <c r="FMG112" s="36"/>
      <c r="FMH112" s="38"/>
      <c r="FMI112" s="38"/>
      <c r="FMO112" s="36"/>
      <c r="FMP112" s="38"/>
      <c r="FMQ112" s="38"/>
      <c r="FMW112" s="36"/>
      <c r="FMX112" s="38"/>
      <c r="FMY112" s="38"/>
      <c r="FNE112" s="36"/>
      <c r="FNF112" s="38"/>
      <c r="FNG112" s="38"/>
      <c r="FNM112" s="36"/>
      <c r="FNN112" s="38"/>
      <c r="FNO112" s="38"/>
      <c r="FNU112" s="36"/>
      <c r="FNV112" s="38"/>
      <c r="FNW112" s="38"/>
      <c r="FOC112" s="36"/>
      <c r="FOD112" s="38"/>
      <c r="FOE112" s="38"/>
      <c r="FOK112" s="36"/>
      <c r="FOL112" s="38"/>
      <c r="FOM112" s="38"/>
      <c r="FOS112" s="36"/>
      <c r="FOT112" s="38"/>
      <c r="FOU112" s="38"/>
      <c r="FPA112" s="36"/>
      <c r="FPB112" s="38"/>
      <c r="FPC112" s="38"/>
      <c r="FPI112" s="36"/>
      <c r="FPJ112" s="38"/>
      <c r="FPK112" s="38"/>
      <c r="FPQ112" s="36"/>
      <c r="FPR112" s="38"/>
      <c r="FPS112" s="38"/>
      <c r="FPY112" s="36"/>
      <c r="FPZ112" s="38"/>
      <c r="FQA112" s="38"/>
      <c r="FQG112" s="36"/>
      <c r="FQH112" s="38"/>
      <c r="FQI112" s="38"/>
      <c r="FQO112" s="36"/>
      <c r="FQP112" s="38"/>
      <c r="FQQ112" s="38"/>
      <c r="FQW112" s="36"/>
      <c r="FQX112" s="38"/>
      <c r="FQY112" s="38"/>
      <c r="FRE112" s="36"/>
      <c r="FRF112" s="38"/>
      <c r="FRG112" s="38"/>
      <c r="FRM112" s="36"/>
      <c r="FRN112" s="38"/>
      <c r="FRO112" s="38"/>
      <c r="FRU112" s="36"/>
      <c r="FRV112" s="38"/>
      <c r="FRW112" s="38"/>
      <c r="FSC112" s="36"/>
      <c r="FSD112" s="38"/>
      <c r="FSE112" s="38"/>
      <c r="FSK112" s="36"/>
      <c r="FSL112" s="38"/>
      <c r="FSM112" s="38"/>
      <c r="FSS112" s="36"/>
      <c r="FST112" s="38"/>
      <c r="FSU112" s="38"/>
      <c r="FTA112" s="36"/>
      <c r="FTB112" s="38"/>
      <c r="FTC112" s="38"/>
      <c r="FTI112" s="36"/>
      <c r="FTJ112" s="38"/>
      <c r="FTK112" s="38"/>
      <c r="FTQ112" s="36"/>
      <c r="FTR112" s="38"/>
      <c r="FTS112" s="38"/>
      <c r="FTY112" s="36"/>
      <c r="FTZ112" s="38"/>
      <c r="FUA112" s="38"/>
      <c r="FUG112" s="36"/>
      <c r="FUH112" s="38"/>
      <c r="FUI112" s="38"/>
      <c r="FUO112" s="36"/>
      <c r="FUP112" s="38"/>
      <c r="FUQ112" s="38"/>
      <c r="FUW112" s="36"/>
      <c r="FUX112" s="38"/>
      <c r="FUY112" s="38"/>
      <c r="FVE112" s="36"/>
      <c r="FVF112" s="38"/>
      <c r="FVG112" s="38"/>
      <c r="FVM112" s="36"/>
      <c r="FVN112" s="38"/>
      <c r="FVO112" s="38"/>
      <c r="FVU112" s="36"/>
      <c r="FVV112" s="38"/>
      <c r="FVW112" s="38"/>
      <c r="FWC112" s="36"/>
      <c r="FWD112" s="38"/>
      <c r="FWE112" s="38"/>
      <c r="FWK112" s="36"/>
      <c r="FWL112" s="38"/>
      <c r="FWM112" s="38"/>
      <c r="FWS112" s="36"/>
      <c r="FWT112" s="38"/>
      <c r="FWU112" s="38"/>
      <c r="FXA112" s="36"/>
      <c r="FXB112" s="38"/>
      <c r="FXC112" s="38"/>
      <c r="FXI112" s="36"/>
      <c r="FXJ112" s="38"/>
      <c r="FXK112" s="38"/>
      <c r="FXQ112" s="36"/>
      <c r="FXR112" s="38"/>
      <c r="FXS112" s="38"/>
      <c r="FXY112" s="36"/>
      <c r="FXZ112" s="38"/>
      <c r="FYA112" s="38"/>
      <c r="FYG112" s="36"/>
      <c r="FYH112" s="38"/>
      <c r="FYI112" s="38"/>
      <c r="FYO112" s="36"/>
      <c r="FYP112" s="38"/>
      <c r="FYQ112" s="38"/>
      <c r="FYW112" s="36"/>
      <c r="FYX112" s="38"/>
      <c r="FYY112" s="38"/>
      <c r="FZE112" s="36"/>
      <c r="FZF112" s="38"/>
      <c r="FZG112" s="38"/>
      <c r="FZM112" s="36"/>
      <c r="FZN112" s="38"/>
      <c r="FZO112" s="38"/>
      <c r="FZU112" s="36"/>
      <c r="FZV112" s="38"/>
      <c r="FZW112" s="38"/>
      <c r="GAC112" s="36"/>
      <c r="GAD112" s="38"/>
      <c r="GAE112" s="38"/>
      <c r="GAK112" s="36"/>
      <c r="GAL112" s="38"/>
      <c r="GAM112" s="38"/>
      <c r="GAS112" s="36"/>
      <c r="GAT112" s="38"/>
      <c r="GAU112" s="38"/>
      <c r="GBA112" s="36"/>
      <c r="GBB112" s="38"/>
      <c r="GBC112" s="38"/>
      <c r="GBI112" s="36"/>
      <c r="GBJ112" s="38"/>
      <c r="GBK112" s="38"/>
      <c r="GBQ112" s="36"/>
      <c r="GBR112" s="38"/>
      <c r="GBS112" s="38"/>
      <c r="GBY112" s="36"/>
      <c r="GBZ112" s="38"/>
      <c r="GCA112" s="38"/>
      <c r="GCG112" s="36"/>
      <c r="GCH112" s="38"/>
      <c r="GCI112" s="38"/>
      <c r="GCO112" s="36"/>
      <c r="GCP112" s="38"/>
      <c r="GCQ112" s="38"/>
      <c r="GCW112" s="36"/>
      <c r="GCX112" s="38"/>
      <c r="GCY112" s="38"/>
      <c r="GDE112" s="36"/>
      <c r="GDF112" s="38"/>
      <c r="GDG112" s="38"/>
      <c r="GDM112" s="36"/>
      <c r="GDN112" s="38"/>
      <c r="GDO112" s="38"/>
      <c r="GDU112" s="36"/>
      <c r="GDV112" s="38"/>
      <c r="GDW112" s="38"/>
      <c r="GEC112" s="36"/>
      <c r="GED112" s="38"/>
      <c r="GEE112" s="38"/>
      <c r="GEK112" s="36"/>
      <c r="GEL112" s="38"/>
      <c r="GEM112" s="38"/>
      <c r="GES112" s="36"/>
      <c r="GET112" s="38"/>
      <c r="GEU112" s="38"/>
      <c r="GFA112" s="36"/>
      <c r="GFB112" s="38"/>
      <c r="GFC112" s="38"/>
      <c r="GFI112" s="36"/>
      <c r="GFJ112" s="38"/>
      <c r="GFK112" s="38"/>
      <c r="GFQ112" s="36"/>
      <c r="GFR112" s="38"/>
      <c r="GFS112" s="38"/>
      <c r="GFY112" s="36"/>
      <c r="GFZ112" s="38"/>
      <c r="GGA112" s="38"/>
      <c r="GGG112" s="36"/>
      <c r="GGH112" s="38"/>
      <c r="GGI112" s="38"/>
      <c r="GGO112" s="36"/>
      <c r="GGP112" s="38"/>
      <c r="GGQ112" s="38"/>
      <c r="GGW112" s="36"/>
      <c r="GGX112" s="38"/>
      <c r="GGY112" s="38"/>
      <c r="GHE112" s="36"/>
      <c r="GHF112" s="38"/>
      <c r="GHG112" s="38"/>
      <c r="GHM112" s="36"/>
      <c r="GHN112" s="38"/>
      <c r="GHO112" s="38"/>
      <c r="GHU112" s="36"/>
      <c r="GHV112" s="38"/>
      <c r="GHW112" s="38"/>
      <c r="GIC112" s="36"/>
      <c r="GID112" s="38"/>
      <c r="GIE112" s="38"/>
      <c r="GIK112" s="36"/>
      <c r="GIL112" s="38"/>
      <c r="GIM112" s="38"/>
      <c r="GIS112" s="36"/>
      <c r="GIT112" s="38"/>
      <c r="GIU112" s="38"/>
      <c r="GJA112" s="36"/>
      <c r="GJB112" s="38"/>
      <c r="GJC112" s="38"/>
      <c r="GJI112" s="36"/>
      <c r="GJJ112" s="38"/>
      <c r="GJK112" s="38"/>
      <c r="GJQ112" s="36"/>
      <c r="GJR112" s="38"/>
      <c r="GJS112" s="38"/>
      <c r="GJY112" s="36"/>
      <c r="GJZ112" s="38"/>
      <c r="GKA112" s="38"/>
      <c r="GKG112" s="36"/>
      <c r="GKH112" s="38"/>
      <c r="GKI112" s="38"/>
      <c r="GKO112" s="36"/>
      <c r="GKP112" s="38"/>
      <c r="GKQ112" s="38"/>
      <c r="GKW112" s="36"/>
      <c r="GKX112" s="38"/>
      <c r="GKY112" s="38"/>
      <c r="GLE112" s="36"/>
      <c r="GLF112" s="38"/>
      <c r="GLG112" s="38"/>
      <c r="GLM112" s="36"/>
      <c r="GLN112" s="38"/>
      <c r="GLO112" s="38"/>
      <c r="GLU112" s="36"/>
      <c r="GLV112" s="38"/>
      <c r="GLW112" s="38"/>
      <c r="GMC112" s="36"/>
      <c r="GMD112" s="38"/>
      <c r="GME112" s="38"/>
      <c r="GMK112" s="36"/>
      <c r="GML112" s="38"/>
      <c r="GMM112" s="38"/>
      <c r="GMS112" s="36"/>
      <c r="GMT112" s="38"/>
      <c r="GMU112" s="38"/>
      <c r="GNA112" s="36"/>
      <c r="GNB112" s="38"/>
      <c r="GNC112" s="38"/>
      <c r="GNI112" s="36"/>
      <c r="GNJ112" s="38"/>
      <c r="GNK112" s="38"/>
      <c r="GNQ112" s="36"/>
      <c r="GNR112" s="38"/>
      <c r="GNS112" s="38"/>
      <c r="GNY112" s="36"/>
      <c r="GNZ112" s="38"/>
      <c r="GOA112" s="38"/>
      <c r="GOG112" s="36"/>
      <c r="GOH112" s="38"/>
      <c r="GOI112" s="38"/>
      <c r="GOO112" s="36"/>
      <c r="GOP112" s="38"/>
      <c r="GOQ112" s="38"/>
      <c r="GOW112" s="36"/>
      <c r="GOX112" s="38"/>
      <c r="GOY112" s="38"/>
      <c r="GPE112" s="36"/>
      <c r="GPF112" s="38"/>
      <c r="GPG112" s="38"/>
      <c r="GPM112" s="36"/>
      <c r="GPN112" s="38"/>
      <c r="GPO112" s="38"/>
      <c r="GPU112" s="36"/>
      <c r="GPV112" s="38"/>
      <c r="GPW112" s="38"/>
      <c r="GQC112" s="36"/>
      <c r="GQD112" s="38"/>
      <c r="GQE112" s="38"/>
      <c r="GQK112" s="36"/>
      <c r="GQL112" s="38"/>
      <c r="GQM112" s="38"/>
      <c r="GQS112" s="36"/>
      <c r="GQT112" s="38"/>
      <c r="GQU112" s="38"/>
      <c r="GRA112" s="36"/>
      <c r="GRB112" s="38"/>
      <c r="GRC112" s="38"/>
      <c r="GRI112" s="36"/>
      <c r="GRJ112" s="38"/>
      <c r="GRK112" s="38"/>
      <c r="GRQ112" s="36"/>
      <c r="GRR112" s="38"/>
      <c r="GRS112" s="38"/>
      <c r="GRY112" s="36"/>
      <c r="GRZ112" s="38"/>
      <c r="GSA112" s="38"/>
      <c r="GSG112" s="36"/>
      <c r="GSH112" s="38"/>
      <c r="GSI112" s="38"/>
      <c r="GSO112" s="36"/>
      <c r="GSP112" s="38"/>
      <c r="GSQ112" s="38"/>
      <c r="GSW112" s="36"/>
      <c r="GSX112" s="38"/>
      <c r="GSY112" s="38"/>
      <c r="GTE112" s="36"/>
      <c r="GTF112" s="38"/>
      <c r="GTG112" s="38"/>
      <c r="GTM112" s="36"/>
      <c r="GTN112" s="38"/>
      <c r="GTO112" s="38"/>
      <c r="GTU112" s="36"/>
      <c r="GTV112" s="38"/>
      <c r="GTW112" s="38"/>
      <c r="GUC112" s="36"/>
      <c r="GUD112" s="38"/>
      <c r="GUE112" s="38"/>
      <c r="GUK112" s="36"/>
      <c r="GUL112" s="38"/>
      <c r="GUM112" s="38"/>
      <c r="GUS112" s="36"/>
      <c r="GUT112" s="38"/>
      <c r="GUU112" s="38"/>
      <c r="GVA112" s="36"/>
      <c r="GVB112" s="38"/>
      <c r="GVC112" s="38"/>
      <c r="GVI112" s="36"/>
      <c r="GVJ112" s="38"/>
      <c r="GVK112" s="38"/>
      <c r="GVQ112" s="36"/>
      <c r="GVR112" s="38"/>
      <c r="GVS112" s="38"/>
      <c r="GVY112" s="36"/>
      <c r="GVZ112" s="38"/>
      <c r="GWA112" s="38"/>
      <c r="GWG112" s="36"/>
      <c r="GWH112" s="38"/>
      <c r="GWI112" s="38"/>
      <c r="GWO112" s="36"/>
      <c r="GWP112" s="38"/>
      <c r="GWQ112" s="38"/>
      <c r="GWW112" s="36"/>
      <c r="GWX112" s="38"/>
      <c r="GWY112" s="38"/>
      <c r="GXE112" s="36"/>
      <c r="GXF112" s="38"/>
      <c r="GXG112" s="38"/>
      <c r="GXM112" s="36"/>
      <c r="GXN112" s="38"/>
      <c r="GXO112" s="38"/>
      <c r="GXU112" s="36"/>
      <c r="GXV112" s="38"/>
      <c r="GXW112" s="38"/>
      <c r="GYC112" s="36"/>
      <c r="GYD112" s="38"/>
      <c r="GYE112" s="38"/>
      <c r="GYK112" s="36"/>
      <c r="GYL112" s="38"/>
      <c r="GYM112" s="38"/>
      <c r="GYS112" s="36"/>
      <c r="GYT112" s="38"/>
      <c r="GYU112" s="38"/>
      <c r="GZA112" s="36"/>
      <c r="GZB112" s="38"/>
      <c r="GZC112" s="38"/>
      <c r="GZI112" s="36"/>
      <c r="GZJ112" s="38"/>
      <c r="GZK112" s="38"/>
      <c r="GZQ112" s="36"/>
      <c r="GZR112" s="38"/>
      <c r="GZS112" s="38"/>
      <c r="GZY112" s="36"/>
      <c r="GZZ112" s="38"/>
      <c r="HAA112" s="38"/>
      <c r="HAG112" s="36"/>
      <c r="HAH112" s="38"/>
      <c r="HAI112" s="38"/>
      <c r="HAO112" s="36"/>
      <c r="HAP112" s="38"/>
      <c r="HAQ112" s="38"/>
      <c r="HAW112" s="36"/>
      <c r="HAX112" s="38"/>
      <c r="HAY112" s="38"/>
      <c r="HBE112" s="36"/>
      <c r="HBF112" s="38"/>
      <c r="HBG112" s="38"/>
      <c r="HBM112" s="36"/>
      <c r="HBN112" s="38"/>
      <c r="HBO112" s="38"/>
      <c r="HBU112" s="36"/>
      <c r="HBV112" s="38"/>
      <c r="HBW112" s="38"/>
      <c r="HCC112" s="36"/>
      <c r="HCD112" s="38"/>
      <c r="HCE112" s="38"/>
      <c r="HCK112" s="36"/>
      <c r="HCL112" s="38"/>
      <c r="HCM112" s="38"/>
      <c r="HCS112" s="36"/>
      <c r="HCT112" s="38"/>
      <c r="HCU112" s="38"/>
      <c r="HDA112" s="36"/>
      <c r="HDB112" s="38"/>
      <c r="HDC112" s="38"/>
      <c r="HDI112" s="36"/>
      <c r="HDJ112" s="38"/>
      <c r="HDK112" s="38"/>
      <c r="HDQ112" s="36"/>
      <c r="HDR112" s="38"/>
      <c r="HDS112" s="38"/>
      <c r="HDY112" s="36"/>
      <c r="HDZ112" s="38"/>
      <c r="HEA112" s="38"/>
      <c r="HEG112" s="36"/>
      <c r="HEH112" s="38"/>
      <c r="HEI112" s="38"/>
      <c r="HEO112" s="36"/>
      <c r="HEP112" s="38"/>
      <c r="HEQ112" s="38"/>
      <c r="HEW112" s="36"/>
      <c r="HEX112" s="38"/>
      <c r="HEY112" s="38"/>
      <c r="HFE112" s="36"/>
      <c r="HFF112" s="38"/>
      <c r="HFG112" s="38"/>
      <c r="HFM112" s="36"/>
      <c r="HFN112" s="38"/>
      <c r="HFO112" s="38"/>
      <c r="HFU112" s="36"/>
      <c r="HFV112" s="38"/>
      <c r="HFW112" s="38"/>
      <c r="HGC112" s="36"/>
      <c r="HGD112" s="38"/>
      <c r="HGE112" s="38"/>
      <c r="HGK112" s="36"/>
      <c r="HGL112" s="38"/>
      <c r="HGM112" s="38"/>
      <c r="HGS112" s="36"/>
      <c r="HGT112" s="38"/>
      <c r="HGU112" s="38"/>
      <c r="HHA112" s="36"/>
      <c r="HHB112" s="38"/>
      <c r="HHC112" s="38"/>
      <c r="HHI112" s="36"/>
      <c r="HHJ112" s="38"/>
      <c r="HHK112" s="38"/>
      <c r="HHQ112" s="36"/>
      <c r="HHR112" s="38"/>
      <c r="HHS112" s="38"/>
      <c r="HHY112" s="36"/>
      <c r="HHZ112" s="38"/>
      <c r="HIA112" s="38"/>
      <c r="HIG112" s="36"/>
      <c r="HIH112" s="38"/>
      <c r="HII112" s="38"/>
      <c r="HIO112" s="36"/>
      <c r="HIP112" s="38"/>
      <c r="HIQ112" s="38"/>
      <c r="HIW112" s="36"/>
      <c r="HIX112" s="38"/>
      <c r="HIY112" s="38"/>
      <c r="HJE112" s="36"/>
      <c r="HJF112" s="38"/>
      <c r="HJG112" s="38"/>
      <c r="HJM112" s="36"/>
      <c r="HJN112" s="38"/>
      <c r="HJO112" s="38"/>
      <c r="HJU112" s="36"/>
      <c r="HJV112" s="38"/>
      <c r="HJW112" s="38"/>
      <c r="HKC112" s="36"/>
      <c r="HKD112" s="38"/>
      <c r="HKE112" s="38"/>
      <c r="HKK112" s="36"/>
      <c r="HKL112" s="38"/>
      <c r="HKM112" s="38"/>
      <c r="HKS112" s="36"/>
      <c r="HKT112" s="38"/>
      <c r="HKU112" s="38"/>
      <c r="HLA112" s="36"/>
      <c r="HLB112" s="38"/>
      <c r="HLC112" s="38"/>
      <c r="HLI112" s="36"/>
      <c r="HLJ112" s="38"/>
      <c r="HLK112" s="38"/>
      <c r="HLQ112" s="36"/>
      <c r="HLR112" s="38"/>
      <c r="HLS112" s="38"/>
      <c r="HLY112" s="36"/>
      <c r="HLZ112" s="38"/>
      <c r="HMA112" s="38"/>
      <c r="HMG112" s="36"/>
      <c r="HMH112" s="38"/>
      <c r="HMI112" s="38"/>
      <c r="HMO112" s="36"/>
      <c r="HMP112" s="38"/>
      <c r="HMQ112" s="38"/>
      <c r="HMW112" s="36"/>
      <c r="HMX112" s="38"/>
      <c r="HMY112" s="38"/>
      <c r="HNE112" s="36"/>
      <c r="HNF112" s="38"/>
      <c r="HNG112" s="38"/>
      <c r="HNM112" s="36"/>
      <c r="HNN112" s="38"/>
      <c r="HNO112" s="38"/>
      <c r="HNU112" s="36"/>
      <c r="HNV112" s="38"/>
      <c r="HNW112" s="38"/>
      <c r="HOC112" s="36"/>
      <c r="HOD112" s="38"/>
      <c r="HOE112" s="38"/>
      <c r="HOK112" s="36"/>
      <c r="HOL112" s="38"/>
      <c r="HOM112" s="38"/>
      <c r="HOS112" s="36"/>
      <c r="HOT112" s="38"/>
      <c r="HOU112" s="38"/>
      <c r="HPA112" s="36"/>
      <c r="HPB112" s="38"/>
      <c r="HPC112" s="38"/>
      <c r="HPI112" s="36"/>
      <c r="HPJ112" s="38"/>
      <c r="HPK112" s="38"/>
      <c r="HPQ112" s="36"/>
      <c r="HPR112" s="38"/>
      <c r="HPS112" s="38"/>
      <c r="HPY112" s="36"/>
      <c r="HPZ112" s="38"/>
      <c r="HQA112" s="38"/>
      <c r="HQG112" s="36"/>
      <c r="HQH112" s="38"/>
      <c r="HQI112" s="38"/>
      <c r="HQO112" s="36"/>
      <c r="HQP112" s="38"/>
      <c r="HQQ112" s="38"/>
      <c r="HQW112" s="36"/>
      <c r="HQX112" s="38"/>
      <c r="HQY112" s="38"/>
      <c r="HRE112" s="36"/>
      <c r="HRF112" s="38"/>
      <c r="HRG112" s="38"/>
      <c r="HRM112" s="36"/>
      <c r="HRN112" s="38"/>
      <c r="HRO112" s="38"/>
      <c r="HRU112" s="36"/>
      <c r="HRV112" s="38"/>
      <c r="HRW112" s="38"/>
      <c r="HSC112" s="36"/>
      <c r="HSD112" s="38"/>
      <c r="HSE112" s="38"/>
      <c r="HSK112" s="36"/>
      <c r="HSL112" s="38"/>
      <c r="HSM112" s="38"/>
      <c r="HSS112" s="36"/>
      <c r="HST112" s="38"/>
      <c r="HSU112" s="38"/>
      <c r="HTA112" s="36"/>
      <c r="HTB112" s="38"/>
      <c r="HTC112" s="38"/>
      <c r="HTI112" s="36"/>
      <c r="HTJ112" s="38"/>
      <c r="HTK112" s="38"/>
      <c r="HTQ112" s="36"/>
      <c r="HTR112" s="38"/>
      <c r="HTS112" s="38"/>
      <c r="HTY112" s="36"/>
      <c r="HTZ112" s="38"/>
      <c r="HUA112" s="38"/>
      <c r="HUG112" s="36"/>
      <c r="HUH112" s="38"/>
      <c r="HUI112" s="38"/>
      <c r="HUO112" s="36"/>
      <c r="HUP112" s="38"/>
      <c r="HUQ112" s="38"/>
      <c r="HUW112" s="36"/>
      <c r="HUX112" s="38"/>
      <c r="HUY112" s="38"/>
      <c r="HVE112" s="36"/>
      <c r="HVF112" s="38"/>
      <c r="HVG112" s="38"/>
      <c r="HVM112" s="36"/>
      <c r="HVN112" s="38"/>
      <c r="HVO112" s="38"/>
      <c r="HVU112" s="36"/>
      <c r="HVV112" s="38"/>
      <c r="HVW112" s="38"/>
      <c r="HWC112" s="36"/>
      <c r="HWD112" s="38"/>
      <c r="HWE112" s="38"/>
      <c r="HWK112" s="36"/>
      <c r="HWL112" s="38"/>
      <c r="HWM112" s="38"/>
      <c r="HWS112" s="36"/>
      <c r="HWT112" s="38"/>
      <c r="HWU112" s="38"/>
      <c r="HXA112" s="36"/>
      <c r="HXB112" s="38"/>
      <c r="HXC112" s="38"/>
      <c r="HXI112" s="36"/>
      <c r="HXJ112" s="38"/>
      <c r="HXK112" s="38"/>
      <c r="HXQ112" s="36"/>
      <c r="HXR112" s="38"/>
      <c r="HXS112" s="38"/>
      <c r="HXY112" s="36"/>
      <c r="HXZ112" s="38"/>
      <c r="HYA112" s="38"/>
      <c r="HYG112" s="36"/>
      <c r="HYH112" s="38"/>
      <c r="HYI112" s="38"/>
      <c r="HYO112" s="36"/>
      <c r="HYP112" s="38"/>
      <c r="HYQ112" s="38"/>
      <c r="HYW112" s="36"/>
      <c r="HYX112" s="38"/>
      <c r="HYY112" s="38"/>
      <c r="HZE112" s="36"/>
      <c r="HZF112" s="38"/>
      <c r="HZG112" s="38"/>
      <c r="HZM112" s="36"/>
      <c r="HZN112" s="38"/>
      <c r="HZO112" s="38"/>
      <c r="HZU112" s="36"/>
      <c r="HZV112" s="38"/>
      <c r="HZW112" s="38"/>
      <c r="IAC112" s="36"/>
      <c r="IAD112" s="38"/>
      <c r="IAE112" s="38"/>
      <c r="IAK112" s="36"/>
      <c r="IAL112" s="38"/>
      <c r="IAM112" s="38"/>
      <c r="IAS112" s="36"/>
      <c r="IAT112" s="38"/>
      <c r="IAU112" s="38"/>
      <c r="IBA112" s="36"/>
      <c r="IBB112" s="38"/>
      <c r="IBC112" s="38"/>
      <c r="IBI112" s="36"/>
      <c r="IBJ112" s="38"/>
      <c r="IBK112" s="38"/>
      <c r="IBQ112" s="36"/>
      <c r="IBR112" s="38"/>
      <c r="IBS112" s="38"/>
      <c r="IBY112" s="36"/>
      <c r="IBZ112" s="38"/>
      <c r="ICA112" s="38"/>
      <c r="ICG112" s="36"/>
      <c r="ICH112" s="38"/>
      <c r="ICI112" s="38"/>
      <c r="ICO112" s="36"/>
      <c r="ICP112" s="38"/>
      <c r="ICQ112" s="38"/>
      <c r="ICW112" s="36"/>
      <c r="ICX112" s="38"/>
      <c r="ICY112" s="38"/>
      <c r="IDE112" s="36"/>
      <c r="IDF112" s="38"/>
      <c r="IDG112" s="38"/>
      <c r="IDM112" s="36"/>
      <c r="IDN112" s="38"/>
      <c r="IDO112" s="38"/>
      <c r="IDU112" s="36"/>
      <c r="IDV112" s="38"/>
      <c r="IDW112" s="38"/>
      <c r="IEC112" s="36"/>
      <c r="IED112" s="38"/>
      <c r="IEE112" s="38"/>
      <c r="IEK112" s="36"/>
      <c r="IEL112" s="38"/>
      <c r="IEM112" s="38"/>
      <c r="IES112" s="36"/>
      <c r="IET112" s="38"/>
      <c r="IEU112" s="38"/>
      <c r="IFA112" s="36"/>
      <c r="IFB112" s="38"/>
      <c r="IFC112" s="38"/>
      <c r="IFI112" s="36"/>
      <c r="IFJ112" s="38"/>
      <c r="IFK112" s="38"/>
      <c r="IFQ112" s="36"/>
      <c r="IFR112" s="38"/>
      <c r="IFS112" s="38"/>
      <c r="IFY112" s="36"/>
      <c r="IFZ112" s="38"/>
      <c r="IGA112" s="38"/>
      <c r="IGG112" s="36"/>
      <c r="IGH112" s="38"/>
      <c r="IGI112" s="38"/>
      <c r="IGO112" s="36"/>
      <c r="IGP112" s="38"/>
      <c r="IGQ112" s="38"/>
      <c r="IGW112" s="36"/>
      <c r="IGX112" s="38"/>
      <c r="IGY112" s="38"/>
      <c r="IHE112" s="36"/>
      <c r="IHF112" s="38"/>
      <c r="IHG112" s="38"/>
      <c r="IHM112" s="36"/>
      <c r="IHN112" s="38"/>
      <c r="IHO112" s="38"/>
      <c r="IHU112" s="36"/>
      <c r="IHV112" s="38"/>
      <c r="IHW112" s="38"/>
      <c r="IIC112" s="36"/>
      <c r="IID112" s="38"/>
      <c r="IIE112" s="38"/>
      <c r="IIK112" s="36"/>
      <c r="IIL112" s="38"/>
      <c r="IIM112" s="38"/>
      <c r="IIS112" s="36"/>
      <c r="IIT112" s="38"/>
      <c r="IIU112" s="38"/>
      <c r="IJA112" s="36"/>
      <c r="IJB112" s="38"/>
      <c r="IJC112" s="38"/>
      <c r="IJI112" s="36"/>
      <c r="IJJ112" s="38"/>
      <c r="IJK112" s="38"/>
      <c r="IJQ112" s="36"/>
      <c r="IJR112" s="38"/>
      <c r="IJS112" s="38"/>
      <c r="IJY112" s="36"/>
      <c r="IJZ112" s="38"/>
      <c r="IKA112" s="38"/>
      <c r="IKG112" s="36"/>
      <c r="IKH112" s="38"/>
      <c r="IKI112" s="38"/>
      <c r="IKO112" s="36"/>
      <c r="IKP112" s="38"/>
      <c r="IKQ112" s="38"/>
      <c r="IKW112" s="36"/>
      <c r="IKX112" s="38"/>
      <c r="IKY112" s="38"/>
      <c r="ILE112" s="36"/>
      <c r="ILF112" s="38"/>
      <c r="ILG112" s="38"/>
      <c r="ILM112" s="36"/>
      <c r="ILN112" s="38"/>
      <c r="ILO112" s="38"/>
      <c r="ILU112" s="36"/>
      <c r="ILV112" s="38"/>
      <c r="ILW112" s="38"/>
      <c r="IMC112" s="36"/>
      <c r="IMD112" s="38"/>
      <c r="IME112" s="38"/>
      <c r="IMK112" s="36"/>
      <c r="IML112" s="38"/>
      <c r="IMM112" s="38"/>
      <c r="IMS112" s="36"/>
      <c r="IMT112" s="38"/>
      <c r="IMU112" s="38"/>
      <c r="INA112" s="36"/>
      <c r="INB112" s="38"/>
      <c r="INC112" s="38"/>
      <c r="INI112" s="36"/>
      <c r="INJ112" s="38"/>
      <c r="INK112" s="38"/>
      <c r="INQ112" s="36"/>
      <c r="INR112" s="38"/>
      <c r="INS112" s="38"/>
      <c r="INY112" s="36"/>
      <c r="INZ112" s="38"/>
      <c r="IOA112" s="38"/>
      <c r="IOG112" s="36"/>
      <c r="IOH112" s="38"/>
      <c r="IOI112" s="38"/>
      <c r="IOO112" s="36"/>
      <c r="IOP112" s="38"/>
      <c r="IOQ112" s="38"/>
      <c r="IOW112" s="36"/>
      <c r="IOX112" s="38"/>
      <c r="IOY112" s="38"/>
      <c r="IPE112" s="36"/>
      <c r="IPF112" s="38"/>
      <c r="IPG112" s="38"/>
      <c r="IPM112" s="36"/>
      <c r="IPN112" s="38"/>
      <c r="IPO112" s="38"/>
      <c r="IPU112" s="36"/>
      <c r="IPV112" s="38"/>
      <c r="IPW112" s="38"/>
      <c r="IQC112" s="36"/>
      <c r="IQD112" s="38"/>
      <c r="IQE112" s="38"/>
      <c r="IQK112" s="36"/>
      <c r="IQL112" s="38"/>
      <c r="IQM112" s="38"/>
      <c r="IQS112" s="36"/>
      <c r="IQT112" s="38"/>
      <c r="IQU112" s="38"/>
      <c r="IRA112" s="36"/>
      <c r="IRB112" s="38"/>
      <c r="IRC112" s="38"/>
      <c r="IRI112" s="36"/>
      <c r="IRJ112" s="38"/>
      <c r="IRK112" s="38"/>
      <c r="IRQ112" s="36"/>
      <c r="IRR112" s="38"/>
      <c r="IRS112" s="38"/>
      <c r="IRY112" s="36"/>
      <c r="IRZ112" s="38"/>
      <c r="ISA112" s="38"/>
      <c r="ISG112" s="36"/>
      <c r="ISH112" s="38"/>
      <c r="ISI112" s="38"/>
      <c r="ISO112" s="36"/>
      <c r="ISP112" s="38"/>
      <c r="ISQ112" s="38"/>
      <c r="ISW112" s="36"/>
      <c r="ISX112" s="38"/>
      <c r="ISY112" s="38"/>
      <c r="ITE112" s="36"/>
      <c r="ITF112" s="38"/>
      <c r="ITG112" s="38"/>
      <c r="ITM112" s="36"/>
      <c r="ITN112" s="38"/>
      <c r="ITO112" s="38"/>
      <c r="ITU112" s="36"/>
      <c r="ITV112" s="38"/>
      <c r="ITW112" s="38"/>
      <c r="IUC112" s="36"/>
      <c r="IUD112" s="38"/>
      <c r="IUE112" s="38"/>
      <c r="IUK112" s="36"/>
      <c r="IUL112" s="38"/>
      <c r="IUM112" s="38"/>
      <c r="IUS112" s="36"/>
      <c r="IUT112" s="38"/>
      <c r="IUU112" s="38"/>
      <c r="IVA112" s="36"/>
      <c r="IVB112" s="38"/>
      <c r="IVC112" s="38"/>
      <c r="IVI112" s="36"/>
      <c r="IVJ112" s="38"/>
      <c r="IVK112" s="38"/>
      <c r="IVQ112" s="36"/>
      <c r="IVR112" s="38"/>
      <c r="IVS112" s="38"/>
      <c r="IVY112" s="36"/>
      <c r="IVZ112" s="38"/>
      <c r="IWA112" s="38"/>
      <c r="IWG112" s="36"/>
      <c r="IWH112" s="38"/>
      <c r="IWI112" s="38"/>
      <c r="IWO112" s="36"/>
      <c r="IWP112" s="38"/>
      <c r="IWQ112" s="38"/>
      <c r="IWW112" s="36"/>
      <c r="IWX112" s="38"/>
      <c r="IWY112" s="38"/>
      <c r="IXE112" s="36"/>
      <c r="IXF112" s="38"/>
      <c r="IXG112" s="38"/>
      <c r="IXM112" s="36"/>
      <c r="IXN112" s="38"/>
      <c r="IXO112" s="38"/>
      <c r="IXU112" s="36"/>
      <c r="IXV112" s="38"/>
      <c r="IXW112" s="38"/>
      <c r="IYC112" s="36"/>
      <c r="IYD112" s="38"/>
      <c r="IYE112" s="38"/>
      <c r="IYK112" s="36"/>
      <c r="IYL112" s="38"/>
      <c r="IYM112" s="38"/>
      <c r="IYS112" s="36"/>
      <c r="IYT112" s="38"/>
      <c r="IYU112" s="38"/>
      <c r="IZA112" s="36"/>
      <c r="IZB112" s="38"/>
      <c r="IZC112" s="38"/>
      <c r="IZI112" s="36"/>
      <c r="IZJ112" s="38"/>
      <c r="IZK112" s="38"/>
      <c r="IZQ112" s="36"/>
      <c r="IZR112" s="38"/>
      <c r="IZS112" s="38"/>
      <c r="IZY112" s="36"/>
      <c r="IZZ112" s="38"/>
      <c r="JAA112" s="38"/>
      <c r="JAG112" s="36"/>
      <c r="JAH112" s="38"/>
      <c r="JAI112" s="38"/>
      <c r="JAO112" s="36"/>
      <c r="JAP112" s="38"/>
      <c r="JAQ112" s="38"/>
      <c r="JAW112" s="36"/>
      <c r="JAX112" s="38"/>
      <c r="JAY112" s="38"/>
      <c r="JBE112" s="36"/>
      <c r="JBF112" s="38"/>
      <c r="JBG112" s="38"/>
      <c r="JBM112" s="36"/>
      <c r="JBN112" s="38"/>
      <c r="JBO112" s="38"/>
      <c r="JBU112" s="36"/>
      <c r="JBV112" s="38"/>
      <c r="JBW112" s="38"/>
      <c r="JCC112" s="36"/>
      <c r="JCD112" s="38"/>
      <c r="JCE112" s="38"/>
      <c r="JCK112" s="36"/>
      <c r="JCL112" s="38"/>
      <c r="JCM112" s="38"/>
      <c r="JCS112" s="36"/>
      <c r="JCT112" s="38"/>
      <c r="JCU112" s="38"/>
      <c r="JDA112" s="36"/>
      <c r="JDB112" s="38"/>
      <c r="JDC112" s="38"/>
      <c r="JDI112" s="36"/>
      <c r="JDJ112" s="38"/>
      <c r="JDK112" s="38"/>
      <c r="JDQ112" s="36"/>
      <c r="JDR112" s="38"/>
      <c r="JDS112" s="38"/>
      <c r="JDY112" s="36"/>
      <c r="JDZ112" s="38"/>
      <c r="JEA112" s="38"/>
      <c r="JEG112" s="36"/>
      <c r="JEH112" s="38"/>
      <c r="JEI112" s="38"/>
      <c r="JEO112" s="36"/>
      <c r="JEP112" s="38"/>
      <c r="JEQ112" s="38"/>
      <c r="JEW112" s="36"/>
      <c r="JEX112" s="38"/>
      <c r="JEY112" s="38"/>
      <c r="JFE112" s="36"/>
      <c r="JFF112" s="38"/>
      <c r="JFG112" s="38"/>
      <c r="JFM112" s="36"/>
      <c r="JFN112" s="38"/>
      <c r="JFO112" s="38"/>
      <c r="JFU112" s="36"/>
      <c r="JFV112" s="38"/>
      <c r="JFW112" s="38"/>
      <c r="JGC112" s="36"/>
      <c r="JGD112" s="38"/>
      <c r="JGE112" s="38"/>
      <c r="JGK112" s="36"/>
      <c r="JGL112" s="38"/>
      <c r="JGM112" s="38"/>
      <c r="JGS112" s="36"/>
      <c r="JGT112" s="38"/>
      <c r="JGU112" s="38"/>
      <c r="JHA112" s="36"/>
      <c r="JHB112" s="38"/>
      <c r="JHC112" s="38"/>
      <c r="JHI112" s="36"/>
      <c r="JHJ112" s="38"/>
      <c r="JHK112" s="38"/>
      <c r="JHQ112" s="36"/>
      <c r="JHR112" s="38"/>
      <c r="JHS112" s="38"/>
      <c r="JHY112" s="36"/>
      <c r="JHZ112" s="38"/>
      <c r="JIA112" s="38"/>
      <c r="JIG112" s="36"/>
      <c r="JIH112" s="38"/>
      <c r="JII112" s="38"/>
      <c r="JIO112" s="36"/>
      <c r="JIP112" s="38"/>
      <c r="JIQ112" s="38"/>
      <c r="JIW112" s="36"/>
      <c r="JIX112" s="38"/>
      <c r="JIY112" s="38"/>
      <c r="JJE112" s="36"/>
      <c r="JJF112" s="38"/>
      <c r="JJG112" s="38"/>
      <c r="JJM112" s="36"/>
      <c r="JJN112" s="38"/>
      <c r="JJO112" s="38"/>
      <c r="JJU112" s="36"/>
      <c r="JJV112" s="38"/>
      <c r="JJW112" s="38"/>
      <c r="JKC112" s="36"/>
      <c r="JKD112" s="38"/>
      <c r="JKE112" s="38"/>
      <c r="JKK112" s="36"/>
      <c r="JKL112" s="38"/>
      <c r="JKM112" s="38"/>
      <c r="JKS112" s="36"/>
      <c r="JKT112" s="38"/>
      <c r="JKU112" s="38"/>
      <c r="JLA112" s="36"/>
      <c r="JLB112" s="38"/>
      <c r="JLC112" s="38"/>
      <c r="JLI112" s="36"/>
      <c r="JLJ112" s="38"/>
      <c r="JLK112" s="38"/>
      <c r="JLQ112" s="36"/>
      <c r="JLR112" s="38"/>
      <c r="JLS112" s="38"/>
      <c r="JLY112" s="36"/>
      <c r="JLZ112" s="38"/>
      <c r="JMA112" s="38"/>
      <c r="JMG112" s="36"/>
      <c r="JMH112" s="38"/>
      <c r="JMI112" s="38"/>
      <c r="JMO112" s="36"/>
      <c r="JMP112" s="38"/>
      <c r="JMQ112" s="38"/>
      <c r="JMW112" s="36"/>
      <c r="JMX112" s="38"/>
      <c r="JMY112" s="38"/>
      <c r="JNE112" s="36"/>
      <c r="JNF112" s="38"/>
      <c r="JNG112" s="38"/>
      <c r="JNM112" s="36"/>
      <c r="JNN112" s="38"/>
      <c r="JNO112" s="38"/>
      <c r="JNU112" s="36"/>
      <c r="JNV112" s="38"/>
      <c r="JNW112" s="38"/>
      <c r="JOC112" s="36"/>
      <c r="JOD112" s="38"/>
      <c r="JOE112" s="38"/>
      <c r="JOK112" s="36"/>
      <c r="JOL112" s="38"/>
      <c r="JOM112" s="38"/>
      <c r="JOS112" s="36"/>
      <c r="JOT112" s="38"/>
      <c r="JOU112" s="38"/>
      <c r="JPA112" s="36"/>
      <c r="JPB112" s="38"/>
      <c r="JPC112" s="38"/>
      <c r="JPI112" s="36"/>
      <c r="JPJ112" s="38"/>
      <c r="JPK112" s="38"/>
      <c r="JPQ112" s="36"/>
      <c r="JPR112" s="38"/>
      <c r="JPS112" s="38"/>
      <c r="JPY112" s="36"/>
      <c r="JPZ112" s="38"/>
      <c r="JQA112" s="38"/>
      <c r="JQG112" s="36"/>
      <c r="JQH112" s="38"/>
      <c r="JQI112" s="38"/>
      <c r="JQO112" s="36"/>
      <c r="JQP112" s="38"/>
      <c r="JQQ112" s="38"/>
      <c r="JQW112" s="36"/>
      <c r="JQX112" s="38"/>
      <c r="JQY112" s="38"/>
      <c r="JRE112" s="36"/>
      <c r="JRF112" s="38"/>
      <c r="JRG112" s="38"/>
      <c r="JRM112" s="36"/>
      <c r="JRN112" s="38"/>
      <c r="JRO112" s="38"/>
      <c r="JRU112" s="36"/>
      <c r="JRV112" s="38"/>
      <c r="JRW112" s="38"/>
      <c r="JSC112" s="36"/>
      <c r="JSD112" s="38"/>
      <c r="JSE112" s="38"/>
      <c r="JSK112" s="36"/>
      <c r="JSL112" s="38"/>
      <c r="JSM112" s="38"/>
      <c r="JSS112" s="36"/>
      <c r="JST112" s="38"/>
      <c r="JSU112" s="38"/>
      <c r="JTA112" s="36"/>
      <c r="JTB112" s="38"/>
      <c r="JTC112" s="38"/>
      <c r="JTI112" s="36"/>
      <c r="JTJ112" s="38"/>
      <c r="JTK112" s="38"/>
      <c r="JTQ112" s="36"/>
      <c r="JTR112" s="38"/>
      <c r="JTS112" s="38"/>
      <c r="JTY112" s="36"/>
      <c r="JTZ112" s="38"/>
      <c r="JUA112" s="38"/>
      <c r="JUG112" s="36"/>
      <c r="JUH112" s="38"/>
      <c r="JUI112" s="38"/>
      <c r="JUO112" s="36"/>
      <c r="JUP112" s="38"/>
      <c r="JUQ112" s="38"/>
      <c r="JUW112" s="36"/>
      <c r="JUX112" s="38"/>
      <c r="JUY112" s="38"/>
      <c r="JVE112" s="36"/>
      <c r="JVF112" s="38"/>
      <c r="JVG112" s="38"/>
      <c r="JVM112" s="36"/>
      <c r="JVN112" s="38"/>
      <c r="JVO112" s="38"/>
      <c r="JVU112" s="36"/>
      <c r="JVV112" s="38"/>
      <c r="JVW112" s="38"/>
      <c r="JWC112" s="36"/>
      <c r="JWD112" s="38"/>
      <c r="JWE112" s="38"/>
      <c r="JWK112" s="36"/>
      <c r="JWL112" s="38"/>
      <c r="JWM112" s="38"/>
      <c r="JWS112" s="36"/>
      <c r="JWT112" s="38"/>
      <c r="JWU112" s="38"/>
      <c r="JXA112" s="36"/>
      <c r="JXB112" s="38"/>
      <c r="JXC112" s="38"/>
      <c r="JXI112" s="36"/>
      <c r="JXJ112" s="38"/>
      <c r="JXK112" s="38"/>
      <c r="JXQ112" s="36"/>
      <c r="JXR112" s="38"/>
      <c r="JXS112" s="38"/>
      <c r="JXY112" s="36"/>
      <c r="JXZ112" s="38"/>
      <c r="JYA112" s="38"/>
      <c r="JYG112" s="36"/>
      <c r="JYH112" s="38"/>
      <c r="JYI112" s="38"/>
      <c r="JYO112" s="36"/>
      <c r="JYP112" s="38"/>
      <c r="JYQ112" s="38"/>
      <c r="JYW112" s="36"/>
      <c r="JYX112" s="38"/>
      <c r="JYY112" s="38"/>
      <c r="JZE112" s="36"/>
      <c r="JZF112" s="38"/>
      <c r="JZG112" s="38"/>
      <c r="JZM112" s="36"/>
      <c r="JZN112" s="38"/>
      <c r="JZO112" s="38"/>
      <c r="JZU112" s="36"/>
      <c r="JZV112" s="38"/>
      <c r="JZW112" s="38"/>
      <c r="KAC112" s="36"/>
      <c r="KAD112" s="38"/>
      <c r="KAE112" s="38"/>
      <c r="KAK112" s="36"/>
      <c r="KAL112" s="38"/>
      <c r="KAM112" s="38"/>
      <c r="KAS112" s="36"/>
      <c r="KAT112" s="38"/>
      <c r="KAU112" s="38"/>
      <c r="KBA112" s="36"/>
      <c r="KBB112" s="38"/>
      <c r="KBC112" s="38"/>
      <c r="KBI112" s="36"/>
      <c r="KBJ112" s="38"/>
      <c r="KBK112" s="38"/>
      <c r="KBQ112" s="36"/>
      <c r="KBR112" s="38"/>
      <c r="KBS112" s="38"/>
      <c r="KBY112" s="36"/>
      <c r="KBZ112" s="38"/>
      <c r="KCA112" s="38"/>
      <c r="KCG112" s="36"/>
      <c r="KCH112" s="38"/>
      <c r="KCI112" s="38"/>
      <c r="KCO112" s="36"/>
      <c r="KCP112" s="38"/>
      <c r="KCQ112" s="38"/>
      <c r="KCW112" s="36"/>
      <c r="KCX112" s="38"/>
      <c r="KCY112" s="38"/>
      <c r="KDE112" s="36"/>
      <c r="KDF112" s="38"/>
      <c r="KDG112" s="38"/>
      <c r="KDM112" s="36"/>
      <c r="KDN112" s="38"/>
      <c r="KDO112" s="38"/>
      <c r="KDU112" s="36"/>
      <c r="KDV112" s="38"/>
      <c r="KDW112" s="38"/>
      <c r="KEC112" s="36"/>
      <c r="KED112" s="38"/>
      <c r="KEE112" s="38"/>
      <c r="KEK112" s="36"/>
      <c r="KEL112" s="38"/>
      <c r="KEM112" s="38"/>
      <c r="KES112" s="36"/>
      <c r="KET112" s="38"/>
      <c r="KEU112" s="38"/>
      <c r="KFA112" s="36"/>
      <c r="KFB112" s="38"/>
      <c r="KFC112" s="38"/>
      <c r="KFI112" s="36"/>
      <c r="KFJ112" s="38"/>
      <c r="KFK112" s="38"/>
      <c r="KFQ112" s="36"/>
      <c r="KFR112" s="38"/>
      <c r="KFS112" s="38"/>
      <c r="KFY112" s="36"/>
      <c r="KFZ112" s="38"/>
      <c r="KGA112" s="38"/>
      <c r="KGG112" s="36"/>
      <c r="KGH112" s="38"/>
      <c r="KGI112" s="38"/>
      <c r="KGO112" s="36"/>
      <c r="KGP112" s="38"/>
      <c r="KGQ112" s="38"/>
      <c r="KGW112" s="36"/>
      <c r="KGX112" s="38"/>
      <c r="KGY112" s="38"/>
      <c r="KHE112" s="36"/>
      <c r="KHF112" s="38"/>
      <c r="KHG112" s="38"/>
      <c r="KHM112" s="36"/>
      <c r="KHN112" s="38"/>
      <c r="KHO112" s="38"/>
      <c r="KHU112" s="36"/>
      <c r="KHV112" s="38"/>
      <c r="KHW112" s="38"/>
      <c r="KIC112" s="36"/>
      <c r="KID112" s="38"/>
      <c r="KIE112" s="38"/>
      <c r="KIK112" s="36"/>
      <c r="KIL112" s="38"/>
      <c r="KIM112" s="38"/>
      <c r="KIS112" s="36"/>
      <c r="KIT112" s="38"/>
      <c r="KIU112" s="38"/>
      <c r="KJA112" s="36"/>
      <c r="KJB112" s="38"/>
      <c r="KJC112" s="38"/>
      <c r="KJI112" s="36"/>
      <c r="KJJ112" s="38"/>
      <c r="KJK112" s="38"/>
      <c r="KJQ112" s="36"/>
      <c r="KJR112" s="38"/>
      <c r="KJS112" s="38"/>
      <c r="KJY112" s="36"/>
      <c r="KJZ112" s="38"/>
      <c r="KKA112" s="38"/>
      <c r="KKG112" s="36"/>
      <c r="KKH112" s="38"/>
      <c r="KKI112" s="38"/>
      <c r="KKO112" s="36"/>
      <c r="KKP112" s="38"/>
      <c r="KKQ112" s="38"/>
      <c r="KKW112" s="36"/>
      <c r="KKX112" s="38"/>
      <c r="KKY112" s="38"/>
      <c r="KLE112" s="36"/>
      <c r="KLF112" s="38"/>
      <c r="KLG112" s="38"/>
      <c r="KLM112" s="36"/>
      <c r="KLN112" s="38"/>
      <c r="KLO112" s="38"/>
      <c r="KLU112" s="36"/>
      <c r="KLV112" s="38"/>
      <c r="KLW112" s="38"/>
      <c r="KMC112" s="36"/>
      <c r="KMD112" s="38"/>
      <c r="KME112" s="38"/>
      <c r="KMK112" s="36"/>
      <c r="KML112" s="38"/>
      <c r="KMM112" s="38"/>
      <c r="KMS112" s="36"/>
      <c r="KMT112" s="38"/>
      <c r="KMU112" s="38"/>
      <c r="KNA112" s="36"/>
      <c r="KNB112" s="38"/>
      <c r="KNC112" s="38"/>
      <c r="KNI112" s="36"/>
      <c r="KNJ112" s="38"/>
      <c r="KNK112" s="38"/>
      <c r="KNQ112" s="36"/>
      <c r="KNR112" s="38"/>
      <c r="KNS112" s="38"/>
      <c r="KNY112" s="36"/>
      <c r="KNZ112" s="38"/>
      <c r="KOA112" s="38"/>
      <c r="KOG112" s="36"/>
      <c r="KOH112" s="38"/>
      <c r="KOI112" s="38"/>
      <c r="KOO112" s="36"/>
      <c r="KOP112" s="38"/>
      <c r="KOQ112" s="38"/>
      <c r="KOW112" s="36"/>
      <c r="KOX112" s="38"/>
      <c r="KOY112" s="38"/>
      <c r="KPE112" s="36"/>
      <c r="KPF112" s="38"/>
      <c r="KPG112" s="38"/>
      <c r="KPM112" s="36"/>
      <c r="KPN112" s="38"/>
      <c r="KPO112" s="38"/>
      <c r="KPU112" s="36"/>
      <c r="KPV112" s="38"/>
      <c r="KPW112" s="38"/>
      <c r="KQC112" s="36"/>
      <c r="KQD112" s="38"/>
      <c r="KQE112" s="38"/>
      <c r="KQK112" s="36"/>
      <c r="KQL112" s="38"/>
      <c r="KQM112" s="38"/>
      <c r="KQS112" s="36"/>
      <c r="KQT112" s="38"/>
      <c r="KQU112" s="38"/>
      <c r="KRA112" s="36"/>
      <c r="KRB112" s="38"/>
      <c r="KRC112" s="38"/>
      <c r="KRI112" s="36"/>
      <c r="KRJ112" s="38"/>
      <c r="KRK112" s="38"/>
      <c r="KRQ112" s="36"/>
      <c r="KRR112" s="38"/>
      <c r="KRS112" s="38"/>
      <c r="KRY112" s="36"/>
      <c r="KRZ112" s="38"/>
      <c r="KSA112" s="38"/>
      <c r="KSG112" s="36"/>
      <c r="KSH112" s="38"/>
      <c r="KSI112" s="38"/>
      <c r="KSO112" s="36"/>
      <c r="KSP112" s="38"/>
      <c r="KSQ112" s="38"/>
      <c r="KSW112" s="36"/>
      <c r="KSX112" s="38"/>
      <c r="KSY112" s="38"/>
      <c r="KTE112" s="36"/>
      <c r="KTF112" s="38"/>
      <c r="KTG112" s="38"/>
      <c r="KTM112" s="36"/>
      <c r="KTN112" s="38"/>
      <c r="KTO112" s="38"/>
      <c r="KTU112" s="36"/>
      <c r="KTV112" s="38"/>
      <c r="KTW112" s="38"/>
      <c r="KUC112" s="36"/>
      <c r="KUD112" s="38"/>
      <c r="KUE112" s="38"/>
      <c r="KUK112" s="36"/>
      <c r="KUL112" s="38"/>
      <c r="KUM112" s="38"/>
      <c r="KUS112" s="36"/>
      <c r="KUT112" s="38"/>
      <c r="KUU112" s="38"/>
      <c r="KVA112" s="36"/>
      <c r="KVB112" s="38"/>
      <c r="KVC112" s="38"/>
      <c r="KVI112" s="36"/>
      <c r="KVJ112" s="38"/>
      <c r="KVK112" s="38"/>
      <c r="KVQ112" s="36"/>
      <c r="KVR112" s="38"/>
      <c r="KVS112" s="38"/>
      <c r="KVY112" s="36"/>
      <c r="KVZ112" s="38"/>
      <c r="KWA112" s="38"/>
      <c r="KWG112" s="36"/>
      <c r="KWH112" s="38"/>
      <c r="KWI112" s="38"/>
      <c r="KWO112" s="36"/>
      <c r="KWP112" s="38"/>
      <c r="KWQ112" s="38"/>
      <c r="KWW112" s="36"/>
      <c r="KWX112" s="38"/>
      <c r="KWY112" s="38"/>
      <c r="KXE112" s="36"/>
      <c r="KXF112" s="38"/>
      <c r="KXG112" s="38"/>
      <c r="KXM112" s="36"/>
      <c r="KXN112" s="38"/>
      <c r="KXO112" s="38"/>
      <c r="KXU112" s="36"/>
      <c r="KXV112" s="38"/>
      <c r="KXW112" s="38"/>
      <c r="KYC112" s="36"/>
      <c r="KYD112" s="38"/>
      <c r="KYE112" s="38"/>
      <c r="KYK112" s="36"/>
      <c r="KYL112" s="38"/>
      <c r="KYM112" s="38"/>
      <c r="KYS112" s="36"/>
      <c r="KYT112" s="38"/>
      <c r="KYU112" s="38"/>
      <c r="KZA112" s="36"/>
      <c r="KZB112" s="38"/>
      <c r="KZC112" s="38"/>
      <c r="KZI112" s="36"/>
      <c r="KZJ112" s="38"/>
      <c r="KZK112" s="38"/>
      <c r="KZQ112" s="36"/>
      <c r="KZR112" s="38"/>
      <c r="KZS112" s="38"/>
      <c r="KZY112" s="36"/>
      <c r="KZZ112" s="38"/>
      <c r="LAA112" s="38"/>
      <c r="LAG112" s="36"/>
      <c r="LAH112" s="38"/>
      <c r="LAI112" s="38"/>
      <c r="LAO112" s="36"/>
      <c r="LAP112" s="38"/>
      <c r="LAQ112" s="38"/>
      <c r="LAW112" s="36"/>
      <c r="LAX112" s="38"/>
      <c r="LAY112" s="38"/>
      <c r="LBE112" s="36"/>
      <c r="LBF112" s="38"/>
      <c r="LBG112" s="38"/>
      <c r="LBM112" s="36"/>
      <c r="LBN112" s="38"/>
      <c r="LBO112" s="38"/>
      <c r="LBU112" s="36"/>
      <c r="LBV112" s="38"/>
      <c r="LBW112" s="38"/>
      <c r="LCC112" s="36"/>
      <c r="LCD112" s="38"/>
      <c r="LCE112" s="38"/>
      <c r="LCK112" s="36"/>
      <c r="LCL112" s="38"/>
      <c r="LCM112" s="38"/>
      <c r="LCS112" s="36"/>
      <c r="LCT112" s="38"/>
      <c r="LCU112" s="38"/>
      <c r="LDA112" s="36"/>
      <c r="LDB112" s="38"/>
      <c r="LDC112" s="38"/>
      <c r="LDI112" s="36"/>
      <c r="LDJ112" s="38"/>
      <c r="LDK112" s="38"/>
      <c r="LDQ112" s="36"/>
      <c r="LDR112" s="38"/>
      <c r="LDS112" s="38"/>
      <c r="LDY112" s="36"/>
      <c r="LDZ112" s="38"/>
      <c r="LEA112" s="38"/>
      <c r="LEG112" s="36"/>
      <c r="LEH112" s="38"/>
      <c r="LEI112" s="38"/>
      <c r="LEO112" s="36"/>
      <c r="LEP112" s="38"/>
      <c r="LEQ112" s="38"/>
      <c r="LEW112" s="36"/>
      <c r="LEX112" s="38"/>
      <c r="LEY112" s="38"/>
      <c r="LFE112" s="36"/>
      <c r="LFF112" s="38"/>
      <c r="LFG112" s="38"/>
      <c r="LFM112" s="36"/>
      <c r="LFN112" s="38"/>
      <c r="LFO112" s="38"/>
      <c r="LFU112" s="36"/>
      <c r="LFV112" s="38"/>
      <c r="LFW112" s="38"/>
      <c r="LGC112" s="36"/>
      <c r="LGD112" s="38"/>
      <c r="LGE112" s="38"/>
      <c r="LGK112" s="36"/>
      <c r="LGL112" s="38"/>
      <c r="LGM112" s="38"/>
      <c r="LGS112" s="36"/>
      <c r="LGT112" s="38"/>
      <c r="LGU112" s="38"/>
      <c r="LHA112" s="36"/>
      <c r="LHB112" s="38"/>
      <c r="LHC112" s="38"/>
      <c r="LHI112" s="36"/>
      <c r="LHJ112" s="38"/>
      <c r="LHK112" s="38"/>
      <c r="LHQ112" s="36"/>
      <c r="LHR112" s="38"/>
      <c r="LHS112" s="38"/>
      <c r="LHY112" s="36"/>
      <c r="LHZ112" s="38"/>
      <c r="LIA112" s="38"/>
      <c r="LIG112" s="36"/>
      <c r="LIH112" s="38"/>
      <c r="LII112" s="38"/>
      <c r="LIO112" s="36"/>
      <c r="LIP112" s="38"/>
      <c r="LIQ112" s="38"/>
      <c r="LIW112" s="36"/>
      <c r="LIX112" s="38"/>
      <c r="LIY112" s="38"/>
      <c r="LJE112" s="36"/>
      <c r="LJF112" s="38"/>
      <c r="LJG112" s="38"/>
      <c r="LJM112" s="36"/>
      <c r="LJN112" s="38"/>
      <c r="LJO112" s="38"/>
      <c r="LJU112" s="36"/>
      <c r="LJV112" s="38"/>
      <c r="LJW112" s="38"/>
      <c r="LKC112" s="36"/>
      <c r="LKD112" s="38"/>
      <c r="LKE112" s="38"/>
      <c r="LKK112" s="36"/>
      <c r="LKL112" s="38"/>
      <c r="LKM112" s="38"/>
      <c r="LKS112" s="36"/>
      <c r="LKT112" s="38"/>
      <c r="LKU112" s="38"/>
      <c r="LLA112" s="36"/>
      <c r="LLB112" s="38"/>
      <c r="LLC112" s="38"/>
      <c r="LLI112" s="36"/>
      <c r="LLJ112" s="38"/>
      <c r="LLK112" s="38"/>
      <c r="LLQ112" s="36"/>
      <c r="LLR112" s="38"/>
      <c r="LLS112" s="38"/>
      <c r="LLY112" s="36"/>
      <c r="LLZ112" s="38"/>
      <c r="LMA112" s="38"/>
      <c r="LMG112" s="36"/>
      <c r="LMH112" s="38"/>
      <c r="LMI112" s="38"/>
      <c r="LMO112" s="36"/>
      <c r="LMP112" s="38"/>
      <c r="LMQ112" s="38"/>
      <c r="LMW112" s="36"/>
      <c r="LMX112" s="38"/>
      <c r="LMY112" s="38"/>
      <c r="LNE112" s="36"/>
      <c r="LNF112" s="38"/>
      <c r="LNG112" s="38"/>
      <c r="LNM112" s="36"/>
      <c r="LNN112" s="38"/>
      <c r="LNO112" s="38"/>
      <c r="LNU112" s="36"/>
      <c r="LNV112" s="38"/>
      <c r="LNW112" s="38"/>
      <c r="LOC112" s="36"/>
      <c r="LOD112" s="38"/>
      <c r="LOE112" s="38"/>
      <c r="LOK112" s="36"/>
      <c r="LOL112" s="38"/>
      <c r="LOM112" s="38"/>
      <c r="LOS112" s="36"/>
      <c r="LOT112" s="38"/>
      <c r="LOU112" s="38"/>
      <c r="LPA112" s="36"/>
      <c r="LPB112" s="38"/>
      <c r="LPC112" s="38"/>
      <c r="LPI112" s="36"/>
      <c r="LPJ112" s="38"/>
      <c r="LPK112" s="38"/>
      <c r="LPQ112" s="36"/>
      <c r="LPR112" s="38"/>
      <c r="LPS112" s="38"/>
      <c r="LPY112" s="36"/>
      <c r="LPZ112" s="38"/>
      <c r="LQA112" s="38"/>
      <c r="LQG112" s="36"/>
      <c r="LQH112" s="38"/>
      <c r="LQI112" s="38"/>
      <c r="LQO112" s="36"/>
      <c r="LQP112" s="38"/>
      <c r="LQQ112" s="38"/>
      <c r="LQW112" s="36"/>
      <c r="LQX112" s="38"/>
      <c r="LQY112" s="38"/>
      <c r="LRE112" s="36"/>
      <c r="LRF112" s="38"/>
      <c r="LRG112" s="38"/>
      <c r="LRM112" s="36"/>
      <c r="LRN112" s="38"/>
      <c r="LRO112" s="38"/>
      <c r="LRU112" s="36"/>
      <c r="LRV112" s="38"/>
      <c r="LRW112" s="38"/>
      <c r="LSC112" s="36"/>
      <c r="LSD112" s="38"/>
      <c r="LSE112" s="38"/>
      <c r="LSK112" s="36"/>
      <c r="LSL112" s="38"/>
      <c r="LSM112" s="38"/>
      <c r="LSS112" s="36"/>
      <c r="LST112" s="38"/>
      <c r="LSU112" s="38"/>
      <c r="LTA112" s="36"/>
      <c r="LTB112" s="38"/>
      <c r="LTC112" s="38"/>
      <c r="LTI112" s="36"/>
      <c r="LTJ112" s="38"/>
      <c r="LTK112" s="38"/>
      <c r="LTQ112" s="36"/>
      <c r="LTR112" s="38"/>
      <c r="LTS112" s="38"/>
      <c r="LTY112" s="36"/>
      <c r="LTZ112" s="38"/>
      <c r="LUA112" s="38"/>
      <c r="LUG112" s="36"/>
      <c r="LUH112" s="38"/>
      <c r="LUI112" s="38"/>
      <c r="LUO112" s="36"/>
      <c r="LUP112" s="38"/>
      <c r="LUQ112" s="38"/>
      <c r="LUW112" s="36"/>
      <c r="LUX112" s="38"/>
      <c r="LUY112" s="38"/>
      <c r="LVE112" s="36"/>
      <c r="LVF112" s="38"/>
      <c r="LVG112" s="38"/>
      <c r="LVM112" s="36"/>
      <c r="LVN112" s="38"/>
      <c r="LVO112" s="38"/>
      <c r="LVU112" s="36"/>
      <c r="LVV112" s="38"/>
      <c r="LVW112" s="38"/>
      <c r="LWC112" s="36"/>
      <c r="LWD112" s="38"/>
      <c r="LWE112" s="38"/>
      <c r="LWK112" s="36"/>
      <c r="LWL112" s="38"/>
      <c r="LWM112" s="38"/>
      <c r="LWS112" s="36"/>
      <c r="LWT112" s="38"/>
      <c r="LWU112" s="38"/>
      <c r="LXA112" s="36"/>
      <c r="LXB112" s="38"/>
      <c r="LXC112" s="38"/>
      <c r="LXI112" s="36"/>
      <c r="LXJ112" s="38"/>
      <c r="LXK112" s="38"/>
      <c r="LXQ112" s="36"/>
      <c r="LXR112" s="38"/>
      <c r="LXS112" s="38"/>
      <c r="LXY112" s="36"/>
      <c r="LXZ112" s="38"/>
      <c r="LYA112" s="38"/>
      <c r="LYG112" s="36"/>
      <c r="LYH112" s="38"/>
      <c r="LYI112" s="38"/>
      <c r="LYO112" s="36"/>
      <c r="LYP112" s="38"/>
      <c r="LYQ112" s="38"/>
      <c r="LYW112" s="36"/>
      <c r="LYX112" s="38"/>
      <c r="LYY112" s="38"/>
      <c r="LZE112" s="36"/>
      <c r="LZF112" s="38"/>
      <c r="LZG112" s="38"/>
      <c r="LZM112" s="36"/>
      <c r="LZN112" s="38"/>
      <c r="LZO112" s="38"/>
      <c r="LZU112" s="36"/>
      <c r="LZV112" s="38"/>
      <c r="LZW112" s="38"/>
      <c r="MAC112" s="36"/>
      <c r="MAD112" s="38"/>
      <c r="MAE112" s="38"/>
      <c r="MAK112" s="36"/>
      <c r="MAL112" s="38"/>
      <c r="MAM112" s="38"/>
      <c r="MAS112" s="36"/>
      <c r="MAT112" s="38"/>
      <c r="MAU112" s="38"/>
      <c r="MBA112" s="36"/>
      <c r="MBB112" s="38"/>
      <c r="MBC112" s="38"/>
      <c r="MBI112" s="36"/>
      <c r="MBJ112" s="38"/>
      <c r="MBK112" s="38"/>
      <c r="MBQ112" s="36"/>
      <c r="MBR112" s="38"/>
      <c r="MBS112" s="38"/>
      <c r="MBY112" s="36"/>
      <c r="MBZ112" s="38"/>
      <c r="MCA112" s="38"/>
      <c r="MCG112" s="36"/>
      <c r="MCH112" s="38"/>
      <c r="MCI112" s="38"/>
      <c r="MCO112" s="36"/>
      <c r="MCP112" s="38"/>
      <c r="MCQ112" s="38"/>
      <c r="MCW112" s="36"/>
      <c r="MCX112" s="38"/>
      <c r="MCY112" s="38"/>
      <c r="MDE112" s="36"/>
      <c r="MDF112" s="38"/>
      <c r="MDG112" s="38"/>
      <c r="MDM112" s="36"/>
      <c r="MDN112" s="38"/>
      <c r="MDO112" s="38"/>
      <c r="MDU112" s="36"/>
      <c r="MDV112" s="38"/>
      <c r="MDW112" s="38"/>
      <c r="MEC112" s="36"/>
      <c r="MED112" s="38"/>
      <c r="MEE112" s="38"/>
      <c r="MEK112" s="36"/>
      <c r="MEL112" s="38"/>
      <c r="MEM112" s="38"/>
      <c r="MES112" s="36"/>
      <c r="MET112" s="38"/>
      <c r="MEU112" s="38"/>
      <c r="MFA112" s="36"/>
      <c r="MFB112" s="38"/>
      <c r="MFC112" s="38"/>
      <c r="MFI112" s="36"/>
      <c r="MFJ112" s="38"/>
      <c r="MFK112" s="38"/>
      <c r="MFQ112" s="36"/>
      <c r="MFR112" s="38"/>
      <c r="MFS112" s="38"/>
      <c r="MFY112" s="36"/>
      <c r="MFZ112" s="38"/>
      <c r="MGA112" s="38"/>
      <c r="MGG112" s="36"/>
      <c r="MGH112" s="38"/>
      <c r="MGI112" s="38"/>
      <c r="MGO112" s="36"/>
      <c r="MGP112" s="38"/>
      <c r="MGQ112" s="38"/>
      <c r="MGW112" s="36"/>
      <c r="MGX112" s="38"/>
      <c r="MGY112" s="38"/>
      <c r="MHE112" s="36"/>
      <c r="MHF112" s="38"/>
      <c r="MHG112" s="38"/>
      <c r="MHM112" s="36"/>
      <c r="MHN112" s="38"/>
      <c r="MHO112" s="38"/>
      <c r="MHU112" s="36"/>
      <c r="MHV112" s="38"/>
      <c r="MHW112" s="38"/>
      <c r="MIC112" s="36"/>
      <c r="MID112" s="38"/>
      <c r="MIE112" s="38"/>
      <c r="MIK112" s="36"/>
      <c r="MIL112" s="38"/>
      <c r="MIM112" s="38"/>
      <c r="MIS112" s="36"/>
      <c r="MIT112" s="38"/>
      <c r="MIU112" s="38"/>
      <c r="MJA112" s="36"/>
      <c r="MJB112" s="38"/>
      <c r="MJC112" s="38"/>
      <c r="MJI112" s="36"/>
      <c r="MJJ112" s="38"/>
      <c r="MJK112" s="38"/>
      <c r="MJQ112" s="36"/>
      <c r="MJR112" s="38"/>
      <c r="MJS112" s="38"/>
      <c r="MJY112" s="36"/>
      <c r="MJZ112" s="38"/>
      <c r="MKA112" s="38"/>
      <c r="MKG112" s="36"/>
      <c r="MKH112" s="38"/>
      <c r="MKI112" s="38"/>
      <c r="MKO112" s="36"/>
      <c r="MKP112" s="38"/>
      <c r="MKQ112" s="38"/>
      <c r="MKW112" s="36"/>
      <c r="MKX112" s="38"/>
      <c r="MKY112" s="38"/>
      <c r="MLE112" s="36"/>
      <c r="MLF112" s="38"/>
      <c r="MLG112" s="38"/>
      <c r="MLM112" s="36"/>
      <c r="MLN112" s="38"/>
      <c r="MLO112" s="38"/>
      <c r="MLU112" s="36"/>
      <c r="MLV112" s="38"/>
      <c r="MLW112" s="38"/>
      <c r="MMC112" s="36"/>
      <c r="MMD112" s="38"/>
      <c r="MME112" s="38"/>
      <c r="MMK112" s="36"/>
      <c r="MML112" s="38"/>
      <c r="MMM112" s="38"/>
      <c r="MMS112" s="36"/>
      <c r="MMT112" s="38"/>
      <c r="MMU112" s="38"/>
      <c r="MNA112" s="36"/>
      <c r="MNB112" s="38"/>
      <c r="MNC112" s="38"/>
      <c r="MNI112" s="36"/>
      <c r="MNJ112" s="38"/>
      <c r="MNK112" s="38"/>
      <c r="MNQ112" s="36"/>
      <c r="MNR112" s="38"/>
      <c r="MNS112" s="38"/>
      <c r="MNY112" s="36"/>
      <c r="MNZ112" s="38"/>
      <c r="MOA112" s="38"/>
      <c r="MOG112" s="36"/>
      <c r="MOH112" s="38"/>
      <c r="MOI112" s="38"/>
      <c r="MOO112" s="36"/>
      <c r="MOP112" s="38"/>
      <c r="MOQ112" s="38"/>
      <c r="MOW112" s="36"/>
      <c r="MOX112" s="38"/>
      <c r="MOY112" s="38"/>
      <c r="MPE112" s="36"/>
      <c r="MPF112" s="38"/>
      <c r="MPG112" s="38"/>
      <c r="MPM112" s="36"/>
      <c r="MPN112" s="38"/>
      <c r="MPO112" s="38"/>
      <c r="MPU112" s="36"/>
      <c r="MPV112" s="38"/>
      <c r="MPW112" s="38"/>
      <c r="MQC112" s="36"/>
      <c r="MQD112" s="38"/>
      <c r="MQE112" s="38"/>
      <c r="MQK112" s="36"/>
      <c r="MQL112" s="38"/>
      <c r="MQM112" s="38"/>
      <c r="MQS112" s="36"/>
      <c r="MQT112" s="38"/>
      <c r="MQU112" s="38"/>
      <c r="MRA112" s="36"/>
      <c r="MRB112" s="38"/>
      <c r="MRC112" s="38"/>
      <c r="MRI112" s="36"/>
      <c r="MRJ112" s="38"/>
      <c r="MRK112" s="38"/>
      <c r="MRQ112" s="36"/>
      <c r="MRR112" s="38"/>
      <c r="MRS112" s="38"/>
      <c r="MRY112" s="36"/>
      <c r="MRZ112" s="38"/>
      <c r="MSA112" s="38"/>
      <c r="MSG112" s="36"/>
      <c r="MSH112" s="38"/>
      <c r="MSI112" s="38"/>
      <c r="MSO112" s="36"/>
      <c r="MSP112" s="38"/>
      <c r="MSQ112" s="38"/>
      <c r="MSW112" s="36"/>
      <c r="MSX112" s="38"/>
      <c r="MSY112" s="38"/>
      <c r="MTE112" s="36"/>
      <c r="MTF112" s="38"/>
      <c r="MTG112" s="38"/>
      <c r="MTM112" s="36"/>
      <c r="MTN112" s="38"/>
      <c r="MTO112" s="38"/>
      <c r="MTU112" s="36"/>
      <c r="MTV112" s="38"/>
      <c r="MTW112" s="38"/>
      <c r="MUC112" s="36"/>
      <c r="MUD112" s="38"/>
      <c r="MUE112" s="38"/>
      <c r="MUK112" s="36"/>
      <c r="MUL112" s="38"/>
      <c r="MUM112" s="38"/>
      <c r="MUS112" s="36"/>
      <c r="MUT112" s="38"/>
      <c r="MUU112" s="38"/>
      <c r="MVA112" s="36"/>
      <c r="MVB112" s="38"/>
      <c r="MVC112" s="38"/>
      <c r="MVI112" s="36"/>
      <c r="MVJ112" s="38"/>
      <c r="MVK112" s="38"/>
      <c r="MVQ112" s="36"/>
      <c r="MVR112" s="38"/>
      <c r="MVS112" s="38"/>
      <c r="MVY112" s="36"/>
      <c r="MVZ112" s="38"/>
      <c r="MWA112" s="38"/>
      <c r="MWG112" s="36"/>
      <c r="MWH112" s="38"/>
      <c r="MWI112" s="38"/>
      <c r="MWO112" s="36"/>
      <c r="MWP112" s="38"/>
      <c r="MWQ112" s="38"/>
      <c r="MWW112" s="36"/>
      <c r="MWX112" s="38"/>
      <c r="MWY112" s="38"/>
      <c r="MXE112" s="36"/>
      <c r="MXF112" s="38"/>
      <c r="MXG112" s="38"/>
      <c r="MXM112" s="36"/>
      <c r="MXN112" s="38"/>
      <c r="MXO112" s="38"/>
      <c r="MXU112" s="36"/>
      <c r="MXV112" s="38"/>
      <c r="MXW112" s="38"/>
      <c r="MYC112" s="36"/>
      <c r="MYD112" s="38"/>
      <c r="MYE112" s="38"/>
      <c r="MYK112" s="36"/>
      <c r="MYL112" s="38"/>
      <c r="MYM112" s="38"/>
      <c r="MYS112" s="36"/>
      <c r="MYT112" s="38"/>
      <c r="MYU112" s="38"/>
      <c r="MZA112" s="36"/>
      <c r="MZB112" s="38"/>
      <c r="MZC112" s="38"/>
      <c r="MZI112" s="36"/>
      <c r="MZJ112" s="38"/>
      <c r="MZK112" s="38"/>
      <c r="MZQ112" s="36"/>
      <c r="MZR112" s="38"/>
      <c r="MZS112" s="38"/>
      <c r="MZY112" s="36"/>
      <c r="MZZ112" s="38"/>
      <c r="NAA112" s="38"/>
      <c r="NAG112" s="36"/>
      <c r="NAH112" s="38"/>
      <c r="NAI112" s="38"/>
      <c r="NAO112" s="36"/>
      <c r="NAP112" s="38"/>
      <c r="NAQ112" s="38"/>
      <c r="NAW112" s="36"/>
      <c r="NAX112" s="38"/>
      <c r="NAY112" s="38"/>
      <c r="NBE112" s="36"/>
      <c r="NBF112" s="38"/>
      <c r="NBG112" s="38"/>
      <c r="NBM112" s="36"/>
      <c r="NBN112" s="38"/>
      <c r="NBO112" s="38"/>
      <c r="NBU112" s="36"/>
      <c r="NBV112" s="38"/>
      <c r="NBW112" s="38"/>
      <c r="NCC112" s="36"/>
      <c r="NCD112" s="38"/>
      <c r="NCE112" s="38"/>
      <c r="NCK112" s="36"/>
      <c r="NCL112" s="38"/>
      <c r="NCM112" s="38"/>
      <c r="NCS112" s="36"/>
      <c r="NCT112" s="38"/>
      <c r="NCU112" s="38"/>
      <c r="NDA112" s="36"/>
      <c r="NDB112" s="38"/>
      <c r="NDC112" s="38"/>
      <c r="NDI112" s="36"/>
      <c r="NDJ112" s="38"/>
      <c r="NDK112" s="38"/>
      <c r="NDQ112" s="36"/>
      <c r="NDR112" s="38"/>
      <c r="NDS112" s="38"/>
      <c r="NDY112" s="36"/>
      <c r="NDZ112" s="38"/>
      <c r="NEA112" s="38"/>
      <c r="NEG112" s="36"/>
      <c r="NEH112" s="38"/>
      <c r="NEI112" s="38"/>
      <c r="NEO112" s="36"/>
      <c r="NEP112" s="38"/>
      <c r="NEQ112" s="38"/>
      <c r="NEW112" s="36"/>
      <c r="NEX112" s="38"/>
      <c r="NEY112" s="38"/>
      <c r="NFE112" s="36"/>
      <c r="NFF112" s="38"/>
      <c r="NFG112" s="38"/>
      <c r="NFM112" s="36"/>
      <c r="NFN112" s="38"/>
      <c r="NFO112" s="38"/>
      <c r="NFU112" s="36"/>
      <c r="NFV112" s="38"/>
      <c r="NFW112" s="38"/>
      <c r="NGC112" s="36"/>
      <c r="NGD112" s="38"/>
      <c r="NGE112" s="38"/>
      <c r="NGK112" s="36"/>
      <c r="NGL112" s="38"/>
      <c r="NGM112" s="38"/>
      <c r="NGS112" s="36"/>
      <c r="NGT112" s="38"/>
      <c r="NGU112" s="38"/>
      <c r="NHA112" s="36"/>
      <c r="NHB112" s="38"/>
      <c r="NHC112" s="38"/>
      <c r="NHI112" s="36"/>
      <c r="NHJ112" s="38"/>
      <c r="NHK112" s="38"/>
      <c r="NHQ112" s="36"/>
      <c r="NHR112" s="38"/>
      <c r="NHS112" s="38"/>
      <c r="NHY112" s="36"/>
      <c r="NHZ112" s="38"/>
      <c r="NIA112" s="38"/>
      <c r="NIG112" s="36"/>
      <c r="NIH112" s="38"/>
      <c r="NII112" s="38"/>
      <c r="NIO112" s="36"/>
      <c r="NIP112" s="38"/>
      <c r="NIQ112" s="38"/>
      <c r="NIW112" s="36"/>
      <c r="NIX112" s="38"/>
      <c r="NIY112" s="38"/>
      <c r="NJE112" s="36"/>
      <c r="NJF112" s="38"/>
      <c r="NJG112" s="38"/>
      <c r="NJM112" s="36"/>
      <c r="NJN112" s="38"/>
      <c r="NJO112" s="38"/>
      <c r="NJU112" s="36"/>
      <c r="NJV112" s="38"/>
      <c r="NJW112" s="38"/>
      <c r="NKC112" s="36"/>
      <c r="NKD112" s="38"/>
      <c r="NKE112" s="38"/>
      <c r="NKK112" s="36"/>
      <c r="NKL112" s="38"/>
      <c r="NKM112" s="38"/>
      <c r="NKS112" s="36"/>
      <c r="NKT112" s="38"/>
      <c r="NKU112" s="38"/>
      <c r="NLA112" s="36"/>
      <c r="NLB112" s="38"/>
      <c r="NLC112" s="38"/>
      <c r="NLI112" s="36"/>
      <c r="NLJ112" s="38"/>
      <c r="NLK112" s="38"/>
      <c r="NLQ112" s="36"/>
      <c r="NLR112" s="38"/>
      <c r="NLS112" s="38"/>
      <c r="NLY112" s="36"/>
      <c r="NLZ112" s="38"/>
      <c r="NMA112" s="38"/>
      <c r="NMG112" s="36"/>
      <c r="NMH112" s="38"/>
      <c r="NMI112" s="38"/>
      <c r="NMO112" s="36"/>
      <c r="NMP112" s="38"/>
      <c r="NMQ112" s="38"/>
      <c r="NMW112" s="36"/>
      <c r="NMX112" s="38"/>
      <c r="NMY112" s="38"/>
      <c r="NNE112" s="36"/>
      <c r="NNF112" s="38"/>
      <c r="NNG112" s="38"/>
      <c r="NNM112" s="36"/>
      <c r="NNN112" s="38"/>
      <c r="NNO112" s="38"/>
      <c r="NNU112" s="36"/>
      <c r="NNV112" s="38"/>
      <c r="NNW112" s="38"/>
      <c r="NOC112" s="36"/>
      <c r="NOD112" s="38"/>
      <c r="NOE112" s="38"/>
      <c r="NOK112" s="36"/>
      <c r="NOL112" s="38"/>
      <c r="NOM112" s="38"/>
      <c r="NOS112" s="36"/>
      <c r="NOT112" s="38"/>
      <c r="NOU112" s="38"/>
      <c r="NPA112" s="36"/>
      <c r="NPB112" s="38"/>
      <c r="NPC112" s="38"/>
      <c r="NPI112" s="36"/>
      <c r="NPJ112" s="38"/>
      <c r="NPK112" s="38"/>
      <c r="NPQ112" s="36"/>
      <c r="NPR112" s="38"/>
      <c r="NPS112" s="38"/>
      <c r="NPY112" s="36"/>
      <c r="NPZ112" s="38"/>
      <c r="NQA112" s="38"/>
      <c r="NQG112" s="36"/>
      <c r="NQH112" s="38"/>
      <c r="NQI112" s="38"/>
      <c r="NQO112" s="36"/>
      <c r="NQP112" s="38"/>
      <c r="NQQ112" s="38"/>
      <c r="NQW112" s="36"/>
      <c r="NQX112" s="38"/>
      <c r="NQY112" s="38"/>
      <c r="NRE112" s="36"/>
      <c r="NRF112" s="38"/>
      <c r="NRG112" s="38"/>
      <c r="NRM112" s="36"/>
      <c r="NRN112" s="38"/>
      <c r="NRO112" s="38"/>
      <c r="NRU112" s="36"/>
      <c r="NRV112" s="38"/>
      <c r="NRW112" s="38"/>
      <c r="NSC112" s="36"/>
      <c r="NSD112" s="38"/>
      <c r="NSE112" s="38"/>
      <c r="NSK112" s="36"/>
      <c r="NSL112" s="38"/>
      <c r="NSM112" s="38"/>
      <c r="NSS112" s="36"/>
      <c r="NST112" s="38"/>
      <c r="NSU112" s="38"/>
      <c r="NTA112" s="36"/>
      <c r="NTB112" s="38"/>
      <c r="NTC112" s="38"/>
      <c r="NTI112" s="36"/>
      <c r="NTJ112" s="38"/>
      <c r="NTK112" s="38"/>
      <c r="NTQ112" s="36"/>
      <c r="NTR112" s="38"/>
      <c r="NTS112" s="38"/>
      <c r="NTY112" s="36"/>
      <c r="NTZ112" s="38"/>
      <c r="NUA112" s="38"/>
      <c r="NUG112" s="36"/>
      <c r="NUH112" s="38"/>
      <c r="NUI112" s="38"/>
      <c r="NUO112" s="36"/>
      <c r="NUP112" s="38"/>
      <c r="NUQ112" s="38"/>
      <c r="NUW112" s="36"/>
      <c r="NUX112" s="38"/>
      <c r="NUY112" s="38"/>
      <c r="NVE112" s="36"/>
      <c r="NVF112" s="38"/>
      <c r="NVG112" s="38"/>
      <c r="NVM112" s="36"/>
      <c r="NVN112" s="38"/>
      <c r="NVO112" s="38"/>
      <c r="NVU112" s="36"/>
      <c r="NVV112" s="38"/>
      <c r="NVW112" s="38"/>
      <c r="NWC112" s="36"/>
      <c r="NWD112" s="38"/>
      <c r="NWE112" s="38"/>
      <c r="NWK112" s="36"/>
      <c r="NWL112" s="38"/>
      <c r="NWM112" s="38"/>
      <c r="NWS112" s="36"/>
      <c r="NWT112" s="38"/>
      <c r="NWU112" s="38"/>
      <c r="NXA112" s="36"/>
      <c r="NXB112" s="38"/>
      <c r="NXC112" s="38"/>
      <c r="NXI112" s="36"/>
      <c r="NXJ112" s="38"/>
      <c r="NXK112" s="38"/>
      <c r="NXQ112" s="36"/>
      <c r="NXR112" s="38"/>
      <c r="NXS112" s="38"/>
      <c r="NXY112" s="36"/>
      <c r="NXZ112" s="38"/>
      <c r="NYA112" s="38"/>
      <c r="NYG112" s="36"/>
      <c r="NYH112" s="38"/>
      <c r="NYI112" s="38"/>
      <c r="NYO112" s="36"/>
      <c r="NYP112" s="38"/>
      <c r="NYQ112" s="38"/>
      <c r="NYW112" s="36"/>
      <c r="NYX112" s="38"/>
      <c r="NYY112" s="38"/>
      <c r="NZE112" s="36"/>
      <c r="NZF112" s="38"/>
      <c r="NZG112" s="38"/>
      <c r="NZM112" s="36"/>
      <c r="NZN112" s="38"/>
      <c r="NZO112" s="38"/>
      <c r="NZU112" s="36"/>
      <c r="NZV112" s="38"/>
      <c r="NZW112" s="38"/>
      <c r="OAC112" s="36"/>
      <c r="OAD112" s="38"/>
      <c r="OAE112" s="38"/>
      <c r="OAK112" s="36"/>
      <c r="OAL112" s="38"/>
      <c r="OAM112" s="38"/>
      <c r="OAS112" s="36"/>
      <c r="OAT112" s="38"/>
      <c r="OAU112" s="38"/>
      <c r="OBA112" s="36"/>
      <c r="OBB112" s="38"/>
      <c r="OBC112" s="38"/>
      <c r="OBI112" s="36"/>
      <c r="OBJ112" s="38"/>
      <c r="OBK112" s="38"/>
      <c r="OBQ112" s="36"/>
      <c r="OBR112" s="38"/>
      <c r="OBS112" s="38"/>
      <c r="OBY112" s="36"/>
      <c r="OBZ112" s="38"/>
      <c r="OCA112" s="38"/>
      <c r="OCG112" s="36"/>
      <c r="OCH112" s="38"/>
      <c r="OCI112" s="38"/>
      <c r="OCO112" s="36"/>
      <c r="OCP112" s="38"/>
      <c r="OCQ112" s="38"/>
      <c r="OCW112" s="36"/>
      <c r="OCX112" s="38"/>
      <c r="OCY112" s="38"/>
      <c r="ODE112" s="36"/>
      <c r="ODF112" s="38"/>
      <c r="ODG112" s="38"/>
      <c r="ODM112" s="36"/>
      <c r="ODN112" s="38"/>
      <c r="ODO112" s="38"/>
      <c r="ODU112" s="36"/>
      <c r="ODV112" s="38"/>
      <c r="ODW112" s="38"/>
      <c r="OEC112" s="36"/>
      <c r="OED112" s="38"/>
      <c r="OEE112" s="38"/>
      <c r="OEK112" s="36"/>
      <c r="OEL112" s="38"/>
      <c r="OEM112" s="38"/>
      <c r="OES112" s="36"/>
      <c r="OET112" s="38"/>
      <c r="OEU112" s="38"/>
      <c r="OFA112" s="36"/>
      <c r="OFB112" s="38"/>
      <c r="OFC112" s="38"/>
      <c r="OFI112" s="36"/>
      <c r="OFJ112" s="38"/>
      <c r="OFK112" s="38"/>
      <c r="OFQ112" s="36"/>
      <c r="OFR112" s="38"/>
      <c r="OFS112" s="38"/>
      <c r="OFY112" s="36"/>
      <c r="OFZ112" s="38"/>
      <c r="OGA112" s="38"/>
      <c r="OGG112" s="36"/>
      <c r="OGH112" s="38"/>
      <c r="OGI112" s="38"/>
      <c r="OGO112" s="36"/>
      <c r="OGP112" s="38"/>
      <c r="OGQ112" s="38"/>
      <c r="OGW112" s="36"/>
      <c r="OGX112" s="38"/>
      <c r="OGY112" s="38"/>
      <c r="OHE112" s="36"/>
      <c r="OHF112" s="38"/>
      <c r="OHG112" s="38"/>
      <c r="OHM112" s="36"/>
      <c r="OHN112" s="38"/>
      <c r="OHO112" s="38"/>
      <c r="OHU112" s="36"/>
      <c r="OHV112" s="38"/>
      <c r="OHW112" s="38"/>
      <c r="OIC112" s="36"/>
      <c r="OID112" s="38"/>
      <c r="OIE112" s="38"/>
      <c r="OIK112" s="36"/>
      <c r="OIL112" s="38"/>
      <c r="OIM112" s="38"/>
      <c r="OIS112" s="36"/>
      <c r="OIT112" s="38"/>
      <c r="OIU112" s="38"/>
      <c r="OJA112" s="36"/>
      <c r="OJB112" s="38"/>
      <c r="OJC112" s="38"/>
      <c r="OJI112" s="36"/>
      <c r="OJJ112" s="38"/>
      <c r="OJK112" s="38"/>
      <c r="OJQ112" s="36"/>
      <c r="OJR112" s="38"/>
      <c r="OJS112" s="38"/>
      <c r="OJY112" s="36"/>
      <c r="OJZ112" s="38"/>
      <c r="OKA112" s="38"/>
      <c r="OKG112" s="36"/>
      <c r="OKH112" s="38"/>
      <c r="OKI112" s="38"/>
      <c r="OKO112" s="36"/>
      <c r="OKP112" s="38"/>
      <c r="OKQ112" s="38"/>
      <c r="OKW112" s="36"/>
      <c r="OKX112" s="38"/>
      <c r="OKY112" s="38"/>
      <c r="OLE112" s="36"/>
      <c r="OLF112" s="38"/>
      <c r="OLG112" s="38"/>
      <c r="OLM112" s="36"/>
      <c r="OLN112" s="38"/>
      <c r="OLO112" s="38"/>
      <c r="OLU112" s="36"/>
      <c r="OLV112" s="38"/>
      <c r="OLW112" s="38"/>
      <c r="OMC112" s="36"/>
      <c r="OMD112" s="38"/>
      <c r="OME112" s="38"/>
      <c r="OMK112" s="36"/>
      <c r="OML112" s="38"/>
      <c r="OMM112" s="38"/>
      <c r="OMS112" s="36"/>
      <c r="OMT112" s="38"/>
      <c r="OMU112" s="38"/>
      <c r="ONA112" s="36"/>
      <c r="ONB112" s="38"/>
      <c r="ONC112" s="38"/>
      <c r="ONI112" s="36"/>
      <c r="ONJ112" s="38"/>
      <c r="ONK112" s="38"/>
      <c r="ONQ112" s="36"/>
      <c r="ONR112" s="38"/>
      <c r="ONS112" s="38"/>
      <c r="ONY112" s="36"/>
      <c r="ONZ112" s="38"/>
      <c r="OOA112" s="38"/>
      <c r="OOG112" s="36"/>
      <c r="OOH112" s="38"/>
      <c r="OOI112" s="38"/>
      <c r="OOO112" s="36"/>
      <c r="OOP112" s="38"/>
      <c r="OOQ112" s="38"/>
      <c r="OOW112" s="36"/>
      <c r="OOX112" s="38"/>
      <c r="OOY112" s="38"/>
      <c r="OPE112" s="36"/>
      <c r="OPF112" s="38"/>
      <c r="OPG112" s="38"/>
      <c r="OPM112" s="36"/>
      <c r="OPN112" s="38"/>
      <c r="OPO112" s="38"/>
      <c r="OPU112" s="36"/>
      <c r="OPV112" s="38"/>
      <c r="OPW112" s="38"/>
      <c r="OQC112" s="36"/>
      <c r="OQD112" s="38"/>
      <c r="OQE112" s="38"/>
      <c r="OQK112" s="36"/>
      <c r="OQL112" s="38"/>
      <c r="OQM112" s="38"/>
      <c r="OQS112" s="36"/>
      <c r="OQT112" s="38"/>
      <c r="OQU112" s="38"/>
      <c r="ORA112" s="36"/>
      <c r="ORB112" s="38"/>
      <c r="ORC112" s="38"/>
      <c r="ORI112" s="36"/>
      <c r="ORJ112" s="38"/>
      <c r="ORK112" s="38"/>
      <c r="ORQ112" s="36"/>
      <c r="ORR112" s="38"/>
      <c r="ORS112" s="38"/>
      <c r="ORY112" s="36"/>
      <c r="ORZ112" s="38"/>
      <c r="OSA112" s="38"/>
      <c r="OSG112" s="36"/>
      <c r="OSH112" s="38"/>
      <c r="OSI112" s="38"/>
      <c r="OSO112" s="36"/>
      <c r="OSP112" s="38"/>
      <c r="OSQ112" s="38"/>
      <c r="OSW112" s="36"/>
      <c r="OSX112" s="38"/>
      <c r="OSY112" s="38"/>
      <c r="OTE112" s="36"/>
      <c r="OTF112" s="38"/>
      <c r="OTG112" s="38"/>
      <c r="OTM112" s="36"/>
      <c r="OTN112" s="38"/>
      <c r="OTO112" s="38"/>
      <c r="OTU112" s="36"/>
      <c r="OTV112" s="38"/>
      <c r="OTW112" s="38"/>
      <c r="OUC112" s="36"/>
      <c r="OUD112" s="38"/>
      <c r="OUE112" s="38"/>
      <c r="OUK112" s="36"/>
      <c r="OUL112" s="38"/>
      <c r="OUM112" s="38"/>
      <c r="OUS112" s="36"/>
      <c r="OUT112" s="38"/>
      <c r="OUU112" s="38"/>
      <c r="OVA112" s="36"/>
      <c r="OVB112" s="38"/>
      <c r="OVC112" s="38"/>
      <c r="OVI112" s="36"/>
      <c r="OVJ112" s="38"/>
      <c r="OVK112" s="38"/>
      <c r="OVQ112" s="36"/>
      <c r="OVR112" s="38"/>
      <c r="OVS112" s="38"/>
      <c r="OVY112" s="36"/>
      <c r="OVZ112" s="38"/>
      <c r="OWA112" s="38"/>
      <c r="OWG112" s="36"/>
      <c r="OWH112" s="38"/>
      <c r="OWI112" s="38"/>
      <c r="OWO112" s="36"/>
      <c r="OWP112" s="38"/>
      <c r="OWQ112" s="38"/>
      <c r="OWW112" s="36"/>
      <c r="OWX112" s="38"/>
      <c r="OWY112" s="38"/>
      <c r="OXE112" s="36"/>
      <c r="OXF112" s="38"/>
      <c r="OXG112" s="38"/>
      <c r="OXM112" s="36"/>
      <c r="OXN112" s="38"/>
      <c r="OXO112" s="38"/>
      <c r="OXU112" s="36"/>
      <c r="OXV112" s="38"/>
      <c r="OXW112" s="38"/>
      <c r="OYC112" s="36"/>
      <c r="OYD112" s="38"/>
      <c r="OYE112" s="38"/>
      <c r="OYK112" s="36"/>
      <c r="OYL112" s="38"/>
      <c r="OYM112" s="38"/>
      <c r="OYS112" s="36"/>
      <c r="OYT112" s="38"/>
      <c r="OYU112" s="38"/>
      <c r="OZA112" s="36"/>
      <c r="OZB112" s="38"/>
      <c r="OZC112" s="38"/>
      <c r="OZI112" s="36"/>
      <c r="OZJ112" s="38"/>
      <c r="OZK112" s="38"/>
      <c r="OZQ112" s="36"/>
      <c r="OZR112" s="38"/>
      <c r="OZS112" s="38"/>
      <c r="OZY112" s="36"/>
      <c r="OZZ112" s="38"/>
      <c r="PAA112" s="38"/>
      <c r="PAG112" s="36"/>
      <c r="PAH112" s="38"/>
      <c r="PAI112" s="38"/>
      <c r="PAO112" s="36"/>
      <c r="PAP112" s="38"/>
      <c r="PAQ112" s="38"/>
      <c r="PAW112" s="36"/>
      <c r="PAX112" s="38"/>
      <c r="PAY112" s="38"/>
      <c r="PBE112" s="36"/>
      <c r="PBF112" s="38"/>
      <c r="PBG112" s="38"/>
      <c r="PBM112" s="36"/>
      <c r="PBN112" s="38"/>
      <c r="PBO112" s="38"/>
      <c r="PBU112" s="36"/>
      <c r="PBV112" s="38"/>
      <c r="PBW112" s="38"/>
      <c r="PCC112" s="36"/>
      <c r="PCD112" s="38"/>
      <c r="PCE112" s="38"/>
      <c r="PCK112" s="36"/>
      <c r="PCL112" s="38"/>
      <c r="PCM112" s="38"/>
      <c r="PCS112" s="36"/>
      <c r="PCT112" s="38"/>
      <c r="PCU112" s="38"/>
      <c r="PDA112" s="36"/>
      <c r="PDB112" s="38"/>
      <c r="PDC112" s="38"/>
      <c r="PDI112" s="36"/>
      <c r="PDJ112" s="38"/>
      <c r="PDK112" s="38"/>
      <c r="PDQ112" s="36"/>
      <c r="PDR112" s="38"/>
      <c r="PDS112" s="38"/>
      <c r="PDY112" s="36"/>
      <c r="PDZ112" s="38"/>
      <c r="PEA112" s="38"/>
      <c r="PEG112" s="36"/>
      <c r="PEH112" s="38"/>
      <c r="PEI112" s="38"/>
      <c r="PEO112" s="36"/>
      <c r="PEP112" s="38"/>
      <c r="PEQ112" s="38"/>
      <c r="PEW112" s="36"/>
      <c r="PEX112" s="38"/>
      <c r="PEY112" s="38"/>
      <c r="PFE112" s="36"/>
      <c r="PFF112" s="38"/>
      <c r="PFG112" s="38"/>
      <c r="PFM112" s="36"/>
      <c r="PFN112" s="38"/>
      <c r="PFO112" s="38"/>
      <c r="PFU112" s="36"/>
      <c r="PFV112" s="38"/>
      <c r="PFW112" s="38"/>
      <c r="PGC112" s="36"/>
      <c r="PGD112" s="38"/>
      <c r="PGE112" s="38"/>
      <c r="PGK112" s="36"/>
      <c r="PGL112" s="38"/>
      <c r="PGM112" s="38"/>
      <c r="PGS112" s="36"/>
      <c r="PGT112" s="38"/>
      <c r="PGU112" s="38"/>
      <c r="PHA112" s="36"/>
      <c r="PHB112" s="38"/>
      <c r="PHC112" s="38"/>
      <c r="PHI112" s="36"/>
      <c r="PHJ112" s="38"/>
      <c r="PHK112" s="38"/>
      <c r="PHQ112" s="36"/>
      <c r="PHR112" s="38"/>
      <c r="PHS112" s="38"/>
      <c r="PHY112" s="36"/>
      <c r="PHZ112" s="38"/>
      <c r="PIA112" s="38"/>
      <c r="PIG112" s="36"/>
      <c r="PIH112" s="38"/>
      <c r="PII112" s="38"/>
      <c r="PIO112" s="36"/>
      <c r="PIP112" s="38"/>
      <c r="PIQ112" s="38"/>
      <c r="PIW112" s="36"/>
      <c r="PIX112" s="38"/>
      <c r="PIY112" s="38"/>
      <c r="PJE112" s="36"/>
      <c r="PJF112" s="38"/>
      <c r="PJG112" s="38"/>
      <c r="PJM112" s="36"/>
      <c r="PJN112" s="38"/>
      <c r="PJO112" s="38"/>
      <c r="PJU112" s="36"/>
      <c r="PJV112" s="38"/>
      <c r="PJW112" s="38"/>
      <c r="PKC112" s="36"/>
      <c r="PKD112" s="38"/>
      <c r="PKE112" s="38"/>
      <c r="PKK112" s="36"/>
      <c r="PKL112" s="38"/>
      <c r="PKM112" s="38"/>
      <c r="PKS112" s="36"/>
      <c r="PKT112" s="38"/>
      <c r="PKU112" s="38"/>
      <c r="PLA112" s="36"/>
      <c r="PLB112" s="38"/>
      <c r="PLC112" s="38"/>
      <c r="PLI112" s="36"/>
      <c r="PLJ112" s="38"/>
      <c r="PLK112" s="38"/>
      <c r="PLQ112" s="36"/>
      <c r="PLR112" s="38"/>
      <c r="PLS112" s="38"/>
      <c r="PLY112" s="36"/>
      <c r="PLZ112" s="38"/>
      <c r="PMA112" s="38"/>
      <c r="PMG112" s="36"/>
      <c r="PMH112" s="38"/>
      <c r="PMI112" s="38"/>
      <c r="PMO112" s="36"/>
      <c r="PMP112" s="38"/>
      <c r="PMQ112" s="38"/>
      <c r="PMW112" s="36"/>
      <c r="PMX112" s="38"/>
      <c r="PMY112" s="38"/>
      <c r="PNE112" s="36"/>
      <c r="PNF112" s="38"/>
      <c r="PNG112" s="38"/>
      <c r="PNM112" s="36"/>
      <c r="PNN112" s="38"/>
      <c r="PNO112" s="38"/>
      <c r="PNU112" s="36"/>
      <c r="PNV112" s="38"/>
      <c r="PNW112" s="38"/>
      <c r="POC112" s="36"/>
      <c r="POD112" s="38"/>
      <c r="POE112" s="38"/>
      <c r="POK112" s="36"/>
      <c r="POL112" s="38"/>
      <c r="POM112" s="38"/>
      <c r="POS112" s="36"/>
      <c r="POT112" s="38"/>
      <c r="POU112" s="38"/>
      <c r="PPA112" s="36"/>
      <c r="PPB112" s="38"/>
      <c r="PPC112" s="38"/>
      <c r="PPI112" s="36"/>
      <c r="PPJ112" s="38"/>
      <c r="PPK112" s="38"/>
      <c r="PPQ112" s="36"/>
      <c r="PPR112" s="38"/>
      <c r="PPS112" s="38"/>
      <c r="PPY112" s="36"/>
      <c r="PPZ112" s="38"/>
      <c r="PQA112" s="38"/>
      <c r="PQG112" s="36"/>
      <c r="PQH112" s="38"/>
      <c r="PQI112" s="38"/>
      <c r="PQO112" s="36"/>
      <c r="PQP112" s="38"/>
      <c r="PQQ112" s="38"/>
      <c r="PQW112" s="36"/>
      <c r="PQX112" s="38"/>
      <c r="PQY112" s="38"/>
      <c r="PRE112" s="36"/>
      <c r="PRF112" s="38"/>
      <c r="PRG112" s="38"/>
      <c r="PRM112" s="36"/>
      <c r="PRN112" s="38"/>
      <c r="PRO112" s="38"/>
      <c r="PRU112" s="36"/>
      <c r="PRV112" s="38"/>
      <c r="PRW112" s="38"/>
      <c r="PSC112" s="36"/>
      <c r="PSD112" s="38"/>
      <c r="PSE112" s="38"/>
      <c r="PSK112" s="36"/>
      <c r="PSL112" s="38"/>
      <c r="PSM112" s="38"/>
      <c r="PSS112" s="36"/>
      <c r="PST112" s="38"/>
      <c r="PSU112" s="38"/>
      <c r="PTA112" s="36"/>
      <c r="PTB112" s="38"/>
      <c r="PTC112" s="38"/>
      <c r="PTI112" s="36"/>
      <c r="PTJ112" s="38"/>
      <c r="PTK112" s="38"/>
      <c r="PTQ112" s="36"/>
      <c r="PTR112" s="38"/>
      <c r="PTS112" s="38"/>
      <c r="PTY112" s="36"/>
      <c r="PTZ112" s="38"/>
      <c r="PUA112" s="38"/>
      <c r="PUG112" s="36"/>
      <c r="PUH112" s="38"/>
      <c r="PUI112" s="38"/>
      <c r="PUO112" s="36"/>
      <c r="PUP112" s="38"/>
      <c r="PUQ112" s="38"/>
      <c r="PUW112" s="36"/>
      <c r="PUX112" s="38"/>
      <c r="PUY112" s="38"/>
      <c r="PVE112" s="36"/>
      <c r="PVF112" s="38"/>
      <c r="PVG112" s="38"/>
      <c r="PVM112" s="36"/>
      <c r="PVN112" s="38"/>
      <c r="PVO112" s="38"/>
      <c r="PVU112" s="36"/>
      <c r="PVV112" s="38"/>
      <c r="PVW112" s="38"/>
      <c r="PWC112" s="36"/>
      <c r="PWD112" s="38"/>
      <c r="PWE112" s="38"/>
      <c r="PWK112" s="36"/>
      <c r="PWL112" s="38"/>
      <c r="PWM112" s="38"/>
      <c r="PWS112" s="36"/>
      <c r="PWT112" s="38"/>
      <c r="PWU112" s="38"/>
      <c r="PXA112" s="36"/>
      <c r="PXB112" s="38"/>
      <c r="PXC112" s="38"/>
      <c r="PXI112" s="36"/>
      <c r="PXJ112" s="38"/>
      <c r="PXK112" s="38"/>
      <c r="PXQ112" s="36"/>
      <c r="PXR112" s="38"/>
      <c r="PXS112" s="38"/>
      <c r="PXY112" s="36"/>
      <c r="PXZ112" s="38"/>
      <c r="PYA112" s="38"/>
      <c r="PYG112" s="36"/>
      <c r="PYH112" s="38"/>
      <c r="PYI112" s="38"/>
      <c r="PYO112" s="36"/>
      <c r="PYP112" s="38"/>
      <c r="PYQ112" s="38"/>
      <c r="PYW112" s="36"/>
      <c r="PYX112" s="38"/>
      <c r="PYY112" s="38"/>
      <c r="PZE112" s="36"/>
      <c r="PZF112" s="38"/>
      <c r="PZG112" s="38"/>
      <c r="PZM112" s="36"/>
      <c r="PZN112" s="38"/>
      <c r="PZO112" s="38"/>
      <c r="PZU112" s="36"/>
      <c r="PZV112" s="38"/>
      <c r="PZW112" s="38"/>
      <c r="QAC112" s="36"/>
      <c r="QAD112" s="38"/>
      <c r="QAE112" s="38"/>
      <c r="QAK112" s="36"/>
      <c r="QAL112" s="38"/>
      <c r="QAM112" s="38"/>
      <c r="QAS112" s="36"/>
      <c r="QAT112" s="38"/>
      <c r="QAU112" s="38"/>
      <c r="QBA112" s="36"/>
      <c r="QBB112" s="38"/>
      <c r="QBC112" s="38"/>
      <c r="QBI112" s="36"/>
      <c r="QBJ112" s="38"/>
      <c r="QBK112" s="38"/>
      <c r="QBQ112" s="36"/>
      <c r="QBR112" s="38"/>
      <c r="QBS112" s="38"/>
      <c r="QBY112" s="36"/>
      <c r="QBZ112" s="38"/>
      <c r="QCA112" s="38"/>
      <c r="QCG112" s="36"/>
      <c r="QCH112" s="38"/>
      <c r="QCI112" s="38"/>
      <c r="QCO112" s="36"/>
      <c r="QCP112" s="38"/>
      <c r="QCQ112" s="38"/>
      <c r="QCW112" s="36"/>
      <c r="QCX112" s="38"/>
      <c r="QCY112" s="38"/>
      <c r="QDE112" s="36"/>
      <c r="QDF112" s="38"/>
      <c r="QDG112" s="38"/>
      <c r="QDM112" s="36"/>
      <c r="QDN112" s="38"/>
      <c r="QDO112" s="38"/>
      <c r="QDU112" s="36"/>
      <c r="QDV112" s="38"/>
      <c r="QDW112" s="38"/>
      <c r="QEC112" s="36"/>
      <c r="QED112" s="38"/>
      <c r="QEE112" s="38"/>
      <c r="QEK112" s="36"/>
      <c r="QEL112" s="38"/>
      <c r="QEM112" s="38"/>
      <c r="QES112" s="36"/>
      <c r="QET112" s="38"/>
      <c r="QEU112" s="38"/>
      <c r="QFA112" s="36"/>
      <c r="QFB112" s="38"/>
      <c r="QFC112" s="38"/>
      <c r="QFI112" s="36"/>
      <c r="QFJ112" s="38"/>
      <c r="QFK112" s="38"/>
      <c r="QFQ112" s="36"/>
      <c r="QFR112" s="38"/>
      <c r="QFS112" s="38"/>
      <c r="QFY112" s="36"/>
      <c r="QFZ112" s="38"/>
      <c r="QGA112" s="38"/>
      <c r="QGG112" s="36"/>
      <c r="QGH112" s="38"/>
      <c r="QGI112" s="38"/>
      <c r="QGO112" s="36"/>
      <c r="QGP112" s="38"/>
      <c r="QGQ112" s="38"/>
      <c r="QGW112" s="36"/>
      <c r="QGX112" s="38"/>
      <c r="QGY112" s="38"/>
      <c r="QHE112" s="36"/>
      <c r="QHF112" s="38"/>
      <c r="QHG112" s="38"/>
      <c r="QHM112" s="36"/>
      <c r="QHN112" s="38"/>
      <c r="QHO112" s="38"/>
      <c r="QHU112" s="36"/>
      <c r="QHV112" s="38"/>
      <c r="QHW112" s="38"/>
      <c r="QIC112" s="36"/>
      <c r="QID112" s="38"/>
      <c r="QIE112" s="38"/>
      <c r="QIK112" s="36"/>
      <c r="QIL112" s="38"/>
      <c r="QIM112" s="38"/>
      <c r="QIS112" s="36"/>
      <c r="QIT112" s="38"/>
      <c r="QIU112" s="38"/>
      <c r="QJA112" s="36"/>
      <c r="QJB112" s="38"/>
      <c r="QJC112" s="38"/>
      <c r="QJI112" s="36"/>
      <c r="QJJ112" s="38"/>
      <c r="QJK112" s="38"/>
      <c r="QJQ112" s="36"/>
      <c r="QJR112" s="38"/>
      <c r="QJS112" s="38"/>
      <c r="QJY112" s="36"/>
      <c r="QJZ112" s="38"/>
      <c r="QKA112" s="38"/>
      <c r="QKG112" s="36"/>
      <c r="QKH112" s="38"/>
      <c r="QKI112" s="38"/>
      <c r="QKO112" s="36"/>
      <c r="QKP112" s="38"/>
      <c r="QKQ112" s="38"/>
      <c r="QKW112" s="36"/>
      <c r="QKX112" s="38"/>
      <c r="QKY112" s="38"/>
      <c r="QLE112" s="36"/>
      <c r="QLF112" s="38"/>
      <c r="QLG112" s="38"/>
      <c r="QLM112" s="36"/>
      <c r="QLN112" s="38"/>
      <c r="QLO112" s="38"/>
      <c r="QLU112" s="36"/>
      <c r="QLV112" s="38"/>
      <c r="QLW112" s="38"/>
      <c r="QMC112" s="36"/>
      <c r="QMD112" s="38"/>
      <c r="QME112" s="38"/>
      <c r="QMK112" s="36"/>
      <c r="QML112" s="38"/>
      <c r="QMM112" s="38"/>
      <c r="QMS112" s="36"/>
      <c r="QMT112" s="38"/>
      <c r="QMU112" s="38"/>
      <c r="QNA112" s="36"/>
      <c r="QNB112" s="38"/>
      <c r="QNC112" s="38"/>
      <c r="QNI112" s="36"/>
      <c r="QNJ112" s="38"/>
      <c r="QNK112" s="38"/>
      <c r="QNQ112" s="36"/>
      <c r="QNR112" s="38"/>
      <c r="QNS112" s="38"/>
      <c r="QNY112" s="36"/>
      <c r="QNZ112" s="38"/>
      <c r="QOA112" s="38"/>
      <c r="QOG112" s="36"/>
      <c r="QOH112" s="38"/>
      <c r="QOI112" s="38"/>
      <c r="QOO112" s="36"/>
      <c r="QOP112" s="38"/>
      <c r="QOQ112" s="38"/>
      <c r="QOW112" s="36"/>
      <c r="QOX112" s="38"/>
      <c r="QOY112" s="38"/>
      <c r="QPE112" s="36"/>
      <c r="QPF112" s="38"/>
      <c r="QPG112" s="38"/>
      <c r="QPM112" s="36"/>
      <c r="QPN112" s="38"/>
      <c r="QPO112" s="38"/>
      <c r="QPU112" s="36"/>
      <c r="QPV112" s="38"/>
      <c r="QPW112" s="38"/>
      <c r="QQC112" s="36"/>
      <c r="QQD112" s="38"/>
      <c r="QQE112" s="38"/>
      <c r="QQK112" s="36"/>
      <c r="QQL112" s="38"/>
      <c r="QQM112" s="38"/>
      <c r="QQS112" s="36"/>
      <c r="QQT112" s="38"/>
      <c r="QQU112" s="38"/>
      <c r="QRA112" s="36"/>
      <c r="QRB112" s="38"/>
      <c r="QRC112" s="38"/>
      <c r="QRI112" s="36"/>
      <c r="QRJ112" s="38"/>
      <c r="QRK112" s="38"/>
      <c r="QRQ112" s="36"/>
      <c r="QRR112" s="38"/>
      <c r="QRS112" s="38"/>
      <c r="QRY112" s="36"/>
      <c r="QRZ112" s="38"/>
      <c r="QSA112" s="38"/>
      <c r="QSG112" s="36"/>
      <c r="QSH112" s="38"/>
      <c r="QSI112" s="38"/>
      <c r="QSO112" s="36"/>
      <c r="QSP112" s="38"/>
      <c r="QSQ112" s="38"/>
      <c r="QSW112" s="36"/>
      <c r="QSX112" s="38"/>
      <c r="QSY112" s="38"/>
      <c r="QTE112" s="36"/>
      <c r="QTF112" s="38"/>
      <c r="QTG112" s="38"/>
      <c r="QTM112" s="36"/>
      <c r="QTN112" s="38"/>
      <c r="QTO112" s="38"/>
      <c r="QTU112" s="36"/>
      <c r="QTV112" s="38"/>
      <c r="QTW112" s="38"/>
      <c r="QUC112" s="36"/>
      <c r="QUD112" s="38"/>
      <c r="QUE112" s="38"/>
      <c r="QUK112" s="36"/>
      <c r="QUL112" s="38"/>
      <c r="QUM112" s="38"/>
      <c r="QUS112" s="36"/>
      <c r="QUT112" s="38"/>
      <c r="QUU112" s="38"/>
      <c r="QVA112" s="36"/>
      <c r="QVB112" s="38"/>
      <c r="QVC112" s="38"/>
      <c r="QVI112" s="36"/>
      <c r="QVJ112" s="38"/>
      <c r="QVK112" s="38"/>
      <c r="QVQ112" s="36"/>
      <c r="QVR112" s="38"/>
      <c r="QVS112" s="38"/>
      <c r="QVY112" s="36"/>
      <c r="QVZ112" s="38"/>
      <c r="QWA112" s="38"/>
      <c r="QWG112" s="36"/>
      <c r="QWH112" s="38"/>
      <c r="QWI112" s="38"/>
      <c r="QWO112" s="36"/>
      <c r="QWP112" s="38"/>
      <c r="QWQ112" s="38"/>
      <c r="QWW112" s="36"/>
      <c r="QWX112" s="38"/>
      <c r="QWY112" s="38"/>
      <c r="QXE112" s="36"/>
      <c r="QXF112" s="38"/>
      <c r="QXG112" s="38"/>
      <c r="QXM112" s="36"/>
      <c r="QXN112" s="38"/>
      <c r="QXO112" s="38"/>
      <c r="QXU112" s="36"/>
      <c r="QXV112" s="38"/>
      <c r="QXW112" s="38"/>
      <c r="QYC112" s="36"/>
      <c r="QYD112" s="38"/>
      <c r="QYE112" s="38"/>
      <c r="QYK112" s="36"/>
      <c r="QYL112" s="38"/>
      <c r="QYM112" s="38"/>
      <c r="QYS112" s="36"/>
      <c r="QYT112" s="38"/>
      <c r="QYU112" s="38"/>
      <c r="QZA112" s="36"/>
      <c r="QZB112" s="38"/>
      <c r="QZC112" s="38"/>
      <c r="QZI112" s="36"/>
      <c r="QZJ112" s="38"/>
      <c r="QZK112" s="38"/>
      <c r="QZQ112" s="36"/>
      <c r="QZR112" s="38"/>
      <c r="QZS112" s="38"/>
      <c r="QZY112" s="36"/>
      <c r="QZZ112" s="38"/>
      <c r="RAA112" s="38"/>
      <c r="RAG112" s="36"/>
      <c r="RAH112" s="38"/>
      <c r="RAI112" s="38"/>
      <c r="RAO112" s="36"/>
      <c r="RAP112" s="38"/>
      <c r="RAQ112" s="38"/>
      <c r="RAW112" s="36"/>
      <c r="RAX112" s="38"/>
      <c r="RAY112" s="38"/>
      <c r="RBE112" s="36"/>
      <c r="RBF112" s="38"/>
      <c r="RBG112" s="38"/>
      <c r="RBM112" s="36"/>
      <c r="RBN112" s="38"/>
      <c r="RBO112" s="38"/>
      <c r="RBU112" s="36"/>
      <c r="RBV112" s="38"/>
      <c r="RBW112" s="38"/>
      <c r="RCC112" s="36"/>
      <c r="RCD112" s="38"/>
      <c r="RCE112" s="38"/>
      <c r="RCK112" s="36"/>
      <c r="RCL112" s="38"/>
      <c r="RCM112" s="38"/>
      <c r="RCS112" s="36"/>
      <c r="RCT112" s="38"/>
      <c r="RCU112" s="38"/>
      <c r="RDA112" s="36"/>
      <c r="RDB112" s="38"/>
      <c r="RDC112" s="38"/>
      <c r="RDI112" s="36"/>
      <c r="RDJ112" s="38"/>
      <c r="RDK112" s="38"/>
      <c r="RDQ112" s="36"/>
      <c r="RDR112" s="38"/>
      <c r="RDS112" s="38"/>
      <c r="RDY112" s="36"/>
      <c r="RDZ112" s="38"/>
      <c r="REA112" s="38"/>
      <c r="REG112" s="36"/>
      <c r="REH112" s="38"/>
      <c r="REI112" s="38"/>
      <c r="REO112" s="36"/>
      <c r="REP112" s="38"/>
      <c r="REQ112" s="38"/>
      <c r="REW112" s="36"/>
      <c r="REX112" s="38"/>
      <c r="REY112" s="38"/>
      <c r="RFE112" s="36"/>
      <c r="RFF112" s="38"/>
      <c r="RFG112" s="38"/>
      <c r="RFM112" s="36"/>
      <c r="RFN112" s="38"/>
      <c r="RFO112" s="38"/>
      <c r="RFU112" s="36"/>
      <c r="RFV112" s="38"/>
      <c r="RFW112" s="38"/>
      <c r="RGC112" s="36"/>
      <c r="RGD112" s="38"/>
      <c r="RGE112" s="38"/>
      <c r="RGK112" s="36"/>
      <c r="RGL112" s="38"/>
      <c r="RGM112" s="38"/>
      <c r="RGS112" s="36"/>
      <c r="RGT112" s="38"/>
      <c r="RGU112" s="38"/>
      <c r="RHA112" s="36"/>
      <c r="RHB112" s="38"/>
      <c r="RHC112" s="38"/>
      <c r="RHI112" s="36"/>
      <c r="RHJ112" s="38"/>
      <c r="RHK112" s="38"/>
      <c r="RHQ112" s="36"/>
      <c r="RHR112" s="38"/>
      <c r="RHS112" s="38"/>
      <c r="RHY112" s="36"/>
      <c r="RHZ112" s="38"/>
      <c r="RIA112" s="38"/>
      <c r="RIG112" s="36"/>
      <c r="RIH112" s="38"/>
      <c r="RII112" s="38"/>
      <c r="RIO112" s="36"/>
      <c r="RIP112" s="38"/>
      <c r="RIQ112" s="38"/>
      <c r="RIW112" s="36"/>
      <c r="RIX112" s="38"/>
      <c r="RIY112" s="38"/>
      <c r="RJE112" s="36"/>
      <c r="RJF112" s="38"/>
      <c r="RJG112" s="38"/>
      <c r="RJM112" s="36"/>
      <c r="RJN112" s="38"/>
      <c r="RJO112" s="38"/>
      <c r="RJU112" s="36"/>
      <c r="RJV112" s="38"/>
      <c r="RJW112" s="38"/>
      <c r="RKC112" s="36"/>
      <c r="RKD112" s="38"/>
      <c r="RKE112" s="38"/>
      <c r="RKK112" s="36"/>
      <c r="RKL112" s="38"/>
      <c r="RKM112" s="38"/>
      <c r="RKS112" s="36"/>
      <c r="RKT112" s="38"/>
      <c r="RKU112" s="38"/>
      <c r="RLA112" s="36"/>
      <c r="RLB112" s="38"/>
      <c r="RLC112" s="38"/>
      <c r="RLI112" s="36"/>
      <c r="RLJ112" s="38"/>
      <c r="RLK112" s="38"/>
      <c r="RLQ112" s="36"/>
      <c r="RLR112" s="38"/>
      <c r="RLS112" s="38"/>
      <c r="RLY112" s="36"/>
      <c r="RLZ112" s="38"/>
      <c r="RMA112" s="38"/>
      <c r="RMG112" s="36"/>
      <c r="RMH112" s="38"/>
      <c r="RMI112" s="38"/>
      <c r="RMO112" s="36"/>
      <c r="RMP112" s="38"/>
      <c r="RMQ112" s="38"/>
      <c r="RMW112" s="36"/>
      <c r="RMX112" s="38"/>
      <c r="RMY112" s="38"/>
      <c r="RNE112" s="36"/>
      <c r="RNF112" s="38"/>
      <c r="RNG112" s="38"/>
      <c r="RNM112" s="36"/>
      <c r="RNN112" s="38"/>
      <c r="RNO112" s="38"/>
      <c r="RNU112" s="36"/>
      <c r="RNV112" s="38"/>
      <c r="RNW112" s="38"/>
      <c r="ROC112" s="36"/>
      <c r="ROD112" s="38"/>
      <c r="ROE112" s="38"/>
      <c r="ROK112" s="36"/>
      <c r="ROL112" s="38"/>
      <c r="ROM112" s="38"/>
      <c r="ROS112" s="36"/>
      <c r="ROT112" s="38"/>
      <c r="ROU112" s="38"/>
      <c r="RPA112" s="36"/>
      <c r="RPB112" s="38"/>
      <c r="RPC112" s="38"/>
      <c r="RPI112" s="36"/>
      <c r="RPJ112" s="38"/>
      <c r="RPK112" s="38"/>
      <c r="RPQ112" s="36"/>
      <c r="RPR112" s="38"/>
      <c r="RPS112" s="38"/>
      <c r="RPY112" s="36"/>
      <c r="RPZ112" s="38"/>
      <c r="RQA112" s="38"/>
      <c r="RQG112" s="36"/>
      <c r="RQH112" s="38"/>
      <c r="RQI112" s="38"/>
      <c r="RQO112" s="36"/>
      <c r="RQP112" s="38"/>
      <c r="RQQ112" s="38"/>
      <c r="RQW112" s="36"/>
      <c r="RQX112" s="38"/>
      <c r="RQY112" s="38"/>
      <c r="RRE112" s="36"/>
      <c r="RRF112" s="38"/>
      <c r="RRG112" s="38"/>
      <c r="RRM112" s="36"/>
      <c r="RRN112" s="38"/>
      <c r="RRO112" s="38"/>
      <c r="RRU112" s="36"/>
      <c r="RRV112" s="38"/>
      <c r="RRW112" s="38"/>
      <c r="RSC112" s="36"/>
      <c r="RSD112" s="38"/>
      <c r="RSE112" s="38"/>
      <c r="RSK112" s="36"/>
      <c r="RSL112" s="38"/>
      <c r="RSM112" s="38"/>
      <c r="RSS112" s="36"/>
      <c r="RST112" s="38"/>
      <c r="RSU112" s="38"/>
      <c r="RTA112" s="36"/>
      <c r="RTB112" s="38"/>
      <c r="RTC112" s="38"/>
      <c r="RTI112" s="36"/>
      <c r="RTJ112" s="38"/>
      <c r="RTK112" s="38"/>
      <c r="RTQ112" s="36"/>
      <c r="RTR112" s="38"/>
      <c r="RTS112" s="38"/>
      <c r="RTY112" s="36"/>
      <c r="RTZ112" s="38"/>
      <c r="RUA112" s="38"/>
      <c r="RUG112" s="36"/>
      <c r="RUH112" s="38"/>
      <c r="RUI112" s="38"/>
      <c r="RUO112" s="36"/>
      <c r="RUP112" s="38"/>
      <c r="RUQ112" s="38"/>
      <c r="RUW112" s="36"/>
      <c r="RUX112" s="38"/>
      <c r="RUY112" s="38"/>
      <c r="RVE112" s="36"/>
      <c r="RVF112" s="38"/>
      <c r="RVG112" s="38"/>
      <c r="RVM112" s="36"/>
      <c r="RVN112" s="38"/>
      <c r="RVO112" s="38"/>
      <c r="RVU112" s="36"/>
      <c r="RVV112" s="38"/>
      <c r="RVW112" s="38"/>
      <c r="RWC112" s="36"/>
      <c r="RWD112" s="38"/>
      <c r="RWE112" s="38"/>
      <c r="RWK112" s="36"/>
      <c r="RWL112" s="38"/>
      <c r="RWM112" s="38"/>
      <c r="RWS112" s="36"/>
      <c r="RWT112" s="38"/>
      <c r="RWU112" s="38"/>
      <c r="RXA112" s="36"/>
      <c r="RXB112" s="38"/>
      <c r="RXC112" s="38"/>
      <c r="RXI112" s="36"/>
      <c r="RXJ112" s="38"/>
      <c r="RXK112" s="38"/>
      <c r="RXQ112" s="36"/>
      <c r="RXR112" s="38"/>
      <c r="RXS112" s="38"/>
      <c r="RXY112" s="36"/>
      <c r="RXZ112" s="38"/>
      <c r="RYA112" s="38"/>
      <c r="RYG112" s="36"/>
      <c r="RYH112" s="38"/>
      <c r="RYI112" s="38"/>
      <c r="RYO112" s="36"/>
      <c r="RYP112" s="38"/>
      <c r="RYQ112" s="38"/>
      <c r="RYW112" s="36"/>
      <c r="RYX112" s="38"/>
      <c r="RYY112" s="38"/>
      <c r="RZE112" s="36"/>
      <c r="RZF112" s="38"/>
      <c r="RZG112" s="38"/>
      <c r="RZM112" s="36"/>
      <c r="RZN112" s="38"/>
      <c r="RZO112" s="38"/>
      <c r="RZU112" s="36"/>
      <c r="RZV112" s="38"/>
      <c r="RZW112" s="38"/>
      <c r="SAC112" s="36"/>
      <c r="SAD112" s="38"/>
      <c r="SAE112" s="38"/>
      <c r="SAK112" s="36"/>
      <c r="SAL112" s="38"/>
      <c r="SAM112" s="38"/>
      <c r="SAS112" s="36"/>
      <c r="SAT112" s="38"/>
      <c r="SAU112" s="38"/>
      <c r="SBA112" s="36"/>
      <c r="SBB112" s="38"/>
      <c r="SBC112" s="38"/>
      <c r="SBI112" s="36"/>
      <c r="SBJ112" s="38"/>
      <c r="SBK112" s="38"/>
      <c r="SBQ112" s="36"/>
      <c r="SBR112" s="38"/>
      <c r="SBS112" s="38"/>
      <c r="SBY112" s="36"/>
      <c r="SBZ112" s="38"/>
      <c r="SCA112" s="38"/>
      <c r="SCG112" s="36"/>
      <c r="SCH112" s="38"/>
      <c r="SCI112" s="38"/>
      <c r="SCO112" s="36"/>
      <c r="SCP112" s="38"/>
      <c r="SCQ112" s="38"/>
      <c r="SCW112" s="36"/>
      <c r="SCX112" s="38"/>
      <c r="SCY112" s="38"/>
      <c r="SDE112" s="36"/>
      <c r="SDF112" s="38"/>
      <c r="SDG112" s="38"/>
      <c r="SDM112" s="36"/>
      <c r="SDN112" s="38"/>
      <c r="SDO112" s="38"/>
      <c r="SDU112" s="36"/>
      <c r="SDV112" s="38"/>
      <c r="SDW112" s="38"/>
      <c r="SEC112" s="36"/>
      <c r="SED112" s="38"/>
      <c r="SEE112" s="38"/>
      <c r="SEK112" s="36"/>
      <c r="SEL112" s="38"/>
      <c r="SEM112" s="38"/>
      <c r="SES112" s="36"/>
      <c r="SET112" s="38"/>
      <c r="SEU112" s="38"/>
      <c r="SFA112" s="36"/>
      <c r="SFB112" s="38"/>
      <c r="SFC112" s="38"/>
      <c r="SFI112" s="36"/>
      <c r="SFJ112" s="38"/>
      <c r="SFK112" s="38"/>
      <c r="SFQ112" s="36"/>
      <c r="SFR112" s="38"/>
      <c r="SFS112" s="38"/>
      <c r="SFY112" s="36"/>
      <c r="SFZ112" s="38"/>
      <c r="SGA112" s="38"/>
      <c r="SGG112" s="36"/>
      <c r="SGH112" s="38"/>
      <c r="SGI112" s="38"/>
      <c r="SGO112" s="36"/>
      <c r="SGP112" s="38"/>
      <c r="SGQ112" s="38"/>
      <c r="SGW112" s="36"/>
      <c r="SGX112" s="38"/>
      <c r="SGY112" s="38"/>
      <c r="SHE112" s="36"/>
      <c r="SHF112" s="38"/>
      <c r="SHG112" s="38"/>
      <c r="SHM112" s="36"/>
      <c r="SHN112" s="38"/>
      <c r="SHO112" s="38"/>
      <c r="SHU112" s="36"/>
      <c r="SHV112" s="38"/>
      <c r="SHW112" s="38"/>
      <c r="SIC112" s="36"/>
      <c r="SID112" s="38"/>
      <c r="SIE112" s="38"/>
      <c r="SIK112" s="36"/>
      <c r="SIL112" s="38"/>
      <c r="SIM112" s="38"/>
      <c r="SIS112" s="36"/>
      <c r="SIT112" s="38"/>
      <c r="SIU112" s="38"/>
      <c r="SJA112" s="36"/>
      <c r="SJB112" s="38"/>
      <c r="SJC112" s="38"/>
      <c r="SJI112" s="36"/>
      <c r="SJJ112" s="38"/>
      <c r="SJK112" s="38"/>
      <c r="SJQ112" s="36"/>
      <c r="SJR112" s="38"/>
      <c r="SJS112" s="38"/>
      <c r="SJY112" s="36"/>
      <c r="SJZ112" s="38"/>
      <c r="SKA112" s="38"/>
      <c r="SKG112" s="36"/>
      <c r="SKH112" s="38"/>
      <c r="SKI112" s="38"/>
      <c r="SKO112" s="36"/>
      <c r="SKP112" s="38"/>
      <c r="SKQ112" s="38"/>
      <c r="SKW112" s="36"/>
      <c r="SKX112" s="38"/>
      <c r="SKY112" s="38"/>
      <c r="SLE112" s="36"/>
      <c r="SLF112" s="38"/>
      <c r="SLG112" s="38"/>
      <c r="SLM112" s="36"/>
      <c r="SLN112" s="38"/>
      <c r="SLO112" s="38"/>
      <c r="SLU112" s="36"/>
      <c r="SLV112" s="38"/>
      <c r="SLW112" s="38"/>
      <c r="SMC112" s="36"/>
      <c r="SMD112" s="38"/>
      <c r="SME112" s="38"/>
      <c r="SMK112" s="36"/>
      <c r="SML112" s="38"/>
      <c r="SMM112" s="38"/>
      <c r="SMS112" s="36"/>
      <c r="SMT112" s="38"/>
      <c r="SMU112" s="38"/>
      <c r="SNA112" s="36"/>
      <c r="SNB112" s="38"/>
      <c r="SNC112" s="38"/>
      <c r="SNI112" s="36"/>
      <c r="SNJ112" s="38"/>
      <c r="SNK112" s="38"/>
      <c r="SNQ112" s="36"/>
      <c r="SNR112" s="38"/>
      <c r="SNS112" s="38"/>
      <c r="SNY112" s="36"/>
      <c r="SNZ112" s="38"/>
      <c r="SOA112" s="38"/>
      <c r="SOG112" s="36"/>
      <c r="SOH112" s="38"/>
      <c r="SOI112" s="38"/>
      <c r="SOO112" s="36"/>
      <c r="SOP112" s="38"/>
      <c r="SOQ112" s="38"/>
      <c r="SOW112" s="36"/>
      <c r="SOX112" s="38"/>
      <c r="SOY112" s="38"/>
      <c r="SPE112" s="36"/>
      <c r="SPF112" s="38"/>
      <c r="SPG112" s="38"/>
      <c r="SPM112" s="36"/>
      <c r="SPN112" s="38"/>
      <c r="SPO112" s="38"/>
      <c r="SPU112" s="36"/>
      <c r="SPV112" s="38"/>
      <c r="SPW112" s="38"/>
      <c r="SQC112" s="36"/>
      <c r="SQD112" s="38"/>
      <c r="SQE112" s="38"/>
      <c r="SQK112" s="36"/>
      <c r="SQL112" s="38"/>
      <c r="SQM112" s="38"/>
      <c r="SQS112" s="36"/>
      <c r="SQT112" s="38"/>
      <c r="SQU112" s="38"/>
      <c r="SRA112" s="36"/>
      <c r="SRB112" s="38"/>
      <c r="SRC112" s="38"/>
      <c r="SRI112" s="36"/>
      <c r="SRJ112" s="38"/>
      <c r="SRK112" s="38"/>
      <c r="SRQ112" s="36"/>
      <c r="SRR112" s="38"/>
      <c r="SRS112" s="38"/>
      <c r="SRY112" s="36"/>
      <c r="SRZ112" s="38"/>
      <c r="SSA112" s="38"/>
      <c r="SSG112" s="36"/>
      <c r="SSH112" s="38"/>
      <c r="SSI112" s="38"/>
      <c r="SSO112" s="36"/>
      <c r="SSP112" s="38"/>
      <c r="SSQ112" s="38"/>
      <c r="SSW112" s="36"/>
      <c r="SSX112" s="38"/>
      <c r="SSY112" s="38"/>
      <c r="STE112" s="36"/>
      <c r="STF112" s="38"/>
      <c r="STG112" s="38"/>
      <c r="STM112" s="36"/>
      <c r="STN112" s="38"/>
      <c r="STO112" s="38"/>
      <c r="STU112" s="36"/>
      <c r="STV112" s="38"/>
      <c r="STW112" s="38"/>
      <c r="SUC112" s="36"/>
      <c r="SUD112" s="38"/>
      <c r="SUE112" s="38"/>
      <c r="SUK112" s="36"/>
      <c r="SUL112" s="38"/>
      <c r="SUM112" s="38"/>
      <c r="SUS112" s="36"/>
      <c r="SUT112" s="38"/>
      <c r="SUU112" s="38"/>
      <c r="SVA112" s="36"/>
      <c r="SVB112" s="38"/>
      <c r="SVC112" s="38"/>
      <c r="SVI112" s="36"/>
      <c r="SVJ112" s="38"/>
      <c r="SVK112" s="38"/>
      <c r="SVQ112" s="36"/>
      <c r="SVR112" s="38"/>
      <c r="SVS112" s="38"/>
      <c r="SVY112" s="36"/>
      <c r="SVZ112" s="38"/>
      <c r="SWA112" s="38"/>
      <c r="SWG112" s="36"/>
      <c r="SWH112" s="38"/>
      <c r="SWI112" s="38"/>
      <c r="SWO112" s="36"/>
      <c r="SWP112" s="38"/>
      <c r="SWQ112" s="38"/>
      <c r="SWW112" s="36"/>
      <c r="SWX112" s="38"/>
      <c r="SWY112" s="38"/>
      <c r="SXE112" s="36"/>
      <c r="SXF112" s="38"/>
      <c r="SXG112" s="38"/>
      <c r="SXM112" s="36"/>
      <c r="SXN112" s="38"/>
      <c r="SXO112" s="38"/>
      <c r="SXU112" s="36"/>
      <c r="SXV112" s="38"/>
      <c r="SXW112" s="38"/>
      <c r="SYC112" s="36"/>
      <c r="SYD112" s="38"/>
      <c r="SYE112" s="38"/>
      <c r="SYK112" s="36"/>
      <c r="SYL112" s="38"/>
      <c r="SYM112" s="38"/>
      <c r="SYS112" s="36"/>
      <c r="SYT112" s="38"/>
      <c r="SYU112" s="38"/>
      <c r="SZA112" s="36"/>
      <c r="SZB112" s="38"/>
      <c r="SZC112" s="38"/>
      <c r="SZI112" s="36"/>
      <c r="SZJ112" s="38"/>
      <c r="SZK112" s="38"/>
      <c r="SZQ112" s="36"/>
      <c r="SZR112" s="38"/>
      <c r="SZS112" s="38"/>
      <c r="SZY112" s="36"/>
      <c r="SZZ112" s="38"/>
      <c r="TAA112" s="38"/>
      <c r="TAG112" s="36"/>
      <c r="TAH112" s="38"/>
      <c r="TAI112" s="38"/>
      <c r="TAO112" s="36"/>
      <c r="TAP112" s="38"/>
      <c r="TAQ112" s="38"/>
      <c r="TAW112" s="36"/>
      <c r="TAX112" s="38"/>
      <c r="TAY112" s="38"/>
      <c r="TBE112" s="36"/>
      <c r="TBF112" s="38"/>
      <c r="TBG112" s="38"/>
      <c r="TBM112" s="36"/>
      <c r="TBN112" s="38"/>
      <c r="TBO112" s="38"/>
      <c r="TBU112" s="36"/>
      <c r="TBV112" s="38"/>
      <c r="TBW112" s="38"/>
      <c r="TCC112" s="36"/>
      <c r="TCD112" s="38"/>
      <c r="TCE112" s="38"/>
      <c r="TCK112" s="36"/>
      <c r="TCL112" s="38"/>
      <c r="TCM112" s="38"/>
      <c r="TCS112" s="36"/>
      <c r="TCT112" s="38"/>
      <c r="TCU112" s="38"/>
      <c r="TDA112" s="36"/>
      <c r="TDB112" s="38"/>
      <c r="TDC112" s="38"/>
      <c r="TDI112" s="36"/>
      <c r="TDJ112" s="38"/>
      <c r="TDK112" s="38"/>
      <c r="TDQ112" s="36"/>
      <c r="TDR112" s="38"/>
      <c r="TDS112" s="38"/>
      <c r="TDY112" s="36"/>
      <c r="TDZ112" s="38"/>
      <c r="TEA112" s="38"/>
      <c r="TEG112" s="36"/>
      <c r="TEH112" s="38"/>
      <c r="TEI112" s="38"/>
      <c r="TEO112" s="36"/>
      <c r="TEP112" s="38"/>
      <c r="TEQ112" s="38"/>
      <c r="TEW112" s="36"/>
      <c r="TEX112" s="38"/>
      <c r="TEY112" s="38"/>
      <c r="TFE112" s="36"/>
      <c r="TFF112" s="38"/>
      <c r="TFG112" s="38"/>
      <c r="TFM112" s="36"/>
      <c r="TFN112" s="38"/>
      <c r="TFO112" s="38"/>
      <c r="TFU112" s="36"/>
      <c r="TFV112" s="38"/>
      <c r="TFW112" s="38"/>
      <c r="TGC112" s="36"/>
      <c r="TGD112" s="38"/>
      <c r="TGE112" s="38"/>
      <c r="TGK112" s="36"/>
      <c r="TGL112" s="38"/>
      <c r="TGM112" s="38"/>
      <c r="TGS112" s="36"/>
      <c r="TGT112" s="38"/>
      <c r="TGU112" s="38"/>
      <c r="THA112" s="36"/>
      <c r="THB112" s="38"/>
      <c r="THC112" s="38"/>
      <c r="THI112" s="36"/>
      <c r="THJ112" s="38"/>
      <c r="THK112" s="38"/>
      <c r="THQ112" s="36"/>
      <c r="THR112" s="38"/>
      <c r="THS112" s="38"/>
      <c r="THY112" s="36"/>
      <c r="THZ112" s="38"/>
      <c r="TIA112" s="38"/>
      <c r="TIG112" s="36"/>
      <c r="TIH112" s="38"/>
      <c r="TII112" s="38"/>
      <c r="TIO112" s="36"/>
      <c r="TIP112" s="38"/>
      <c r="TIQ112" s="38"/>
      <c r="TIW112" s="36"/>
      <c r="TIX112" s="38"/>
      <c r="TIY112" s="38"/>
      <c r="TJE112" s="36"/>
      <c r="TJF112" s="38"/>
      <c r="TJG112" s="38"/>
      <c r="TJM112" s="36"/>
      <c r="TJN112" s="38"/>
      <c r="TJO112" s="38"/>
      <c r="TJU112" s="36"/>
      <c r="TJV112" s="38"/>
      <c r="TJW112" s="38"/>
      <c r="TKC112" s="36"/>
      <c r="TKD112" s="38"/>
      <c r="TKE112" s="38"/>
      <c r="TKK112" s="36"/>
      <c r="TKL112" s="38"/>
      <c r="TKM112" s="38"/>
      <c r="TKS112" s="36"/>
      <c r="TKT112" s="38"/>
      <c r="TKU112" s="38"/>
      <c r="TLA112" s="36"/>
      <c r="TLB112" s="38"/>
      <c r="TLC112" s="38"/>
      <c r="TLI112" s="36"/>
      <c r="TLJ112" s="38"/>
      <c r="TLK112" s="38"/>
      <c r="TLQ112" s="36"/>
      <c r="TLR112" s="38"/>
      <c r="TLS112" s="38"/>
      <c r="TLY112" s="36"/>
      <c r="TLZ112" s="38"/>
      <c r="TMA112" s="38"/>
      <c r="TMG112" s="36"/>
      <c r="TMH112" s="38"/>
      <c r="TMI112" s="38"/>
      <c r="TMO112" s="36"/>
      <c r="TMP112" s="38"/>
      <c r="TMQ112" s="38"/>
      <c r="TMW112" s="36"/>
      <c r="TMX112" s="38"/>
      <c r="TMY112" s="38"/>
      <c r="TNE112" s="36"/>
      <c r="TNF112" s="38"/>
      <c r="TNG112" s="38"/>
      <c r="TNM112" s="36"/>
      <c r="TNN112" s="38"/>
      <c r="TNO112" s="38"/>
      <c r="TNU112" s="36"/>
      <c r="TNV112" s="38"/>
      <c r="TNW112" s="38"/>
      <c r="TOC112" s="36"/>
      <c r="TOD112" s="38"/>
      <c r="TOE112" s="38"/>
      <c r="TOK112" s="36"/>
      <c r="TOL112" s="38"/>
      <c r="TOM112" s="38"/>
      <c r="TOS112" s="36"/>
      <c r="TOT112" s="38"/>
      <c r="TOU112" s="38"/>
      <c r="TPA112" s="36"/>
      <c r="TPB112" s="38"/>
      <c r="TPC112" s="38"/>
      <c r="TPI112" s="36"/>
      <c r="TPJ112" s="38"/>
      <c r="TPK112" s="38"/>
      <c r="TPQ112" s="36"/>
      <c r="TPR112" s="38"/>
      <c r="TPS112" s="38"/>
      <c r="TPY112" s="36"/>
      <c r="TPZ112" s="38"/>
      <c r="TQA112" s="38"/>
      <c r="TQG112" s="36"/>
      <c r="TQH112" s="38"/>
      <c r="TQI112" s="38"/>
      <c r="TQO112" s="36"/>
      <c r="TQP112" s="38"/>
      <c r="TQQ112" s="38"/>
      <c r="TQW112" s="36"/>
      <c r="TQX112" s="38"/>
      <c r="TQY112" s="38"/>
      <c r="TRE112" s="36"/>
      <c r="TRF112" s="38"/>
      <c r="TRG112" s="38"/>
      <c r="TRM112" s="36"/>
      <c r="TRN112" s="38"/>
      <c r="TRO112" s="38"/>
      <c r="TRU112" s="36"/>
      <c r="TRV112" s="38"/>
      <c r="TRW112" s="38"/>
      <c r="TSC112" s="36"/>
      <c r="TSD112" s="38"/>
      <c r="TSE112" s="38"/>
      <c r="TSK112" s="36"/>
      <c r="TSL112" s="38"/>
      <c r="TSM112" s="38"/>
      <c r="TSS112" s="36"/>
      <c r="TST112" s="38"/>
      <c r="TSU112" s="38"/>
      <c r="TTA112" s="36"/>
      <c r="TTB112" s="38"/>
      <c r="TTC112" s="38"/>
      <c r="TTI112" s="36"/>
      <c r="TTJ112" s="38"/>
      <c r="TTK112" s="38"/>
      <c r="TTQ112" s="36"/>
      <c r="TTR112" s="38"/>
      <c r="TTS112" s="38"/>
      <c r="TTY112" s="36"/>
      <c r="TTZ112" s="38"/>
      <c r="TUA112" s="38"/>
      <c r="TUG112" s="36"/>
      <c r="TUH112" s="38"/>
      <c r="TUI112" s="38"/>
      <c r="TUO112" s="36"/>
      <c r="TUP112" s="38"/>
      <c r="TUQ112" s="38"/>
      <c r="TUW112" s="36"/>
      <c r="TUX112" s="38"/>
      <c r="TUY112" s="38"/>
      <c r="TVE112" s="36"/>
      <c r="TVF112" s="38"/>
      <c r="TVG112" s="38"/>
      <c r="TVM112" s="36"/>
      <c r="TVN112" s="38"/>
      <c r="TVO112" s="38"/>
      <c r="TVU112" s="36"/>
      <c r="TVV112" s="38"/>
      <c r="TVW112" s="38"/>
      <c r="TWC112" s="36"/>
      <c r="TWD112" s="38"/>
      <c r="TWE112" s="38"/>
      <c r="TWK112" s="36"/>
      <c r="TWL112" s="38"/>
      <c r="TWM112" s="38"/>
      <c r="TWS112" s="36"/>
      <c r="TWT112" s="38"/>
      <c r="TWU112" s="38"/>
      <c r="TXA112" s="36"/>
      <c r="TXB112" s="38"/>
      <c r="TXC112" s="38"/>
      <c r="TXI112" s="36"/>
      <c r="TXJ112" s="38"/>
      <c r="TXK112" s="38"/>
      <c r="TXQ112" s="36"/>
      <c r="TXR112" s="38"/>
      <c r="TXS112" s="38"/>
      <c r="TXY112" s="36"/>
      <c r="TXZ112" s="38"/>
      <c r="TYA112" s="38"/>
      <c r="TYG112" s="36"/>
      <c r="TYH112" s="38"/>
      <c r="TYI112" s="38"/>
      <c r="TYO112" s="36"/>
      <c r="TYP112" s="38"/>
      <c r="TYQ112" s="38"/>
      <c r="TYW112" s="36"/>
      <c r="TYX112" s="38"/>
      <c r="TYY112" s="38"/>
      <c r="TZE112" s="36"/>
      <c r="TZF112" s="38"/>
      <c r="TZG112" s="38"/>
      <c r="TZM112" s="36"/>
      <c r="TZN112" s="38"/>
      <c r="TZO112" s="38"/>
      <c r="TZU112" s="36"/>
      <c r="TZV112" s="38"/>
      <c r="TZW112" s="38"/>
      <c r="UAC112" s="36"/>
      <c r="UAD112" s="38"/>
      <c r="UAE112" s="38"/>
      <c r="UAK112" s="36"/>
      <c r="UAL112" s="38"/>
      <c r="UAM112" s="38"/>
      <c r="UAS112" s="36"/>
      <c r="UAT112" s="38"/>
      <c r="UAU112" s="38"/>
      <c r="UBA112" s="36"/>
      <c r="UBB112" s="38"/>
      <c r="UBC112" s="38"/>
      <c r="UBI112" s="36"/>
      <c r="UBJ112" s="38"/>
      <c r="UBK112" s="38"/>
      <c r="UBQ112" s="36"/>
      <c r="UBR112" s="38"/>
      <c r="UBS112" s="38"/>
      <c r="UBY112" s="36"/>
      <c r="UBZ112" s="38"/>
      <c r="UCA112" s="38"/>
      <c r="UCG112" s="36"/>
      <c r="UCH112" s="38"/>
      <c r="UCI112" s="38"/>
      <c r="UCO112" s="36"/>
      <c r="UCP112" s="38"/>
      <c r="UCQ112" s="38"/>
      <c r="UCW112" s="36"/>
      <c r="UCX112" s="38"/>
      <c r="UCY112" s="38"/>
      <c r="UDE112" s="36"/>
      <c r="UDF112" s="38"/>
      <c r="UDG112" s="38"/>
      <c r="UDM112" s="36"/>
      <c r="UDN112" s="38"/>
      <c r="UDO112" s="38"/>
      <c r="UDU112" s="36"/>
      <c r="UDV112" s="38"/>
      <c r="UDW112" s="38"/>
      <c r="UEC112" s="36"/>
      <c r="UED112" s="38"/>
      <c r="UEE112" s="38"/>
      <c r="UEK112" s="36"/>
      <c r="UEL112" s="38"/>
      <c r="UEM112" s="38"/>
      <c r="UES112" s="36"/>
      <c r="UET112" s="38"/>
      <c r="UEU112" s="38"/>
      <c r="UFA112" s="36"/>
      <c r="UFB112" s="38"/>
      <c r="UFC112" s="38"/>
      <c r="UFI112" s="36"/>
      <c r="UFJ112" s="38"/>
      <c r="UFK112" s="38"/>
      <c r="UFQ112" s="36"/>
      <c r="UFR112" s="38"/>
      <c r="UFS112" s="38"/>
      <c r="UFY112" s="36"/>
      <c r="UFZ112" s="38"/>
      <c r="UGA112" s="38"/>
      <c r="UGG112" s="36"/>
      <c r="UGH112" s="38"/>
      <c r="UGI112" s="38"/>
      <c r="UGO112" s="36"/>
      <c r="UGP112" s="38"/>
      <c r="UGQ112" s="38"/>
      <c r="UGW112" s="36"/>
      <c r="UGX112" s="38"/>
      <c r="UGY112" s="38"/>
      <c r="UHE112" s="36"/>
      <c r="UHF112" s="38"/>
      <c r="UHG112" s="38"/>
      <c r="UHM112" s="36"/>
      <c r="UHN112" s="38"/>
      <c r="UHO112" s="38"/>
      <c r="UHU112" s="36"/>
      <c r="UHV112" s="38"/>
      <c r="UHW112" s="38"/>
      <c r="UIC112" s="36"/>
      <c r="UID112" s="38"/>
      <c r="UIE112" s="38"/>
      <c r="UIK112" s="36"/>
      <c r="UIL112" s="38"/>
      <c r="UIM112" s="38"/>
      <c r="UIS112" s="36"/>
      <c r="UIT112" s="38"/>
      <c r="UIU112" s="38"/>
      <c r="UJA112" s="36"/>
      <c r="UJB112" s="38"/>
      <c r="UJC112" s="38"/>
      <c r="UJI112" s="36"/>
      <c r="UJJ112" s="38"/>
      <c r="UJK112" s="38"/>
      <c r="UJQ112" s="36"/>
      <c r="UJR112" s="38"/>
      <c r="UJS112" s="38"/>
      <c r="UJY112" s="36"/>
      <c r="UJZ112" s="38"/>
      <c r="UKA112" s="38"/>
      <c r="UKG112" s="36"/>
      <c r="UKH112" s="38"/>
      <c r="UKI112" s="38"/>
      <c r="UKO112" s="36"/>
      <c r="UKP112" s="38"/>
      <c r="UKQ112" s="38"/>
      <c r="UKW112" s="36"/>
      <c r="UKX112" s="38"/>
      <c r="UKY112" s="38"/>
      <c r="ULE112" s="36"/>
      <c r="ULF112" s="38"/>
      <c r="ULG112" s="38"/>
      <c r="ULM112" s="36"/>
      <c r="ULN112" s="38"/>
      <c r="ULO112" s="38"/>
      <c r="ULU112" s="36"/>
      <c r="ULV112" s="38"/>
      <c r="ULW112" s="38"/>
      <c r="UMC112" s="36"/>
      <c r="UMD112" s="38"/>
      <c r="UME112" s="38"/>
      <c r="UMK112" s="36"/>
      <c r="UML112" s="38"/>
      <c r="UMM112" s="38"/>
      <c r="UMS112" s="36"/>
      <c r="UMT112" s="38"/>
      <c r="UMU112" s="38"/>
      <c r="UNA112" s="36"/>
      <c r="UNB112" s="38"/>
      <c r="UNC112" s="38"/>
      <c r="UNI112" s="36"/>
      <c r="UNJ112" s="38"/>
      <c r="UNK112" s="38"/>
      <c r="UNQ112" s="36"/>
      <c r="UNR112" s="38"/>
      <c r="UNS112" s="38"/>
      <c r="UNY112" s="36"/>
      <c r="UNZ112" s="38"/>
      <c r="UOA112" s="38"/>
      <c r="UOG112" s="36"/>
      <c r="UOH112" s="38"/>
      <c r="UOI112" s="38"/>
      <c r="UOO112" s="36"/>
      <c r="UOP112" s="38"/>
      <c r="UOQ112" s="38"/>
      <c r="UOW112" s="36"/>
      <c r="UOX112" s="38"/>
      <c r="UOY112" s="38"/>
      <c r="UPE112" s="36"/>
      <c r="UPF112" s="38"/>
      <c r="UPG112" s="38"/>
      <c r="UPM112" s="36"/>
      <c r="UPN112" s="38"/>
      <c r="UPO112" s="38"/>
      <c r="UPU112" s="36"/>
      <c r="UPV112" s="38"/>
      <c r="UPW112" s="38"/>
      <c r="UQC112" s="36"/>
      <c r="UQD112" s="38"/>
      <c r="UQE112" s="38"/>
      <c r="UQK112" s="36"/>
      <c r="UQL112" s="38"/>
      <c r="UQM112" s="38"/>
      <c r="UQS112" s="36"/>
      <c r="UQT112" s="38"/>
      <c r="UQU112" s="38"/>
      <c r="URA112" s="36"/>
      <c r="URB112" s="38"/>
      <c r="URC112" s="38"/>
      <c r="URI112" s="36"/>
      <c r="URJ112" s="38"/>
      <c r="URK112" s="38"/>
      <c r="URQ112" s="36"/>
      <c r="URR112" s="38"/>
      <c r="URS112" s="38"/>
      <c r="URY112" s="36"/>
      <c r="URZ112" s="38"/>
      <c r="USA112" s="38"/>
      <c r="USG112" s="36"/>
      <c r="USH112" s="38"/>
      <c r="USI112" s="38"/>
      <c r="USO112" s="36"/>
      <c r="USP112" s="38"/>
      <c r="USQ112" s="38"/>
      <c r="USW112" s="36"/>
      <c r="USX112" s="38"/>
      <c r="USY112" s="38"/>
      <c r="UTE112" s="36"/>
      <c r="UTF112" s="38"/>
      <c r="UTG112" s="38"/>
      <c r="UTM112" s="36"/>
      <c r="UTN112" s="38"/>
      <c r="UTO112" s="38"/>
      <c r="UTU112" s="36"/>
      <c r="UTV112" s="38"/>
      <c r="UTW112" s="38"/>
      <c r="UUC112" s="36"/>
      <c r="UUD112" s="38"/>
      <c r="UUE112" s="38"/>
      <c r="UUK112" s="36"/>
      <c r="UUL112" s="38"/>
      <c r="UUM112" s="38"/>
      <c r="UUS112" s="36"/>
      <c r="UUT112" s="38"/>
      <c r="UUU112" s="38"/>
      <c r="UVA112" s="36"/>
      <c r="UVB112" s="38"/>
      <c r="UVC112" s="38"/>
      <c r="UVI112" s="36"/>
      <c r="UVJ112" s="38"/>
      <c r="UVK112" s="38"/>
      <c r="UVQ112" s="36"/>
      <c r="UVR112" s="38"/>
      <c r="UVS112" s="38"/>
      <c r="UVY112" s="36"/>
      <c r="UVZ112" s="38"/>
      <c r="UWA112" s="38"/>
      <c r="UWG112" s="36"/>
      <c r="UWH112" s="38"/>
      <c r="UWI112" s="38"/>
      <c r="UWO112" s="36"/>
      <c r="UWP112" s="38"/>
      <c r="UWQ112" s="38"/>
      <c r="UWW112" s="36"/>
      <c r="UWX112" s="38"/>
      <c r="UWY112" s="38"/>
      <c r="UXE112" s="36"/>
      <c r="UXF112" s="38"/>
      <c r="UXG112" s="38"/>
      <c r="UXM112" s="36"/>
      <c r="UXN112" s="38"/>
      <c r="UXO112" s="38"/>
      <c r="UXU112" s="36"/>
      <c r="UXV112" s="38"/>
      <c r="UXW112" s="38"/>
      <c r="UYC112" s="36"/>
      <c r="UYD112" s="38"/>
      <c r="UYE112" s="38"/>
      <c r="UYK112" s="36"/>
      <c r="UYL112" s="38"/>
      <c r="UYM112" s="38"/>
      <c r="UYS112" s="36"/>
      <c r="UYT112" s="38"/>
      <c r="UYU112" s="38"/>
      <c r="UZA112" s="36"/>
      <c r="UZB112" s="38"/>
      <c r="UZC112" s="38"/>
      <c r="UZI112" s="36"/>
      <c r="UZJ112" s="38"/>
      <c r="UZK112" s="38"/>
      <c r="UZQ112" s="36"/>
      <c r="UZR112" s="38"/>
      <c r="UZS112" s="38"/>
      <c r="UZY112" s="36"/>
      <c r="UZZ112" s="38"/>
      <c r="VAA112" s="38"/>
      <c r="VAG112" s="36"/>
      <c r="VAH112" s="38"/>
      <c r="VAI112" s="38"/>
      <c r="VAO112" s="36"/>
      <c r="VAP112" s="38"/>
      <c r="VAQ112" s="38"/>
      <c r="VAW112" s="36"/>
      <c r="VAX112" s="38"/>
      <c r="VAY112" s="38"/>
      <c r="VBE112" s="36"/>
      <c r="VBF112" s="38"/>
      <c r="VBG112" s="38"/>
      <c r="VBM112" s="36"/>
      <c r="VBN112" s="38"/>
      <c r="VBO112" s="38"/>
      <c r="VBU112" s="36"/>
      <c r="VBV112" s="38"/>
      <c r="VBW112" s="38"/>
      <c r="VCC112" s="36"/>
      <c r="VCD112" s="38"/>
      <c r="VCE112" s="38"/>
      <c r="VCK112" s="36"/>
      <c r="VCL112" s="38"/>
      <c r="VCM112" s="38"/>
      <c r="VCS112" s="36"/>
      <c r="VCT112" s="38"/>
      <c r="VCU112" s="38"/>
      <c r="VDA112" s="36"/>
      <c r="VDB112" s="38"/>
      <c r="VDC112" s="38"/>
      <c r="VDI112" s="36"/>
      <c r="VDJ112" s="38"/>
      <c r="VDK112" s="38"/>
      <c r="VDQ112" s="36"/>
      <c r="VDR112" s="38"/>
      <c r="VDS112" s="38"/>
      <c r="VDY112" s="36"/>
      <c r="VDZ112" s="38"/>
      <c r="VEA112" s="38"/>
      <c r="VEG112" s="36"/>
      <c r="VEH112" s="38"/>
      <c r="VEI112" s="38"/>
      <c r="VEO112" s="36"/>
      <c r="VEP112" s="38"/>
      <c r="VEQ112" s="38"/>
      <c r="VEW112" s="36"/>
      <c r="VEX112" s="38"/>
      <c r="VEY112" s="38"/>
      <c r="VFE112" s="36"/>
      <c r="VFF112" s="38"/>
      <c r="VFG112" s="38"/>
      <c r="VFM112" s="36"/>
      <c r="VFN112" s="38"/>
      <c r="VFO112" s="38"/>
      <c r="VFU112" s="36"/>
      <c r="VFV112" s="38"/>
      <c r="VFW112" s="38"/>
      <c r="VGC112" s="36"/>
      <c r="VGD112" s="38"/>
      <c r="VGE112" s="38"/>
      <c r="VGK112" s="36"/>
      <c r="VGL112" s="38"/>
      <c r="VGM112" s="38"/>
      <c r="VGS112" s="36"/>
      <c r="VGT112" s="38"/>
      <c r="VGU112" s="38"/>
      <c r="VHA112" s="36"/>
      <c r="VHB112" s="38"/>
      <c r="VHC112" s="38"/>
      <c r="VHI112" s="36"/>
      <c r="VHJ112" s="38"/>
      <c r="VHK112" s="38"/>
      <c r="VHQ112" s="36"/>
      <c r="VHR112" s="38"/>
      <c r="VHS112" s="38"/>
      <c r="VHY112" s="36"/>
      <c r="VHZ112" s="38"/>
      <c r="VIA112" s="38"/>
      <c r="VIG112" s="36"/>
      <c r="VIH112" s="38"/>
      <c r="VII112" s="38"/>
      <c r="VIO112" s="36"/>
      <c r="VIP112" s="38"/>
      <c r="VIQ112" s="38"/>
      <c r="VIW112" s="36"/>
      <c r="VIX112" s="38"/>
      <c r="VIY112" s="38"/>
      <c r="VJE112" s="36"/>
      <c r="VJF112" s="38"/>
      <c r="VJG112" s="38"/>
      <c r="VJM112" s="36"/>
      <c r="VJN112" s="38"/>
      <c r="VJO112" s="38"/>
      <c r="VJU112" s="36"/>
      <c r="VJV112" s="38"/>
      <c r="VJW112" s="38"/>
      <c r="VKC112" s="36"/>
      <c r="VKD112" s="38"/>
      <c r="VKE112" s="38"/>
      <c r="VKK112" s="36"/>
      <c r="VKL112" s="38"/>
      <c r="VKM112" s="38"/>
      <c r="VKS112" s="36"/>
      <c r="VKT112" s="38"/>
      <c r="VKU112" s="38"/>
      <c r="VLA112" s="36"/>
      <c r="VLB112" s="38"/>
      <c r="VLC112" s="38"/>
      <c r="VLI112" s="36"/>
      <c r="VLJ112" s="38"/>
      <c r="VLK112" s="38"/>
      <c r="VLQ112" s="36"/>
      <c r="VLR112" s="38"/>
      <c r="VLS112" s="38"/>
      <c r="VLY112" s="36"/>
      <c r="VLZ112" s="38"/>
      <c r="VMA112" s="38"/>
      <c r="VMG112" s="36"/>
      <c r="VMH112" s="38"/>
      <c r="VMI112" s="38"/>
      <c r="VMO112" s="36"/>
      <c r="VMP112" s="38"/>
      <c r="VMQ112" s="38"/>
      <c r="VMW112" s="36"/>
      <c r="VMX112" s="38"/>
      <c r="VMY112" s="38"/>
      <c r="VNE112" s="36"/>
      <c r="VNF112" s="38"/>
      <c r="VNG112" s="38"/>
      <c r="VNM112" s="36"/>
      <c r="VNN112" s="38"/>
      <c r="VNO112" s="38"/>
      <c r="VNU112" s="36"/>
      <c r="VNV112" s="38"/>
      <c r="VNW112" s="38"/>
      <c r="VOC112" s="36"/>
      <c r="VOD112" s="38"/>
      <c r="VOE112" s="38"/>
      <c r="VOK112" s="36"/>
      <c r="VOL112" s="38"/>
      <c r="VOM112" s="38"/>
      <c r="VOS112" s="36"/>
      <c r="VOT112" s="38"/>
      <c r="VOU112" s="38"/>
      <c r="VPA112" s="36"/>
      <c r="VPB112" s="38"/>
      <c r="VPC112" s="38"/>
      <c r="VPI112" s="36"/>
      <c r="VPJ112" s="38"/>
      <c r="VPK112" s="38"/>
      <c r="VPQ112" s="36"/>
      <c r="VPR112" s="38"/>
      <c r="VPS112" s="38"/>
      <c r="VPY112" s="36"/>
      <c r="VPZ112" s="38"/>
      <c r="VQA112" s="38"/>
      <c r="VQG112" s="36"/>
      <c r="VQH112" s="38"/>
      <c r="VQI112" s="38"/>
      <c r="VQO112" s="36"/>
      <c r="VQP112" s="38"/>
      <c r="VQQ112" s="38"/>
      <c r="VQW112" s="36"/>
      <c r="VQX112" s="38"/>
      <c r="VQY112" s="38"/>
      <c r="VRE112" s="36"/>
      <c r="VRF112" s="38"/>
      <c r="VRG112" s="38"/>
      <c r="VRM112" s="36"/>
      <c r="VRN112" s="38"/>
      <c r="VRO112" s="38"/>
      <c r="VRU112" s="36"/>
      <c r="VRV112" s="38"/>
      <c r="VRW112" s="38"/>
      <c r="VSC112" s="36"/>
      <c r="VSD112" s="38"/>
      <c r="VSE112" s="38"/>
      <c r="VSK112" s="36"/>
      <c r="VSL112" s="38"/>
      <c r="VSM112" s="38"/>
      <c r="VSS112" s="36"/>
      <c r="VST112" s="38"/>
      <c r="VSU112" s="38"/>
      <c r="VTA112" s="36"/>
      <c r="VTB112" s="38"/>
      <c r="VTC112" s="38"/>
      <c r="VTI112" s="36"/>
      <c r="VTJ112" s="38"/>
      <c r="VTK112" s="38"/>
      <c r="VTQ112" s="36"/>
      <c r="VTR112" s="38"/>
      <c r="VTS112" s="38"/>
      <c r="VTY112" s="36"/>
      <c r="VTZ112" s="38"/>
      <c r="VUA112" s="38"/>
      <c r="VUG112" s="36"/>
      <c r="VUH112" s="38"/>
      <c r="VUI112" s="38"/>
      <c r="VUO112" s="36"/>
      <c r="VUP112" s="38"/>
      <c r="VUQ112" s="38"/>
      <c r="VUW112" s="36"/>
      <c r="VUX112" s="38"/>
      <c r="VUY112" s="38"/>
      <c r="VVE112" s="36"/>
      <c r="VVF112" s="38"/>
      <c r="VVG112" s="38"/>
      <c r="VVM112" s="36"/>
      <c r="VVN112" s="38"/>
      <c r="VVO112" s="38"/>
      <c r="VVU112" s="36"/>
      <c r="VVV112" s="38"/>
      <c r="VVW112" s="38"/>
      <c r="VWC112" s="36"/>
      <c r="VWD112" s="38"/>
      <c r="VWE112" s="38"/>
      <c r="VWK112" s="36"/>
      <c r="VWL112" s="38"/>
      <c r="VWM112" s="38"/>
      <c r="VWS112" s="36"/>
      <c r="VWT112" s="38"/>
      <c r="VWU112" s="38"/>
      <c r="VXA112" s="36"/>
      <c r="VXB112" s="38"/>
      <c r="VXC112" s="38"/>
      <c r="VXI112" s="36"/>
      <c r="VXJ112" s="38"/>
      <c r="VXK112" s="38"/>
      <c r="VXQ112" s="36"/>
      <c r="VXR112" s="38"/>
      <c r="VXS112" s="38"/>
      <c r="VXY112" s="36"/>
      <c r="VXZ112" s="38"/>
      <c r="VYA112" s="38"/>
      <c r="VYG112" s="36"/>
      <c r="VYH112" s="38"/>
      <c r="VYI112" s="38"/>
      <c r="VYO112" s="36"/>
      <c r="VYP112" s="38"/>
      <c r="VYQ112" s="38"/>
      <c r="VYW112" s="36"/>
      <c r="VYX112" s="38"/>
      <c r="VYY112" s="38"/>
      <c r="VZE112" s="36"/>
      <c r="VZF112" s="38"/>
      <c r="VZG112" s="38"/>
      <c r="VZM112" s="36"/>
      <c r="VZN112" s="38"/>
      <c r="VZO112" s="38"/>
      <c r="VZU112" s="36"/>
      <c r="VZV112" s="38"/>
      <c r="VZW112" s="38"/>
      <c r="WAC112" s="36"/>
      <c r="WAD112" s="38"/>
      <c r="WAE112" s="38"/>
      <c r="WAK112" s="36"/>
      <c r="WAL112" s="38"/>
      <c r="WAM112" s="38"/>
      <c r="WAS112" s="36"/>
      <c r="WAT112" s="38"/>
      <c r="WAU112" s="38"/>
      <c r="WBA112" s="36"/>
      <c r="WBB112" s="38"/>
      <c r="WBC112" s="38"/>
      <c r="WBI112" s="36"/>
      <c r="WBJ112" s="38"/>
      <c r="WBK112" s="38"/>
      <c r="WBQ112" s="36"/>
      <c r="WBR112" s="38"/>
      <c r="WBS112" s="38"/>
      <c r="WBY112" s="36"/>
      <c r="WBZ112" s="38"/>
      <c r="WCA112" s="38"/>
      <c r="WCG112" s="36"/>
      <c r="WCH112" s="38"/>
      <c r="WCI112" s="38"/>
      <c r="WCO112" s="36"/>
      <c r="WCP112" s="38"/>
      <c r="WCQ112" s="38"/>
      <c r="WCW112" s="36"/>
      <c r="WCX112" s="38"/>
      <c r="WCY112" s="38"/>
      <c r="WDE112" s="36"/>
      <c r="WDF112" s="38"/>
      <c r="WDG112" s="38"/>
      <c r="WDM112" s="36"/>
      <c r="WDN112" s="38"/>
      <c r="WDO112" s="38"/>
      <c r="WDU112" s="36"/>
      <c r="WDV112" s="38"/>
      <c r="WDW112" s="38"/>
      <c r="WEC112" s="36"/>
      <c r="WED112" s="38"/>
      <c r="WEE112" s="38"/>
      <c r="WEK112" s="36"/>
      <c r="WEL112" s="38"/>
      <c r="WEM112" s="38"/>
      <c r="WES112" s="36"/>
      <c r="WET112" s="38"/>
      <c r="WEU112" s="38"/>
      <c r="WFA112" s="36"/>
      <c r="WFB112" s="38"/>
      <c r="WFC112" s="38"/>
      <c r="WFI112" s="36"/>
      <c r="WFJ112" s="38"/>
      <c r="WFK112" s="38"/>
      <c r="WFQ112" s="36"/>
      <c r="WFR112" s="38"/>
      <c r="WFS112" s="38"/>
      <c r="WFY112" s="36"/>
      <c r="WFZ112" s="38"/>
      <c r="WGA112" s="38"/>
      <c r="WGG112" s="36"/>
      <c r="WGH112" s="38"/>
      <c r="WGI112" s="38"/>
      <c r="WGO112" s="36"/>
      <c r="WGP112" s="38"/>
      <c r="WGQ112" s="38"/>
      <c r="WGW112" s="36"/>
      <c r="WGX112" s="38"/>
      <c r="WGY112" s="38"/>
      <c r="WHE112" s="36"/>
      <c r="WHF112" s="38"/>
      <c r="WHG112" s="38"/>
      <c r="WHM112" s="36"/>
      <c r="WHN112" s="38"/>
      <c r="WHO112" s="38"/>
      <c r="WHU112" s="36"/>
      <c r="WHV112" s="38"/>
      <c r="WHW112" s="38"/>
      <c r="WIC112" s="36"/>
      <c r="WID112" s="38"/>
      <c r="WIE112" s="38"/>
      <c r="WIK112" s="36"/>
      <c r="WIL112" s="38"/>
      <c r="WIM112" s="38"/>
      <c r="WIS112" s="36"/>
      <c r="WIT112" s="38"/>
      <c r="WIU112" s="38"/>
      <c r="WJA112" s="36"/>
      <c r="WJB112" s="38"/>
      <c r="WJC112" s="38"/>
      <c r="WJI112" s="36"/>
      <c r="WJJ112" s="38"/>
      <c r="WJK112" s="38"/>
      <c r="WJQ112" s="36"/>
      <c r="WJR112" s="38"/>
      <c r="WJS112" s="38"/>
      <c r="WJY112" s="36"/>
      <c r="WJZ112" s="38"/>
      <c r="WKA112" s="38"/>
      <c r="WKG112" s="36"/>
      <c r="WKH112" s="38"/>
      <c r="WKI112" s="38"/>
      <c r="WKO112" s="36"/>
      <c r="WKP112" s="38"/>
      <c r="WKQ112" s="38"/>
      <c r="WKW112" s="36"/>
      <c r="WKX112" s="38"/>
      <c r="WKY112" s="38"/>
      <c r="WLE112" s="36"/>
      <c r="WLF112" s="38"/>
      <c r="WLG112" s="38"/>
      <c r="WLM112" s="36"/>
      <c r="WLN112" s="38"/>
      <c r="WLO112" s="38"/>
      <c r="WLU112" s="36"/>
      <c r="WLV112" s="38"/>
      <c r="WLW112" s="38"/>
      <c r="WMC112" s="36"/>
      <c r="WMD112" s="38"/>
      <c r="WME112" s="38"/>
      <c r="WMK112" s="36"/>
      <c r="WML112" s="38"/>
      <c r="WMM112" s="38"/>
      <c r="WMS112" s="36"/>
      <c r="WMT112" s="38"/>
      <c r="WMU112" s="38"/>
      <c r="WNA112" s="36"/>
      <c r="WNB112" s="38"/>
      <c r="WNC112" s="38"/>
      <c r="WNI112" s="36"/>
      <c r="WNJ112" s="38"/>
      <c r="WNK112" s="38"/>
      <c r="WNQ112" s="36"/>
      <c r="WNR112" s="38"/>
      <c r="WNS112" s="38"/>
      <c r="WNY112" s="36"/>
      <c r="WNZ112" s="38"/>
      <c r="WOA112" s="38"/>
      <c r="WOG112" s="36"/>
      <c r="WOH112" s="38"/>
      <c r="WOI112" s="38"/>
      <c r="WOO112" s="36"/>
      <c r="WOP112" s="38"/>
      <c r="WOQ112" s="38"/>
      <c r="WOW112" s="36"/>
      <c r="WOX112" s="38"/>
      <c r="WOY112" s="38"/>
      <c r="WPE112" s="36"/>
      <c r="WPF112" s="38"/>
      <c r="WPG112" s="38"/>
      <c r="WPM112" s="36"/>
      <c r="WPN112" s="38"/>
      <c r="WPO112" s="38"/>
      <c r="WPU112" s="36"/>
      <c r="WPV112" s="38"/>
      <c r="WPW112" s="38"/>
      <c r="WQC112" s="36"/>
      <c r="WQD112" s="38"/>
      <c r="WQE112" s="38"/>
      <c r="WQK112" s="36"/>
      <c r="WQL112" s="38"/>
      <c r="WQM112" s="38"/>
      <c r="WQS112" s="36"/>
      <c r="WQT112" s="38"/>
      <c r="WQU112" s="38"/>
      <c r="WRA112" s="36"/>
      <c r="WRB112" s="38"/>
      <c r="WRC112" s="38"/>
      <c r="WRI112" s="36"/>
      <c r="WRJ112" s="38"/>
      <c r="WRK112" s="38"/>
      <c r="WRQ112" s="36"/>
      <c r="WRR112" s="38"/>
      <c r="WRS112" s="38"/>
      <c r="WRY112" s="36"/>
      <c r="WRZ112" s="38"/>
      <c r="WSA112" s="38"/>
      <c r="WSG112" s="36"/>
      <c r="WSH112" s="38"/>
      <c r="WSI112" s="38"/>
      <c r="WSO112" s="36"/>
      <c r="WSP112" s="38"/>
      <c r="WSQ112" s="38"/>
      <c r="WSW112" s="36"/>
      <c r="WSX112" s="38"/>
      <c r="WSY112" s="38"/>
      <c r="WTE112" s="36"/>
      <c r="WTF112" s="38"/>
      <c r="WTG112" s="38"/>
      <c r="WTM112" s="36"/>
      <c r="WTN112" s="38"/>
      <c r="WTO112" s="38"/>
      <c r="WTU112" s="36"/>
      <c r="WTV112" s="38"/>
      <c r="WTW112" s="38"/>
      <c r="WUC112" s="36"/>
      <c r="WUD112" s="38"/>
      <c r="WUE112" s="38"/>
      <c r="WUK112" s="36"/>
      <c r="WUL112" s="38"/>
      <c r="WUM112" s="38"/>
      <c r="WUS112" s="36"/>
      <c r="WUT112" s="38"/>
      <c r="WUU112" s="38"/>
      <c r="WVA112" s="36"/>
      <c r="WVB112" s="38"/>
      <c r="WVC112" s="38"/>
      <c r="WVI112" s="36"/>
      <c r="WVJ112" s="38"/>
      <c r="WVK112" s="38"/>
      <c r="WVQ112" s="36"/>
      <c r="WVR112" s="38"/>
      <c r="WVS112" s="38"/>
      <c r="WVY112" s="36"/>
      <c r="WVZ112" s="38"/>
      <c r="WWA112" s="38"/>
      <c r="WWG112" s="36"/>
      <c r="WWH112" s="38"/>
      <c r="WWI112" s="38"/>
      <c r="WWO112" s="36"/>
      <c r="WWP112" s="38"/>
      <c r="WWQ112" s="38"/>
      <c r="WWW112" s="36"/>
      <c r="WWX112" s="38"/>
      <c r="WWY112" s="38"/>
      <c r="WXE112" s="36"/>
      <c r="WXF112" s="38"/>
      <c r="WXG112" s="38"/>
      <c r="WXM112" s="36"/>
      <c r="WXN112" s="38"/>
      <c r="WXO112" s="38"/>
      <c r="WXU112" s="36"/>
      <c r="WXV112" s="38"/>
      <c r="WXW112" s="38"/>
      <c r="WYC112" s="36"/>
      <c r="WYD112" s="38"/>
      <c r="WYE112" s="38"/>
      <c r="WYK112" s="36"/>
      <c r="WYL112" s="38"/>
      <c r="WYM112" s="38"/>
      <c r="WYS112" s="36"/>
      <c r="WYT112" s="38"/>
      <c r="WYU112" s="38"/>
      <c r="WZA112" s="36"/>
      <c r="WZB112" s="38"/>
      <c r="WZC112" s="38"/>
      <c r="WZI112" s="36"/>
      <c r="WZJ112" s="38"/>
      <c r="WZK112" s="38"/>
      <c r="WZQ112" s="36"/>
      <c r="WZR112" s="38"/>
      <c r="WZS112" s="38"/>
      <c r="WZY112" s="36"/>
      <c r="WZZ112" s="38"/>
      <c r="XAA112" s="38"/>
      <c r="XAG112" s="36"/>
      <c r="XAH112" s="38"/>
      <c r="XAI112" s="38"/>
      <c r="XAO112" s="36"/>
      <c r="XAP112" s="38"/>
      <c r="XAQ112" s="38"/>
      <c r="XAW112" s="36"/>
      <c r="XAX112" s="38"/>
      <c r="XAY112" s="38"/>
      <c r="XBE112" s="36"/>
      <c r="XBF112" s="38"/>
      <c r="XBG112" s="38"/>
      <c r="XBM112" s="36"/>
      <c r="XBN112" s="38"/>
      <c r="XBO112" s="38"/>
      <c r="XBU112" s="36"/>
      <c r="XBV112" s="38"/>
      <c r="XBW112" s="38"/>
      <c r="XCC112" s="36"/>
      <c r="XCD112" s="38"/>
      <c r="XCE112" s="38"/>
      <c r="XCK112" s="36"/>
      <c r="XCL112" s="38"/>
      <c r="XCM112" s="38"/>
      <c r="XCS112" s="36"/>
      <c r="XCT112" s="38"/>
      <c r="XCU112" s="38"/>
      <c r="XDA112" s="36"/>
      <c r="XDB112" s="38"/>
      <c r="XDC112" s="38"/>
      <c r="XDI112" s="36"/>
      <c r="XDJ112" s="38"/>
      <c r="XDK112" s="38"/>
      <c r="XDQ112" s="36"/>
      <c r="XDR112" s="38"/>
      <c r="XDS112" s="38"/>
      <c r="XDY112" s="36"/>
      <c r="XDZ112" s="38"/>
      <c r="XEA112" s="38"/>
      <c r="XEG112" s="36"/>
      <c r="XEH112" s="38"/>
      <c r="XEI112" s="38"/>
      <c r="XEO112" s="36"/>
      <c r="XEP112" s="38"/>
      <c r="XEQ112" s="38"/>
      <c r="XEW112" s="36"/>
      <c r="XEX112" s="38"/>
      <c r="XEY112" s="38"/>
    </row>
    <row r="113" spans="1:1019 1025:2043 2049:3067 3073:4091 4097:5115 5121:6139 6145:7163 7169:8187 8193:9211 9217:10235 10241:11259 11265:12283 12289:13307 13313:14331 14337:15355 15361:16379" s="24" customFormat="1" ht="15" customHeight="1">
      <c r="A113" s="36"/>
      <c r="B113" s="38" t="s">
        <v>66</v>
      </c>
      <c r="C113" s="38">
        <v>1032741</v>
      </c>
      <c r="D113" s="24">
        <v>245532</v>
      </c>
      <c r="E113" s="24">
        <v>66685</v>
      </c>
      <c r="F113" s="24">
        <v>526881</v>
      </c>
      <c r="G113" s="24">
        <v>190875</v>
      </c>
      <c r="H113" s="24">
        <v>2768</v>
      </c>
      <c r="J113" s="23"/>
      <c r="K113" s="38"/>
      <c r="Q113" s="36"/>
      <c r="R113" s="38"/>
      <c r="S113" s="38"/>
      <c r="Y113" s="36"/>
      <c r="Z113" s="38"/>
      <c r="AA113" s="38"/>
      <c r="AG113" s="36"/>
      <c r="AH113" s="38"/>
      <c r="AI113" s="38"/>
      <c r="AO113" s="36"/>
      <c r="AP113" s="38"/>
      <c r="AQ113" s="38"/>
      <c r="AW113" s="36"/>
      <c r="AX113" s="38"/>
      <c r="AY113" s="38"/>
      <c r="BE113" s="36"/>
      <c r="BF113" s="38"/>
      <c r="BG113" s="38"/>
      <c r="BM113" s="36"/>
      <c r="BN113" s="38"/>
      <c r="BO113" s="38"/>
      <c r="BU113" s="36"/>
      <c r="BV113" s="38"/>
      <c r="BW113" s="38"/>
      <c r="CC113" s="36"/>
      <c r="CD113" s="38"/>
      <c r="CE113" s="38"/>
      <c r="CK113" s="36"/>
      <c r="CL113" s="38"/>
      <c r="CM113" s="38"/>
      <c r="CS113" s="36"/>
      <c r="CT113" s="38"/>
      <c r="CU113" s="38"/>
      <c r="DA113" s="36"/>
      <c r="DB113" s="38"/>
      <c r="DC113" s="38"/>
      <c r="DI113" s="36"/>
      <c r="DJ113" s="38"/>
      <c r="DK113" s="38"/>
      <c r="DQ113" s="36"/>
      <c r="DR113" s="38"/>
      <c r="DS113" s="38"/>
      <c r="DY113" s="36"/>
      <c r="DZ113" s="38"/>
      <c r="EA113" s="38"/>
      <c r="EG113" s="36"/>
      <c r="EH113" s="38"/>
      <c r="EI113" s="38"/>
      <c r="EO113" s="36"/>
      <c r="EP113" s="38"/>
      <c r="EQ113" s="38"/>
      <c r="EW113" s="36"/>
      <c r="EX113" s="38"/>
      <c r="EY113" s="38"/>
      <c r="FE113" s="36"/>
      <c r="FF113" s="38"/>
      <c r="FG113" s="38"/>
      <c r="FM113" s="36"/>
      <c r="FN113" s="38"/>
      <c r="FO113" s="38"/>
      <c r="FU113" s="36"/>
      <c r="FV113" s="38"/>
      <c r="FW113" s="38"/>
      <c r="GC113" s="36"/>
      <c r="GD113" s="38"/>
      <c r="GE113" s="38"/>
      <c r="GK113" s="36"/>
      <c r="GL113" s="38"/>
      <c r="GM113" s="38"/>
      <c r="GS113" s="36"/>
      <c r="GT113" s="38"/>
      <c r="GU113" s="38"/>
      <c r="HA113" s="36"/>
      <c r="HB113" s="38"/>
      <c r="HC113" s="38"/>
      <c r="HI113" s="36"/>
      <c r="HJ113" s="38"/>
      <c r="HK113" s="38"/>
      <c r="HQ113" s="36"/>
      <c r="HR113" s="38"/>
      <c r="HS113" s="38"/>
      <c r="HY113" s="36"/>
      <c r="HZ113" s="38"/>
      <c r="IA113" s="38"/>
      <c r="IG113" s="36"/>
      <c r="IH113" s="38"/>
      <c r="II113" s="38"/>
      <c r="IO113" s="36"/>
      <c r="IP113" s="38"/>
      <c r="IQ113" s="38"/>
      <c r="IW113" s="36"/>
      <c r="IX113" s="38"/>
      <c r="IY113" s="38"/>
      <c r="JE113" s="36"/>
      <c r="JF113" s="38"/>
      <c r="JG113" s="38"/>
      <c r="JM113" s="36"/>
      <c r="JN113" s="38"/>
      <c r="JO113" s="38"/>
      <c r="JU113" s="36"/>
      <c r="JV113" s="38"/>
      <c r="JW113" s="38"/>
      <c r="KC113" s="36"/>
      <c r="KD113" s="38"/>
      <c r="KE113" s="38"/>
      <c r="KK113" s="36"/>
      <c r="KL113" s="38"/>
      <c r="KM113" s="38"/>
      <c r="KS113" s="36"/>
      <c r="KT113" s="38"/>
      <c r="KU113" s="38"/>
      <c r="LA113" s="36"/>
      <c r="LB113" s="38"/>
      <c r="LC113" s="38"/>
      <c r="LI113" s="36"/>
      <c r="LJ113" s="38"/>
      <c r="LK113" s="38"/>
      <c r="LQ113" s="36"/>
      <c r="LR113" s="38"/>
      <c r="LS113" s="38"/>
      <c r="LY113" s="36"/>
      <c r="LZ113" s="38"/>
      <c r="MA113" s="38"/>
      <c r="MG113" s="36"/>
      <c r="MH113" s="38"/>
      <c r="MI113" s="38"/>
      <c r="MO113" s="36"/>
      <c r="MP113" s="38"/>
      <c r="MQ113" s="38"/>
      <c r="MW113" s="36"/>
      <c r="MX113" s="38"/>
      <c r="MY113" s="38"/>
      <c r="NE113" s="36"/>
      <c r="NF113" s="38"/>
      <c r="NG113" s="38"/>
      <c r="NM113" s="36"/>
      <c r="NN113" s="38"/>
      <c r="NO113" s="38"/>
      <c r="NU113" s="36"/>
      <c r="NV113" s="38"/>
      <c r="NW113" s="38"/>
      <c r="OC113" s="36"/>
      <c r="OD113" s="38"/>
      <c r="OE113" s="38"/>
      <c r="OK113" s="36"/>
      <c r="OL113" s="38"/>
      <c r="OM113" s="38"/>
      <c r="OS113" s="36"/>
      <c r="OT113" s="38"/>
      <c r="OU113" s="38"/>
      <c r="PA113" s="36"/>
      <c r="PB113" s="38"/>
      <c r="PC113" s="38"/>
      <c r="PI113" s="36"/>
      <c r="PJ113" s="38"/>
      <c r="PK113" s="38"/>
      <c r="PQ113" s="36"/>
      <c r="PR113" s="38"/>
      <c r="PS113" s="38"/>
      <c r="PY113" s="36"/>
      <c r="PZ113" s="38"/>
      <c r="QA113" s="38"/>
      <c r="QG113" s="36"/>
      <c r="QH113" s="38"/>
      <c r="QI113" s="38"/>
      <c r="QO113" s="36"/>
      <c r="QP113" s="38"/>
      <c r="QQ113" s="38"/>
      <c r="QW113" s="36"/>
      <c r="QX113" s="38"/>
      <c r="QY113" s="38"/>
      <c r="RE113" s="36"/>
      <c r="RF113" s="38"/>
      <c r="RG113" s="38"/>
      <c r="RM113" s="36"/>
      <c r="RN113" s="38"/>
      <c r="RO113" s="38"/>
      <c r="RU113" s="36"/>
      <c r="RV113" s="38"/>
      <c r="RW113" s="38"/>
      <c r="SC113" s="36"/>
      <c r="SD113" s="38"/>
      <c r="SE113" s="38"/>
      <c r="SK113" s="36"/>
      <c r="SL113" s="38"/>
      <c r="SM113" s="38"/>
      <c r="SS113" s="36"/>
      <c r="ST113" s="38"/>
      <c r="SU113" s="38"/>
      <c r="TA113" s="36"/>
      <c r="TB113" s="38"/>
      <c r="TC113" s="38"/>
      <c r="TI113" s="36"/>
      <c r="TJ113" s="38"/>
      <c r="TK113" s="38"/>
      <c r="TQ113" s="36"/>
      <c r="TR113" s="38"/>
      <c r="TS113" s="38"/>
      <c r="TY113" s="36"/>
      <c r="TZ113" s="38"/>
      <c r="UA113" s="38"/>
      <c r="UG113" s="36"/>
      <c r="UH113" s="38"/>
      <c r="UI113" s="38"/>
      <c r="UO113" s="36"/>
      <c r="UP113" s="38"/>
      <c r="UQ113" s="38"/>
      <c r="UW113" s="36"/>
      <c r="UX113" s="38"/>
      <c r="UY113" s="38"/>
      <c r="VE113" s="36"/>
      <c r="VF113" s="38"/>
      <c r="VG113" s="38"/>
      <c r="VM113" s="36"/>
      <c r="VN113" s="38"/>
      <c r="VO113" s="38"/>
      <c r="VU113" s="36"/>
      <c r="VV113" s="38"/>
      <c r="VW113" s="38"/>
      <c r="WC113" s="36"/>
      <c r="WD113" s="38"/>
      <c r="WE113" s="38"/>
      <c r="WK113" s="36"/>
      <c r="WL113" s="38"/>
      <c r="WM113" s="38"/>
      <c r="WS113" s="36"/>
      <c r="WT113" s="38"/>
      <c r="WU113" s="38"/>
      <c r="XA113" s="36"/>
      <c r="XB113" s="38"/>
      <c r="XC113" s="38"/>
      <c r="XI113" s="36"/>
      <c r="XJ113" s="38"/>
      <c r="XK113" s="38"/>
      <c r="XQ113" s="36"/>
      <c r="XR113" s="38"/>
      <c r="XS113" s="38"/>
      <c r="XY113" s="36"/>
      <c r="XZ113" s="38"/>
      <c r="YA113" s="38"/>
      <c r="YG113" s="36"/>
      <c r="YH113" s="38"/>
      <c r="YI113" s="38"/>
      <c r="YO113" s="36"/>
      <c r="YP113" s="38"/>
      <c r="YQ113" s="38"/>
      <c r="YW113" s="36"/>
      <c r="YX113" s="38"/>
      <c r="YY113" s="38"/>
      <c r="ZE113" s="36"/>
      <c r="ZF113" s="38"/>
      <c r="ZG113" s="38"/>
      <c r="ZM113" s="36"/>
      <c r="ZN113" s="38"/>
      <c r="ZO113" s="38"/>
      <c r="ZU113" s="36"/>
      <c r="ZV113" s="38"/>
      <c r="ZW113" s="38"/>
      <c r="AAC113" s="36"/>
      <c r="AAD113" s="38"/>
      <c r="AAE113" s="38"/>
      <c r="AAK113" s="36"/>
      <c r="AAL113" s="38"/>
      <c r="AAM113" s="38"/>
      <c r="AAS113" s="36"/>
      <c r="AAT113" s="38"/>
      <c r="AAU113" s="38"/>
      <c r="ABA113" s="36"/>
      <c r="ABB113" s="38"/>
      <c r="ABC113" s="38"/>
      <c r="ABI113" s="36"/>
      <c r="ABJ113" s="38"/>
      <c r="ABK113" s="38"/>
      <c r="ABQ113" s="36"/>
      <c r="ABR113" s="38"/>
      <c r="ABS113" s="38"/>
      <c r="ABY113" s="36"/>
      <c r="ABZ113" s="38"/>
      <c r="ACA113" s="38"/>
      <c r="ACG113" s="36"/>
      <c r="ACH113" s="38"/>
      <c r="ACI113" s="38"/>
      <c r="ACO113" s="36"/>
      <c r="ACP113" s="38"/>
      <c r="ACQ113" s="38"/>
      <c r="ACW113" s="36"/>
      <c r="ACX113" s="38"/>
      <c r="ACY113" s="38"/>
      <c r="ADE113" s="36"/>
      <c r="ADF113" s="38"/>
      <c r="ADG113" s="38"/>
      <c r="ADM113" s="36"/>
      <c r="ADN113" s="38"/>
      <c r="ADO113" s="38"/>
      <c r="ADU113" s="36"/>
      <c r="ADV113" s="38"/>
      <c r="ADW113" s="38"/>
      <c r="AEC113" s="36"/>
      <c r="AED113" s="38"/>
      <c r="AEE113" s="38"/>
      <c r="AEK113" s="36"/>
      <c r="AEL113" s="38"/>
      <c r="AEM113" s="38"/>
      <c r="AES113" s="36"/>
      <c r="AET113" s="38"/>
      <c r="AEU113" s="38"/>
      <c r="AFA113" s="36"/>
      <c r="AFB113" s="38"/>
      <c r="AFC113" s="38"/>
      <c r="AFI113" s="36"/>
      <c r="AFJ113" s="38"/>
      <c r="AFK113" s="38"/>
      <c r="AFQ113" s="36"/>
      <c r="AFR113" s="38"/>
      <c r="AFS113" s="38"/>
      <c r="AFY113" s="36"/>
      <c r="AFZ113" s="38"/>
      <c r="AGA113" s="38"/>
      <c r="AGG113" s="36"/>
      <c r="AGH113" s="38"/>
      <c r="AGI113" s="38"/>
      <c r="AGO113" s="36"/>
      <c r="AGP113" s="38"/>
      <c r="AGQ113" s="38"/>
      <c r="AGW113" s="36"/>
      <c r="AGX113" s="38"/>
      <c r="AGY113" s="38"/>
      <c r="AHE113" s="36"/>
      <c r="AHF113" s="38"/>
      <c r="AHG113" s="38"/>
      <c r="AHM113" s="36"/>
      <c r="AHN113" s="38"/>
      <c r="AHO113" s="38"/>
      <c r="AHU113" s="36"/>
      <c r="AHV113" s="38"/>
      <c r="AHW113" s="38"/>
      <c r="AIC113" s="36"/>
      <c r="AID113" s="38"/>
      <c r="AIE113" s="38"/>
      <c r="AIK113" s="36"/>
      <c r="AIL113" s="38"/>
      <c r="AIM113" s="38"/>
      <c r="AIS113" s="36"/>
      <c r="AIT113" s="38"/>
      <c r="AIU113" s="38"/>
      <c r="AJA113" s="36"/>
      <c r="AJB113" s="38"/>
      <c r="AJC113" s="38"/>
      <c r="AJI113" s="36"/>
      <c r="AJJ113" s="38"/>
      <c r="AJK113" s="38"/>
      <c r="AJQ113" s="36"/>
      <c r="AJR113" s="38"/>
      <c r="AJS113" s="38"/>
      <c r="AJY113" s="36"/>
      <c r="AJZ113" s="38"/>
      <c r="AKA113" s="38"/>
      <c r="AKG113" s="36"/>
      <c r="AKH113" s="38"/>
      <c r="AKI113" s="38"/>
      <c r="AKO113" s="36"/>
      <c r="AKP113" s="38"/>
      <c r="AKQ113" s="38"/>
      <c r="AKW113" s="36"/>
      <c r="AKX113" s="38"/>
      <c r="AKY113" s="38"/>
      <c r="ALE113" s="36"/>
      <c r="ALF113" s="38"/>
      <c r="ALG113" s="38"/>
      <c r="ALM113" s="36"/>
      <c r="ALN113" s="38"/>
      <c r="ALO113" s="38"/>
      <c r="ALU113" s="36"/>
      <c r="ALV113" s="38"/>
      <c r="ALW113" s="38"/>
      <c r="AMC113" s="36"/>
      <c r="AMD113" s="38"/>
      <c r="AME113" s="38"/>
      <c r="AMK113" s="36"/>
      <c r="AML113" s="38"/>
      <c r="AMM113" s="38"/>
      <c r="AMS113" s="36"/>
      <c r="AMT113" s="38"/>
      <c r="AMU113" s="38"/>
      <c r="ANA113" s="36"/>
      <c r="ANB113" s="38"/>
      <c r="ANC113" s="38"/>
      <c r="ANI113" s="36"/>
      <c r="ANJ113" s="38"/>
      <c r="ANK113" s="38"/>
      <c r="ANQ113" s="36"/>
      <c r="ANR113" s="38"/>
      <c r="ANS113" s="38"/>
      <c r="ANY113" s="36"/>
      <c r="ANZ113" s="38"/>
      <c r="AOA113" s="38"/>
      <c r="AOG113" s="36"/>
      <c r="AOH113" s="38"/>
      <c r="AOI113" s="38"/>
      <c r="AOO113" s="36"/>
      <c r="AOP113" s="38"/>
      <c r="AOQ113" s="38"/>
      <c r="AOW113" s="36"/>
      <c r="AOX113" s="38"/>
      <c r="AOY113" s="38"/>
      <c r="APE113" s="36"/>
      <c r="APF113" s="38"/>
      <c r="APG113" s="38"/>
      <c r="APM113" s="36"/>
      <c r="APN113" s="38"/>
      <c r="APO113" s="38"/>
      <c r="APU113" s="36"/>
      <c r="APV113" s="38"/>
      <c r="APW113" s="38"/>
      <c r="AQC113" s="36"/>
      <c r="AQD113" s="38"/>
      <c r="AQE113" s="38"/>
      <c r="AQK113" s="36"/>
      <c r="AQL113" s="38"/>
      <c r="AQM113" s="38"/>
      <c r="AQS113" s="36"/>
      <c r="AQT113" s="38"/>
      <c r="AQU113" s="38"/>
      <c r="ARA113" s="36"/>
      <c r="ARB113" s="38"/>
      <c r="ARC113" s="38"/>
      <c r="ARI113" s="36"/>
      <c r="ARJ113" s="38"/>
      <c r="ARK113" s="38"/>
      <c r="ARQ113" s="36"/>
      <c r="ARR113" s="38"/>
      <c r="ARS113" s="38"/>
      <c r="ARY113" s="36"/>
      <c r="ARZ113" s="38"/>
      <c r="ASA113" s="38"/>
      <c r="ASG113" s="36"/>
      <c r="ASH113" s="38"/>
      <c r="ASI113" s="38"/>
      <c r="ASO113" s="36"/>
      <c r="ASP113" s="38"/>
      <c r="ASQ113" s="38"/>
      <c r="ASW113" s="36"/>
      <c r="ASX113" s="38"/>
      <c r="ASY113" s="38"/>
      <c r="ATE113" s="36"/>
      <c r="ATF113" s="38"/>
      <c r="ATG113" s="38"/>
      <c r="ATM113" s="36"/>
      <c r="ATN113" s="38"/>
      <c r="ATO113" s="38"/>
      <c r="ATU113" s="36"/>
      <c r="ATV113" s="38"/>
      <c r="ATW113" s="38"/>
      <c r="AUC113" s="36"/>
      <c r="AUD113" s="38"/>
      <c r="AUE113" s="38"/>
      <c r="AUK113" s="36"/>
      <c r="AUL113" s="38"/>
      <c r="AUM113" s="38"/>
      <c r="AUS113" s="36"/>
      <c r="AUT113" s="38"/>
      <c r="AUU113" s="38"/>
      <c r="AVA113" s="36"/>
      <c r="AVB113" s="38"/>
      <c r="AVC113" s="38"/>
      <c r="AVI113" s="36"/>
      <c r="AVJ113" s="38"/>
      <c r="AVK113" s="38"/>
      <c r="AVQ113" s="36"/>
      <c r="AVR113" s="38"/>
      <c r="AVS113" s="38"/>
      <c r="AVY113" s="36"/>
      <c r="AVZ113" s="38"/>
      <c r="AWA113" s="38"/>
      <c r="AWG113" s="36"/>
      <c r="AWH113" s="38"/>
      <c r="AWI113" s="38"/>
      <c r="AWO113" s="36"/>
      <c r="AWP113" s="38"/>
      <c r="AWQ113" s="38"/>
      <c r="AWW113" s="36"/>
      <c r="AWX113" s="38"/>
      <c r="AWY113" s="38"/>
      <c r="AXE113" s="36"/>
      <c r="AXF113" s="38"/>
      <c r="AXG113" s="38"/>
      <c r="AXM113" s="36"/>
      <c r="AXN113" s="38"/>
      <c r="AXO113" s="38"/>
      <c r="AXU113" s="36"/>
      <c r="AXV113" s="38"/>
      <c r="AXW113" s="38"/>
      <c r="AYC113" s="36"/>
      <c r="AYD113" s="38"/>
      <c r="AYE113" s="38"/>
      <c r="AYK113" s="36"/>
      <c r="AYL113" s="38"/>
      <c r="AYM113" s="38"/>
      <c r="AYS113" s="36"/>
      <c r="AYT113" s="38"/>
      <c r="AYU113" s="38"/>
      <c r="AZA113" s="36"/>
      <c r="AZB113" s="38"/>
      <c r="AZC113" s="38"/>
      <c r="AZI113" s="36"/>
      <c r="AZJ113" s="38"/>
      <c r="AZK113" s="38"/>
      <c r="AZQ113" s="36"/>
      <c r="AZR113" s="38"/>
      <c r="AZS113" s="38"/>
      <c r="AZY113" s="36"/>
      <c r="AZZ113" s="38"/>
      <c r="BAA113" s="38"/>
      <c r="BAG113" s="36"/>
      <c r="BAH113" s="38"/>
      <c r="BAI113" s="38"/>
      <c r="BAO113" s="36"/>
      <c r="BAP113" s="38"/>
      <c r="BAQ113" s="38"/>
      <c r="BAW113" s="36"/>
      <c r="BAX113" s="38"/>
      <c r="BAY113" s="38"/>
      <c r="BBE113" s="36"/>
      <c r="BBF113" s="38"/>
      <c r="BBG113" s="38"/>
      <c r="BBM113" s="36"/>
      <c r="BBN113" s="38"/>
      <c r="BBO113" s="38"/>
      <c r="BBU113" s="36"/>
      <c r="BBV113" s="38"/>
      <c r="BBW113" s="38"/>
      <c r="BCC113" s="36"/>
      <c r="BCD113" s="38"/>
      <c r="BCE113" s="38"/>
      <c r="BCK113" s="36"/>
      <c r="BCL113" s="38"/>
      <c r="BCM113" s="38"/>
      <c r="BCS113" s="36"/>
      <c r="BCT113" s="38"/>
      <c r="BCU113" s="38"/>
      <c r="BDA113" s="36"/>
      <c r="BDB113" s="38"/>
      <c r="BDC113" s="38"/>
      <c r="BDI113" s="36"/>
      <c r="BDJ113" s="38"/>
      <c r="BDK113" s="38"/>
      <c r="BDQ113" s="36"/>
      <c r="BDR113" s="38"/>
      <c r="BDS113" s="38"/>
      <c r="BDY113" s="36"/>
      <c r="BDZ113" s="38"/>
      <c r="BEA113" s="38"/>
      <c r="BEG113" s="36"/>
      <c r="BEH113" s="38"/>
      <c r="BEI113" s="38"/>
      <c r="BEO113" s="36"/>
      <c r="BEP113" s="38"/>
      <c r="BEQ113" s="38"/>
      <c r="BEW113" s="36"/>
      <c r="BEX113" s="38"/>
      <c r="BEY113" s="38"/>
      <c r="BFE113" s="36"/>
      <c r="BFF113" s="38"/>
      <c r="BFG113" s="38"/>
      <c r="BFM113" s="36"/>
      <c r="BFN113" s="38"/>
      <c r="BFO113" s="38"/>
      <c r="BFU113" s="36"/>
      <c r="BFV113" s="38"/>
      <c r="BFW113" s="38"/>
      <c r="BGC113" s="36"/>
      <c r="BGD113" s="38"/>
      <c r="BGE113" s="38"/>
      <c r="BGK113" s="36"/>
      <c r="BGL113" s="38"/>
      <c r="BGM113" s="38"/>
      <c r="BGS113" s="36"/>
      <c r="BGT113" s="38"/>
      <c r="BGU113" s="38"/>
      <c r="BHA113" s="36"/>
      <c r="BHB113" s="38"/>
      <c r="BHC113" s="38"/>
      <c r="BHI113" s="36"/>
      <c r="BHJ113" s="38"/>
      <c r="BHK113" s="38"/>
      <c r="BHQ113" s="36"/>
      <c r="BHR113" s="38"/>
      <c r="BHS113" s="38"/>
      <c r="BHY113" s="36"/>
      <c r="BHZ113" s="38"/>
      <c r="BIA113" s="38"/>
      <c r="BIG113" s="36"/>
      <c r="BIH113" s="38"/>
      <c r="BII113" s="38"/>
      <c r="BIO113" s="36"/>
      <c r="BIP113" s="38"/>
      <c r="BIQ113" s="38"/>
      <c r="BIW113" s="36"/>
      <c r="BIX113" s="38"/>
      <c r="BIY113" s="38"/>
      <c r="BJE113" s="36"/>
      <c r="BJF113" s="38"/>
      <c r="BJG113" s="38"/>
      <c r="BJM113" s="36"/>
      <c r="BJN113" s="38"/>
      <c r="BJO113" s="38"/>
      <c r="BJU113" s="36"/>
      <c r="BJV113" s="38"/>
      <c r="BJW113" s="38"/>
      <c r="BKC113" s="36"/>
      <c r="BKD113" s="38"/>
      <c r="BKE113" s="38"/>
      <c r="BKK113" s="36"/>
      <c r="BKL113" s="38"/>
      <c r="BKM113" s="38"/>
      <c r="BKS113" s="36"/>
      <c r="BKT113" s="38"/>
      <c r="BKU113" s="38"/>
      <c r="BLA113" s="36"/>
      <c r="BLB113" s="38"/>
      <c r="BLC113" s="38"/>
      <c r="BLI113" s="36"/>
      <c r="BLJ113" s="38"/>
      <c r="BLK113" s="38"/>
      <c r="BLQ113" s="36"/>
      <c r="BLR113" s="38"/>
      <c r="BLS113" s="38"/>
      <c r="BLY113" s="36"/>
      <c r="BLZ113" s="38"/>
      <c r="BMA113" s="38"/>
      <c r="BMG113" s="36"/>
      <c r="BMH113" s="38"/>
      <c r="BMI113" s="38"/>
      <c r="BMO113" s="36"/>
      <c r="BMP113" s="38"/>
      <c r="BMQ113" s="38"/>
      <c r="BMW113" s="36"/>
      <c r="BMX113" s="38"/>
      <c r="BMY113" s="38"/>
      <c r="BNE113" s="36"/>
      <c r="BNF113" s="38"/>
      <c r="BNG113" s="38"/>
      <c r="BNM113" s="36"/>
      <c r="BNN113" s="38"/>
      <c r="BNO113" s="38"/>
      <c r="BNU113" s="36"/>
      <c r="BNV113" s="38"/>
      <c r="BNW113" s="38"/>
      <c r="BOC113" s="36"/>
      <c r="BOD113" s="38"/>
      <c r="BOE113" s="38"/>
      <c r="BOK113" s="36"/>
      <c r="BOL113" s="38"/>
      <c r="BOM113" s="38"/>
      <c r="BOS113" s="36"/>
      <c r="BOT113" s="38"/>
      <c r="BOU113" s="38"/>
      <c r="BPA113" s="36"/>
      <c r="BPB113" s="38"/>
      <c r="BPC113" s="38"/>
      <c r="BPI113" s="36"/>
      <c r="BPJ113" s="38"/>
      <c r="BPK113" s="38"/>
      <c r="BPQ113" s="36"/>
      <c r="BPR113" s="38"/>
      <c r="BPS113" s="38"/>
      <c r="BPY113" s="36"/>
      <c r="BPZ113" s="38"/>
      <c r="BQA113" s="38"/>
      <c r="BQG113" s="36"/>
      <c r="BQH113" s="38"/>
      <c r="BQI113" s="38"/>
      <c r="BQO113" s="36"/>
      <c r="BQP113" s="38"/>
      <c r="BQQ113" s="38"/>
      <c r="BQW113" s="36"/>
      <c r="BQX113" s="38"/>
      <c r="BQY113" s="38"/>
      <c r="BRE113" s="36"/>
      <c r="BRF113" s="38"/>
      <c r="BRG113" s="38"/>
      <c r="BRM113" s="36"/>
      <c r="BRN113" s="38"/>
      <c r="BRO113" s="38"/>
      <c r="BRU113" s="36"/>
      <c r="BRV113" s="38"/>
      <c r="BRW113" s="38"/>
      <c r="BSC113" s="36"/>
      <c r="BSD113" s="38"/>
      <c r="BSE113" s="38"/>
      <c r="BSK113" s="36"/>
      <c r="BSL113" s="38"/>
      <c r="BSM113" s="38"/>
      <c r="BSS113" s="36"/>
      <c r="BST113" s="38"/>
      <c r="BSU113" s="38"/>
      <c r="BTA113" s="36"/>
      <c r="BTB113" s="38"/>
      <c r="BTC113" s="38"/>
      <c r="BTI113" s="36"/>
      <c r="BTJ113" s="38"/>
      <c r="BTK113" s="38"/>
      <c r="BTQ113" s="36"/>
      <c r="BTR113" s="38"/>
      <c r="BTS113" s="38"/>
      <c r="BTY113" s="36"/>
      <c r="BTZ113" s="38"/>
      <c r="BUA113" s="38"/>
      <c r="BUG113" s="36"/>
      <c r="BUH113" s="38"/>
      <c r="BUI113" s="38"/>
      <c r="BUO113" s="36"/>
      <c r="BUP113" s="38"/>
      <c r="BUQ113" s="38"/>
      <c r="BUW113" s="36"/>
      <c r="BUX113" s="38"/>
      <c r="BUY113" s="38"/>
      <c r="BVE113" s="36"/>
      <c r="BVF113" s="38"/>
      <c r="BVG113" s="38"/>
      <c r="BVM113" s="36"/>
      <c r="BVN113" s="38"/>
      <c r="BVO113" s="38"/>
      <c r="BVU113" s="36"/>
      <c r="BVV113" s="38"/>
      <c r="BVW113" s="38"/>
      <c r="BWC113" s="36"/>
      <c r="BWD113" s="38"/>
      <c r="BWE113" s="38"/>
      <c r="BWK113" s="36"/>
      <c r="BWL113" s="38"/>
      <c r="BWM113" s="38"/>
      <c r="BWS113" s="36"/>
      <c r="BWT113" s="38"/>
      <c r="BWU113" s="38"/>
      <c r="BXA113" s="36"/>
      <c r="BXB113" s="38"/>
      <c r="BXC113" s="38"/>
      <c r="BXI113" s="36"/>
      <c r="BXJ113" s="38"/>
      <c r="BXK113" s="38"/>
      <c r="BXQ113" s="36"/>
      <c r="BXR113" s="38"/>
      <c r="BXS113" s="38"/>
      <c r="BXY113" s="36"/>
      <c r="BXZ113" s="38"/>
      <c r="BYA113" s="38"/>
      <c r="BYG113" s="36"/>
      <c r="BYH113" s="38"/>
      <c r="BYI113" s="38"/>
      <c r="BYO113" s="36"/>
      <c r="BYP113" s="38"/>
      <c r="BYQ113" s="38"/>
      <c r="BYW113" s="36"/>
      <c r="BYX113" s="38"/>
      <c r="BYY113" s="38"/>
      <c r="BZE113" s="36"/>
      <c r="BZF113" s="38"/>
      <c r="BZG113" s="38"/>
      <c r="BZM113" s="36"/>
      <c r="BZN113" s="38"/>
      <c r="BZO113" s="38"/>
      <c r="BZU113" s="36"/>
      <c r="BZV113" s="38"/>
      <c r="BZW113" s="38"/>
      <c r="CAC113" s="36"/>
      <c r="CAD113" s="38"/>
      <c r="CAE113" s="38"/>
      <c r="CAK113" s="36"/>
      <c r="CAL113" s="38"/>
      <c r="CAM113" s="38"/>
      <c r="CAS113" s="36"/>
      <c r="CAT113" s="38"/>
      <c r="CAU113" s="38"/>
      <c r="CBA113" s="36"/>
      <c r="CBB113" s="38"/>
      <c r="CBC113" s="38"/>
      <c r="CBI113" s="36"/>
      <c r="CBJ113" s="38"/>
      <c r="CBK113" s="38"/>
      <c r="CBQ113" s="36"/>
      <c r="CBR113" s="38"/>
      <c r="CBS113" s="38"/>
      <c r="CBY113" s="36"/>
      <c r="CBZ113" s="38"/>
      <c r="CCA113" s="38"/>
      <c r="CCG113" s="36"/>
      <c r="CCH113" s="38"/>
      <c r="CCI113" s="38"/>
      <c r="CCO113" s="36"/>
      <c r="CCP113" s="38"/>
      <c r="CCQ113" s="38"/>
      <c r="CCW113" s="36"/>
      <c r="CCX113" s="38"/>
      <c r="CCY113" s="38"/>
      <c r="CDE113" s="36"/>
      <c r="CDF113" s="38"/>
      <c r="CDG113" s="38"/>
      <c r="CDM113" s="36"/>
      <c r="CDN113" s="38"/>
      <c r="CDO113" s="38"/>
      <c r="CDU113" s="36"/>
      <c r="CDV113" s="38"/>
      <c r="CDW113" s="38"/>
      <c r="CEC113" s="36"/>
      <c r="CED113" s="38"/>
      <c r="CEE113" s="38"/>
      <c r="CEK113" s="36"/>
      <c r="CEL113" s="38"/>
      <c r="CEM113" s="38"/>
      <c r="CES113" s="36"/>
      <c r="CET113" s="38"/>
      <c r="CEU113" s="38"/>
      <c r="CFA113" s="36"/>
      <c r="CFB113" s="38"/>
      <c r="CFC113" s="38"/>
      <c r="CFI113" s="36"/>
      <c r="CFJ113" s="38"/>
      <c r="CFK113" s="38"/>
      <c r="CFQ113" s="36"/>
      <c r="CFR113" s="38"/>
      <c r="CFS113" s="38"/>
      <c r="CFY113" s="36"/>
      <c r="CFZ113" s="38"/>
      <c r="CGA113" s="38"/>
      <c r="CGG113" s="36"/>
      <c r="CGH113" s="38"/>
      <c r="CGI113" s="38"/>
      <c r="CGO113" s="36"/>
      <c r="CGP113" s="38"/>
      <c r="CGQ113" s="38"/>
      <c r="CGW113" s="36"/>
      <c r="CGX113" s="38"/>
      <c r="CGY113" s="38"/>
      <c r="CHE113" s="36"/>
      <c r="CHF113" s="38"/>
      <c r="CHG113" s="38"/>
      <c r="CHM113" s="36"/>
      <c r="CHN113" s="38"/>
      <c r="CHO113" s="38"/>
      <c r="CHU113" s="36"/>
      <c r="CHV113" s="38"/>
      <c r="CHW113" s="38"/>
      <c r="CIC113" s="36"/>
      <c r="CID113" s="38"/>
      <c r="CIE113" s="38"/>
      <c r="CIK113" s="36"/>
      <c r="CIL113" s="38"/>
      <c r="CIM113" s="38"/>
      <c r="CIS113" s="36"/>
      <c r="CIT113" s="38"/>
      <c r="CIU113" s="38"/>
      <c r="CJA113" s="36"/>
      <c r="CJB113" s="38"/>
      <c r="CJC113" s="38"/>
      <c r="CJI113" s="36"/>
      <c r="CJJ113" s="38"/>
      <c r="CJK113" s="38"/>
      <c r="CJQ113" s="36"/>
      <c r="CJR113" s="38"/>
      <c r="CJS113" s="38"/>
      <c r="CJY113" s="36"/>
      <c r="CJZ113" s="38"/>
      <c r="CKA113" s="38"/>
      <c r="CKG113" s="36"/>
      <c r="CKH113" s="38"/>
      <c r="CKI113" s="38"/>
      <c r="CKO113" s="36"/>
      <c r="CKP113" s="38"/>
      <c r="CKQ113" s="38"/>
      <c r="CKW113" s="36"/>
      <c r="CKX113" s="38"/>
      <c r="CKY113" s="38"/>
      <c r="CLE113" s="36"/>
      <c r="CLF113" s="38"/>
      <c r="CLG113" s="38"/>
      <c r="CLM113" s="36"/>
      <c r="CLN113" s="38"/>
      <c r="CLO113" s="38"/>
      <c r="CLU113" s="36"/>
      <c r="CLV113" s="38"/>
      <c r="CLW113" s="38"/>
      <c r="CMC113" s="36"/>
      <c r="CMD113" s="38"/>
      <c r="CME113" s="38"/>
      <c r="CMK113" s="36"/>
      <c r="CML113" s="38"/>
      <c r="CMM113" s="38"/>
      <c r="CMS113" s="36"/>
      <c r="CMT113" s="38"/>
      <c r="CMU113" s="38"/>
      <c r="CNA113" s="36"/>
      <c r="CNB113" s="38"/>
      <c r="CNC113" s="38"/>
      <c r="CNI113" s="36"/>
      <c r="CNJ113" s="38"/>
      <c r="CNK113" s="38"/>
      <c r="CNQ113" s="36"/>
      <c r="CNR113" s="38"/>
      <c r="CNS113" s="38"/>
      <c r="CNY113" s="36"/>
      <c r="CNZ113" s="38"/>
      <c r="COA113" s="38"/>
      <c r="COG113" s="36"/>
      <c r="COH113" s="38"/>
      <c r="COI113" s="38"/>
      <c r="COO113" s="36"/>
      <c r="COP113" s="38"/>
      <c r="COQ113" s="38"/>
      <c r="COW113" s="36"/>
      <c r="COX113" s="38"/>
      <c r="COY113" s="38"/>
      <c r="CPE113" s="36"/>
      <c r="CPF113" s="38"/>
      <c r="CPG113" s="38"/>
      <c r="CPM113" s="36"/>
      <c r="CPN113" s="38"/>
      <c r="CPO113" s="38"/>
      <c r="CPU113" s="36"/>
      <c r="CPV113" s="38"/>
      <c r="CPW113" s="38"/>
      <c r="CQC113" s="36"/>
      <c r="CQD113" s="38"/>
      <c r="CQE113" s="38"/>
      <c r="CQK113" s="36"/>
      <c r="CQL113" s="38"/>
      <c r="CQM113" s="38"/>
      <c r="CQS113" s="36"/>
      <c r="CQT113" s="38"/>
      <c r="CQU113" s="38"/>
      <c r="CRA113" s="36"/>
      <c r="CRB113" s="38"/>
      <c r="CRC113" s="38"/>
      <c r="CRI113" s="36"/>
      <c r="CRJ113" s="38"/>
      <c r="CRK113" s="38"/>
      <c r="CRQ113" s="36"/>
      <c r="CRR113" s="38"/>
      <c r="CRS113" s="38"/>
      <c r="CRY113" s="36"/>
      <c r="CRZ113" s="38"/>
      <c r="CSA113" s="38"/>
      <c r="CSG113" s="36"/>
      <c r="CSH113" s="38"/>
      <c r="CSI113" s="38"/>
      <c r="CSO113" s="36"/>
      <c r="CSP113" s="38"/>
      <c r="CSQ113" s="38"/>
      <c r="CSW113" s="36"/>
      <c r="CSX113" s="38"/>
      <c r="CSY113" s="38"/>
      <c r="CTE113" s="36"/>
      <c r="CTF113" s="38"/>
      <c r="CTG113" s="38"/>
      <c r="CTM113" s="36"/>
      <c r="CTN113" s="38"/>
      <c r="CTO113" s="38"/>
      <c r="CTU113" s="36"/>
      <c r="CTV113" s="38"/>
      <c r="CTW113" s="38"/>
      <c r="CUC113" s="36"/>
      <c r="CUD113" s="38"/>
      <c r="CUE113" s="38"/>
      <c r="CUK113" s="36"/>
      <c r="CUL113" s="38"/>
      <c r="CUM113" s="38"/>
      <c r="CUS113" s="36"/>
      <c r="CUT113" s="38"/>
      <c r="CUU113" s="38"/>
      <c r="CVA113" s="36"/>
      <c r="CVB113" s="38"/>
      <c r="CVC113" s="38"/>
      <c r="CVI113" s="36"/>
      <c r="CVJ113" s="38"/>
      <c r="CVK113" s="38"/>
      <c r="CVQ113" s="36"/>
      <c r="CVR113" s="38"/>
      <c r="CVS113" s="38"/>
      <c r="CVY113" s="36"/>
      <c r="CVZ113" s="38"/>
      <c r="CWA113" s="38"/>
      <c r="CWG113" s="36"/>
      <c r="CWH113" s="38"/>
      <c r="CWI113" s="38"/>
      <c r="CWO113" s="36"/>
      <c r="CWP113" s="38"/>
      <c r="CWQ113" s="38"/>
      <c r="CWW113" s="36"/>
      <c r="CWX113" s="38"/>
      <c r="CWY113" s="38"/>
      <c r="CXE113" s="36"/>
      <c r="CXF113" s="38"/>
      <c r="CXG113" s="38"/>
      <c r="CXM113" s="36"/>
      <c r="CXN113" s="38"/>
      <c r="CXO113" s="38"/>
      <c r="CXU113" s="36"/>
      <c r="CXV113" s="38"/>
      <c r="CXW113" s="38"/>
      <c r="CYC113" s="36"/>
      <c r="CYD113" s="38"/>
      <c r="CYE113" s="38"/>
      <c r="CYK113" s="36"/>
      <c r="CYL113" s="38"/>
      <c r="CYM113" s="38"/>
      <c r="CYS113" s="36"/>
      <c r="CYT113" s="38"/>
      <c r="CYU113" s="38"/>
      <c r="CZA113" s="36"/>
      <c r="CZB113" s="38"/>
      <c r="CZC113" s="38"/>
      <c r="CZI113" s="36"/>
      <c r="CZJ113" s="38"/>
      <c r="CZK113" s="38"/>
      <c r="CZQ113" s="36"/>
      <c r="CZR113" s="38"/>
      <c r="CZS113" s="38"/>
      <c r="CZY113" s="36"/>
      <c r="CZZ113" s="38"/>
      <c r="DAA113" s="38"/>
      <c r="DAG113" s="36"/>
      <c r="DAH113" s="38"/>
      <c r="DAI113" s="38"/>
      <c r="DAO113" s="36"/>
      <c r="DAP113" s="38"/>
      <c r="DAQ113" s="38"/>
      <c r="DAW113" s="36"/>
      <c r="DAX113" s="38"/>
      <c r="DAY113" s="38"/>
      <c r="DBE113" s="36"/>
      <c r="DBF113" s="38"/>
      <c r="DBG113" s="38"/>
      <c r="DBM113" s="36"/>
      <c r="DBN113" s="38"/>
      <c r="DBO113" s="38"/>
      <c r="DBU113" s="36"/>
      <c r="DBV113" s="38"/>
      <c r="DBW113" s="38"/>
      <c r="DCC113" s="36"/>
      <c r="DCD113" s="38"/>
      <c r="DCE113" s="38"/>
      <c r="DCK113" s="36"/>
      <c r="DCL113" s="38"/>
      <c r="DCM113" s="38"/>
      <c r="DCS113" s="36"/>
      <c r="DCT113" s="38"/>
      <c r="DCU113" s="38"/>
      <c r="DDA113" s="36"/>
      <c r="DDB113" s="38"/>
      <c r="DDC113" s="38"/>
      <c r="DDI113" s="36"/>
      <c r="DDJ113" s="38"/>
      <c r="DDK113" s="38"/>
      <c r="DDQ113" s="36"/>
      <c r="DDR113" s="38"/>
      <c r="DDS113" s="38"/>
      <c r="DDY113" s="36"/>
      <c r="DDZ113" s="38"/>
      <c r="DEA113" s="38"/>
      <c r="DEG113" s="36"/>
      <c r="DEH113" s="38"/>
      <c r="DEI113" s="38"/>
      <c r="DEO113" s="36"/>
      <c r="DEP113" s="38"/>
      <c r="DEQ113" s="38"/>
      <c r="DEW113" s="36"/>
      <c r="DEX113" s="38"/>
      <c r="DEY113" s="38"/>
      <c r="DFE113" s="36"/>
      <c r="DFF113" s="38"/>
      <c r="DFG113" s="38"/>
      <c r="DFM113" s="36"/>
      <c r="DFN113" s="38"/>
      <c r="DFO113" s="38"/>
      <c r="DFU113" s="36"/>
      <c r="DFV113" s="38"/>
      <c r="DFW113" s="38"/>
      <c r="DGC113" s="36"/>
      <c r="DGD113" s="38"/>
      <c r="DGE113" s="38"/>
      <c r="DGK113" s="36"/>
      <c r="DGL113" s="38"/>
      <c r="DGM113" s="38"/>
      <c r="DGS113" s="36"/>
      <c r="DGT113" s="38"/>
      <c r="DGU113" s="38"/>
      <c r="DHA113" s="36"/>
      <c r="DHB113" s="38"/>
      <c r="DHC113" s="38"/>
      <c r="DHI113" s="36"/>
      <c r="DHJ113" s="38"/>
      <c r="DHK113" s="38"/>
      <c r="DHQ113" s="36"/>
      <c r="DHR113" s="38"/>
      <c r="DHS113" s="38"/>
      <c r="DHY113" s="36"/>
      <c r="DHZ113" s="38"/>
      <c r="DIA113" s="38"/>
      <c r="DIG113" s="36"/>
      <c r="DIH113" s="38"/>
      <c r="DII113" s="38"/>
      <c r="DIO113" s="36"/>
      <c r="DIP113" s="38"/>
      <c r="DIQ113" s="38"/>
      <c r="DIW113" s="36"/>
      <c r="DIX113" s="38"/>
      <c r="DIY113" s="38"/>
      <c r="DJE113" s="36"/>
      <c r="DJF113" s="38"/>
      <c r="DJG113" s="38"/>
      <c r="DJM113" s="36"/>
      <c r="DJN113" s="38"/>
      <c r="DJO113" s="38"/>
      <c r="DJU113" s="36"/>
      <c r="DJV113" s="38"/>
      <c r="DJW113" s="38"/>
      <c r="DKC113" s="36"/>
      <c r="DKD113" s="38"/>
      <c r="DKE113" s="38"/>
      <c r="DKK113" s="36"/>
      <c r="DKL113" s="38"/>
      <c r="DKM113" s="38"/>
      <c r="DKS113" s="36"/>
      <c r="DKT113" s="38"/>
      <c r="DKU113" s="38"/>
      <c r="DLA113" s="36"/>
      <c r="DLB113" s="38"/>
      <c r="DLC113" s="38"/>
      <c r="DLI113" s="36"/>
      <c r="DLJ113" s="38"/>
      <c r="DLK113" s="38"/>
      <c r="DLQ113" s="36"/>
      <c r="DLR113" s="38"/>
      <c r="DLS113" s="38"/>
      <c r="DLY113" s="36"/>
      <c r="DLZ113" s="38"/>
      <c r="DMA113" s="38"/>
      <c r="DMG113" s="36"/>
      <c r="DMH113" s="38"/>
      <c r="DMI113" s="38"/>
      <c r="DMO113" s="36"/>
      <c r="DMP113" s="38"/>
      <c r="DMQ113" s="38"/>
      <c r="DMW113" s="36"/>
      <c r="DMX113" s="38"/>
      <c r="DMY113" s="38"/>
      <c r="DNE113" s="36"/>
      <c r="DNF113" s="38"/>
      <c r="DNG113" s="38"/>
      <c r="DNM113" s="36"/>
      <c r="DNN113" s="38"/>
      <c r="DNO113" s="38"/>
      <c r="DNU113" s="36"/>
      <c r="DNV113" s="38"/>
      <c r="DNW113" s="38"/>
      <c r="DOC113" s="36"/>
      <c r="DOD113" s="38"/>
      <c r="DOE113" s="38"/>
      <c r="DOK113" s="36"/>
      <c r="DOL113" s="38"/>
      <c r="DOM113" s="38"/>
      <c r="DOS113" s="36"/>
      <c r="DOT113" s="38"/>
      <c r="DOU113" s="38"/>
      <c r="DPA113" s="36"/>
      <c r="DPB113" s="38"/>
      <c r="DPC113" s="38"/>
      <c r="DPI113" s="36"/>
      <c r="DPJ113" s="38"/>
      <c r="DPK113" s="38"/>
      <c r="DPQ113" s="36"/>
      <c r="DPR113" s="38"/>
      <c r="DPS113" s="38"/>
      <c r="DPY113" s="36"/>
      <c r="DPZ113" s="38"/>
      <c r="DQA113" s="38"/>
      <c r="DQG113" s="36"/>
      <c r="DQH113" s="38"/>
      <c r="DQI113" s="38"/>
      <c r="DQO113" s="36"/>
      <c r="DQP113" s="38"/>
      <c r="DQQ113" s="38"/>
      <c r="DQW113" s="36"/>
      <c r="DQX113" s="38"/>
      <c r="DQY113" s="38"/>
      <c r="DRE113" s="36"/>
      <c r="DRF113" s="38"/>
      <c r="DRG113" s="38"/>
      <c r="DRM113" s="36"/>
      <c r="DRN113" s="38"/>
      <c r="DRO113" s="38"/>
      <c r="DRU113" s="36"/>
      <c r="DRV113" s="38"/>
      <c r="DRW113" s="38"/>
      <c r="DSC113" s="36"/>
      <c r="DSD113" s="38"/>
      <c r="DSE113" s="38"/>
      <c r="DSK113" s="36"/>
      <c r="DSL113" s="38"/>
      <c r="DSM113" s="38"/>
      <c r="DSS113" s="36"/>
      <c r="DST113" s="38"/>
      <c r="DSU113" s="38"/>
      <c r="DTA113" s="36"/>
      <c r="DTB113" s="38"/>
      <c r="DTC113" s="38"/>
      <c r="DTI113" s="36"/>
      <c r="DTJ113" s="38"/>
      <c r="DTK113" s="38"/>
      <c r="DTQ113" s="36"/>
      <c r="DTR113" s="38"/>
      <c r="DTS113" s="38"/>
      <c r="DTY113" s="36"/>
      <c r="DTZ113" s="38"/>
      <c r="DUA113" s="38"/>
      <c r="DUG113" s="36"/>
      <c r="DUH113" s="38"/>
      <c r="DUI113" s="38"/>
      <c r="DUO113" s="36"/>
      <c r="DUP113" s="38"/>
      <c r="DUQ113" s="38"/>
      <c r="DUW113" s="36"/>
      <c r="DUX113" s="38"/>
      <c r="DUY113" s="38"/>
      <c r="DVE113" s="36"/>
      <c r="DVF113" s="38"/>
      <c r="DVG113" s="38"/>
      <c r="DVM113" s="36"/>
      <c r="DVN113" s="38"/>
      <c r="DVO113" s="38"/>
      <c r="DVU113" s="36"/>
      <c r="DVV113" s="38"/>
      <c r="DVW113" s="38"/>
      <c r="DWC113" s="36"/>
      <c r="DWD113" s="38"/>
      <c r="DWE113" s="38"/>
      <c r="DWK113" s="36"/>
      <c r="DWL113" s="38"/>
      <c r="DWM113" s="38"/>
      <c r="DWS113" s="36"/>
      <c r="DWT113" s="38"/>
      <c r="DWU113" s="38"/>
      <c r="DXA113" s="36"/>
      <c r="DXB113" s="38"/>
      <c r="DXC113" s="38"/>
      <c r="DXI113" s="36"/>
      <c r="DXJ113" s="38"/>
      <c r="DXK113" s="38"/>
      <c r="DXQ113" s="36"/>
      <c r="DXR113" s="38"/>
      <c r="DXS113" s="38"/>
      <c r="DXY113" s="36"/>
      <c r="DXZ113" s="38"/>
      <c r="DYA113" s="38"/>
      <c r="DYG113" s="36"/>
      <c r="DYH113" s="38"/>
      <c r="DYI113" s="38"/>
      <c r="DYO113" s="36"/>
      <c r="DYP113" s="38"/>
      <c r="DYQ113" s="38"/>
      <c r="DYW113" s="36"/>
      <c r="DYX113" s="38"/>
      <c r="DYY113" s="38"/>
      <c r="DZE113" s="36"/>
      <c r="DZF113" s="38"/>
      <c r="DZG113" s="38"/>
      <c r="DZM113" s="36"/>
      <c r="DZN113" s="38"/>
      <c r="DZO113" s="38"/>
      <c r="DZU113" s="36"/>
      <c r="DZV113" s="38"/>
      <c r="DZW113" s="38"/>
      <c r="EAC113" s="36"/>
      <c r="EAD113" s="38"/>
      <c r="EAE113" s="38"/>
      <c r="EAK113" s="36"/>
      <c r="EAL113" s="38"/>
      <c r="EAM113" s="38"/>
      <c r="EAS113" s="36"/>
      <c r="EAT113" s="38"/>
      <c r="EAU113" s="38"/>
      <c r="EBA113" s="36"/>
      <c r="EBB113" s="38"/>
      <c r="EBC113" s="38"/>
      <c r="EBI113" s="36"/>
      <c r="EBJ113" s="38"/>
      <c r="EBK113" s="38"/>
      <c r="EBQ113" s="36"/>
      <c r="EBR113" s="38"/>
      <c r="EBS113" s="38"/>
      <c r="EBY113" s="36"/>
      <c r="EBZ113" s="38"/>
      <c r="ECA113" s="38"/>
      <c r="ECG113" s="36"/>
      <c r="ECH113" s="38"/>
      <c r="ECI113" s="38"/>
      <c r="ECO113" s="36"/>
      <c r="ECP113" s="38"/>
      <c r="ECQ113" s="38"/>
      <c r="ECW113" s="36"/>
      <c r="ECX113" s="38"/>
      <c r="ECY113" s="38"/>
      <c r="EDE113" s="36"/>
      <c r="EDF113" s="38"/>
      <c r="EDG113" s="38"/>
      <c r="EDM113" s="36"/>
      <c r="EDN113" s="38"/>
      <c r="EDO113" s="38"/>
      <c r="EDU113" s="36"/>
      <c r="EDV113" s="38"/>
      <c r="EDW113" s="38"/>
      <c r="EEC113" s="36"/>
      <c r="EED113" s="38"/>
      <c r="EEE113" s="38"/>
      <c r="EEK113" s="36"/>
      <c r="EEL113" s="38"/>
      <c r="EEM113" s="38"/>
      <c r="EES113" s="36"/>
      <c r="EET113" s="38"/>
      <c r="EEU113" s="38"/>
      <c r="EFA113" s="36"/>
      <c r="EFB113" s="38"/>
      <c r="EFC113" s="38"/>
      <c r="EFI113" s="36"/>
      <c r="EFJ113" s="38"/>
      <c r="EFK113" s="38"/>
      <c r="EFQ113" s="36"/>
      <c r="EFR113" s="38"/>
      <c r="EFS113" s="38"/>
      <c r="EFY113" s="36"/>
      <c r="EFZ113" s="38"/>
      <c r="EGA113" s="38"/>
      <c r="EGG113" s="36"/>
      <c r="EGH113" s="38"/>
      <c r="EGI113" s="38"/>
      <c r="EGO113" s="36"/>
      <c r="EGP113" s="38"/>
      <c r="EGQ113" s="38"/>
      <c r="EGW113" s="36"/>
      <c r="EGX113" s="38"/>
      <c r="EGY113" s="38"/>
      <c r="EHE113" s="36"/>
      <c r="EHF113" s="38"/>
      <c r="EHG113" s="38"/>
      <c r="EHM113" s="36"/>
      <c r="EHN113" s="38"/>
      <c r="EHO113" s="38"/>
      <c r="EHU113" s="36"/>
      <c r="EHV113" s="38"/>
      <c r="EHW113" s="38"/>
      <c r="EIC113" s="36"/>
      <c r="EID113" s="38"/>
      <c r="EIE113" s="38"/>
      <c r="EIK113" s="36"/>
      <c r="EIL113" s="38"/>
      <c r="EIM113" s="38"/>
      <c r="EIS113" s="36"/>
      <c r="EIT113" s="38"/>
      <c r="EIU113" s="38"/>
      <c r="EJA113" s="36"/>
      <c r="EJB113" s="38"/>
      <c r="EJC113" s="38"/>
      <c r="EJI113" s="36"/>
      <c r="EJJ113" s="38"/>
      <c r="EJK113" s="38"/>
      <c r="EJQ113" s="36"/>
      <c r="EJR113" s="38"/>
      <c r="EJS113" s="38"/>
      <c r="EJY113" s="36"/>
      <c r="EJZ113" s="38"/>
      <c r="EKA113" s="38"/>
      <c r="EKG113" s="36"/>
      <c r="EKH113" s="38"/>
      <c r="EKI113" s="38"/>
      <c r="EKO113" s="36"/>
      <c r="EKP113" s="38"/>
      <c r="EKQ113" s="38"/>
      <c r="EKW113" s="36"/>
      <c r="EKX113" s="38"/>
      <c r="EKY113" s="38"/>
      <c r="ELE113" s="36"/>
      <c r="ELF113" s="38"/>
      <c r="ELG113" s="38"/>
      <c r="ELM113" s="36"/>
      <c r="ELN113" s="38"/>
      <c r="ELO113" s="38"/>
      <c r="ELU113" s="36"/>
      <c r="ELV113" s="38"/>
      <c r="ELW113" s="38"/>
      <c r="EMC113" s="36"/>
      <c r="EMD113" s="38"/>
      <c r="EME113" s="38"/>
      <c r="EMK113" s="36"/>
      <c r="EML113" s="38"/>
      <c r="EMM113" s="38"/>
      <c r="EMS113" s="36"/>
      <c r="EMT113" s="38"/>
      <c r="EMU113" s="38"/>
      <c r="ENA113" s="36"/>
      <c r="ENB113" s="38"/>
      <c r="ENC113" s="38"/>
      <c r="ENI113" s="36"/>
      <c r="ENJ113" s="38"/>
      <c r="ENK113" s="38"/>
      <c r="ENQ113" s="36"/>
      <c r="ENR113" s="38"/>
      <c r="ENS113" s="38"/>
      <c r="ENY113" s="36"/>
      <c r="ENZ113" s="38"/>
      <c r="EOA113" s="38"/>
      <c r="EOG113" s="36"/>
      <c r="EOH113" s="38"/>
      <c r="EOI113" s="38"/>
      <c r="EOO113" s="36"/>
      <c r="EOP113" s="38"/>
      <c r="EOQ113" s="38"/>
      <c r="EOW113" s="36"/>
      <c r="EOX113" s="38"/>
      <c r="EOY113" s="38"/>
      <c r="EPE113" s="36"/>
      <c r="EPF113" s="38"/>
      <c r="EPG113" s="38"/>
      <c r="EPM113" s="36"/>
      <c r="EPN113" s="38"/>
      <c r="EPO113" s="38"/>
      <c r="EPU113" s="36"/>
      <c r="EPV113" s="38"/>
      <c r="EPW113" s="38"/>
      <c r="EQC113" s="36"/>
      <c r="EQD113" s="38"/>
      <c r="EQE113" s="38"/>
      <c r="EQK113" s="36"/>
      <c r="EQL113" s="38"/>
      <c r="EQM113" s="38"/>
      <c r="EQS113" s="36"/>
      <c r="EQT113" s="38"/>
      <c r="EQU113" s="38"/>
      <c r="ERA113" s="36"/>
      <c r="ERB113" s="38"/>
      <c r="ERC113" s="38"/>
      <c r="ERI113" s="36"/>
      <c r="ERJ113" s="38"/>
      <c r="ERK113" s="38"/>
      <c r="ERQ113" s="36"/>
      <c r="ERR113" s="38"/>
      <c r="ERS113" s="38"/>
      <c r="ERY113" s="36"/>
      <c r="ERZ113" s="38"/>
      <c r="ESA113" s="38"/>
      <c r="ESG113" s="36"/>
      <c r="ESH113" s="38"/>
      <c r="ESI113" s="38"/>
      <c r="ESO113" s="36"/>
      <c r="ESP113" s="38"/>
      <c r="ESQ113" s="38"/>
      <c r="ESW113" s="36"/>
      <c r="ESX113" s="38"/>
      <c r="ESY113" s="38"/>
      <c r="ETE113" s="36"/>
      <c r="ETF113" s="38"/>
      <c r="ETG113" s="38"/>
      <c r="ETM113" s="36"/>
      <c r="ETN113" s="38"/>
      <c r="ETO113" s="38"/>
      <c r="ETU113" s="36"/>
      <c r="ETV113" s="38"/>
      <c r="ETW113" s="38"/>
      <c r="EUC113" s="36"/>
      <c r="EUD113" s="38"/>
      <c r="EUE113" s="38"/>
      <c r="EUK113" s="36"/>
      <c r="EUL113" s="38"/>
      <c r="EUM113" s="38"/>
      <c r="EUS113" s="36"/>
      <c r="EUT113" s="38"/>
      <c r="EUU113" s="38"/>
      <c r="EVA113" s="36"/>
      <c r="EVB113" s="38"/>
      <c r="EVC113" s="38"/>
      <c r="EVI113" s="36"/>
      <c r="EVJ113" s="38"/>
      <c r="EVK113" s="38"/>
      <c r="EVQ113" s="36"/>
      <c r="EVR113" s="38"/>
      <c r="EVS113" s="38"/>
      <c r="EVY113" s="36"/>
      <c r="EVZ113" s="38"/>
      <c r="EWA113" s="38"/>
      <c r="EWG113" s="36"/>
      <c r="EWH113" s="38"/>
      <c r="EWI113" s="38"/>
      <c r="EWO113" s="36"/>
      <c r="EWP113" s="38"/>
      <c r="EWQ113" s="38"/>
      <c r="EWW113" s="36"/>
      <c r="EWX113" s="38"/>
      <c r="EWY113" s="38"/>
      <c r="EXE113" s="36"/>
      <c r="EXF113" s="38"/>
      <c r="EXG113" s="38"/>
      <c r="EXM113" s="36"/>
      <c r="EXN113" s="38"/>
      <c r="EXO113" s="38"/>
      <c r="EXU113" s="36"/>
      <c r="EXV113" s="38"/>
      <c r="EXW113" s="38"/>
      <c r="EYC113" s="36"/>
      <c r="EYD113" s="38"/>
      <c r="EYE113" s="38"/>
      <c r="EYK113" s="36"/>
      <c r="EYL113" s="38"/>
      <c r="EYM113" s="38"/>
      <c r="EYS113" s="36"/>
      <c r="EYT113" s="38"/>
      <c r="EYU113" s="38"/>
      <c r="EZA113" s="36"/>
      <c r="EZB113" s="38"/>
      <c r="EZC113" s="38"/>
      <c r="EZI113" s="36"/>
      <c r="EZJ113" s="38"/>
      <c r="EZK113" s="38"/>
      <c r="EZQ113" s="36"/>
      <c r="EZR113" s="38"/>
      <c r="EZS113" s="38"/>
      <c r="EZY113" s="36"/>
      <c r="EZZ113" s="38"/>
      <c r="FAA113" s="38"/>
      <c r="FAG113" s="36"/>
      <c r="FAH113" s="38"/>
      <c r="FAI113" s="38"/>
      <c r="FAO113" s="36"/>
      <c r="FAP113" s="38"/>
      <c r="FAQ113" s="38"/>
      <c r="FAW113" s="36"/>
      <c r="FAX113" s="38"/>
      <c r="FAY113" s="38"/>
      <c r="FBE113" s="36"/>
      <c r="FBF113" s="38"/>
      <c r="FBG113" s="38"/>
      <c r="FBM113" s="36"/>
      <c r="FBN113" s="38"/>
      <c r="FBO113" s="38"/>
      <c r="FBU113" s="36"/>
      <c r="FBV113" s="38"/>
      <c r="FBW113" s="38"/>
      <c r="FCC113" s="36"/>
      <c r="FCD113" s="38"/>
      <c r="FCE113" s="38"/>
      <c r="FCK113" s="36"/>
      <c r="FCL113" s="38"/>
      <c r="FCM113" s="38"/>
      <c r="FCS113" s="36"/>
      <c r="FCT113" s="38"/>
      <c r="FCU113" s="38"/>
      <c r="FDA113" s="36"/>
      <c r="FDB113" s="38"/>
      <c r="FDC113" s="38"/>
      <c r="FDI113" s="36"/>
      <c r="FDJ113" s="38"/>
      <c r="FDK113" s="38"/>
      <c r="FDQ113" s="36"/>
      <c r="FDR113" s="38"/>
      <c r="FDS113" s="38"/>
      <c r="FDY113" s="36"/>
      <c r="FDZ113" s="38"/>
      <c r="FEA113" s="38"/>
      <c r="FEG113" s="36"/>
      <c r="FEH113" s="38"/>
      <c r="FEI113" s="38"/>
      <c r="FEO113" s="36"/>
      <c r="FEP113" s="38"/>
      <c r="FEQ113" s="38"/>
      <c r="FEW113" s="36"/>
      <c r="FEX113" s="38"/>
      <c r="FEY113" s="38"/>
      <c r="FFE113" s="36"/>
      <c r="FFF113" s="38"/>
      <c r="FFG113" s="38"/>
      <c r="FFM113" s="36"/>
      <c r="FFN113" s="38"/>
      <c r="FFO113" s="38"/>
      <c r="FFU113" s="36"/>
      <c r="FFV113" s="38"/>
      <c r="FFW113" s="38"/>
      <c r="FGC113" s="36"/>
      <c r="FGD113" s="38"/>
      <c r="FGE113" s="38"/>
      <c r="FGK113" s="36"/>
      <c r="FGL113" s="38"/>
      <c r="FGM113" s="38"/>
      <c r="FGS113" s="36"/>
      <c r="FGT113" s="38"/>
      <c r="FGU113" s="38"/>
      <c r="FHA113" s="36"/>
      <c r="FHB113" s="38"/>
      <c r="FHC113" s="38"/>
      <c r="FHI113" s="36"/>
      <c r="FHJ113" s="38"/>
      <c r="FHK113" s="38"/>
      <c r="FHQ113" s="36"/>
      <c r="FHR113" s="38"/>
      <c r="FHS113" s="38"/>
      <c r="FHY113" s="36"/>
      <c r="FHZ113" s="38"/>
      <c r="FIA113" s="38"/>
      <c r="FIG113" s="36"/>
      <c r="FIH113" s="38"/>
      <c r="FII113" s="38"/>
      <c r="FIO113" s="36"/>
      <c r="FIP113" s="38"/>
      <c r="FIQ113" s="38"/>
      <c r="FIW113" s="36"/>
      <c r="FIX113" s="38"/>
      <c r="FIY113" s="38"/>
      <c r="FJE113" s="36"/>
      <c r="FJF113" s="38"/>
      <c r="FJG113" s="38"/>
      <c r="FJM113" s="36"/>
      <c r="FJN113" s="38"/>
      <c r="FJO113" s="38"/>
      <c r="FJU113" s="36"/>
      <c r="FJV113" s="38"/>
      <c r="FJW113" s="38"/>
      <c r="FKC113" s="36"/>
      <c r="FKD113" s="38"/>
      <c r="FKE113" s="38"/>
      <c r="FKK113" s="36"/>
      <c r="FKL113" s="38"/>
      <c r="FKM113" s="38"/>
      <c r="FKS113" s="36"/>
      <c r="FKT113" s="38"/>
      <c r="FKU113" s="38"/>
      <c r="FLA113" s="36"/>
      <c r="FLB113" s="38"/>
      <c r="FLC113" s="38"/>
      <c r="FLI113" s="36"/>
      <c r="FLJ113" s="38"/>
      <c r="FLK113" s="38"/>
      <c r="FLQ113" s="36"/>
      <c r="FLR113" s="38"/>
      <c r="FLS113" s="38"/>
      <c r="FLY113" s="36"/>
      <c r="FLZ113" s="38"/>
      <c r="FMA113" s="38"/>
      <c r="FMG113" s="36"/>
      <c r="FMH113" s="38"/>
      <c r="FMI113" s="38"/>
      <c r="FMO113" s="36"/>
      <c r="FMP113" s="38"/>
      <c r="FMQ113" s="38"/>
      <c r="FMW113" s="36"/>
      <c r="FMX113" s="38"/>
      <c r="FMY113" s="38"/>
      <c r="FNE113" s="36"/>
      <c r="FNF113" s="38"/>
      <c r="FNG113" s="38"/>
      <c r="FNM113" s="36"/>
      <c r="FNN113" s="38"/>
      <c r="FNO113" s="38"/>
      <c r="FNU113" s="36"/>
      <c r="FNV113" s="38"/>
      <c r="FNW113" s="38"/>
      <c r="FOC113" s="36"/>
      <c r="FOD113" s="38"/>
      <c r="FOE113" s="38"/>
      <c r="FOK113" s="36"/>
      <c r="FOL113" s="38"/>
      <c r="FOM113" s="38"/>
      <c r="FOS113" s="36"/>
      <c r="FOT113" s="38"/>
      <c r="FOU113" s="38"/>
      <c r="FPA113" s="36"/>
      <c r="FPB113" s="38"/>
      <c r="FPC113" s="38"/>
      <c r="FPI113" s="36"/>
      <c r="FPJ113" s="38"/>
      <c r="FPK113" s="38"/>
      <c r="FPQ113" s="36"/>
      <c r="FPR113" s="38"/>
      <c r="FPS113" s="38"/>
      <c r="FPY113" s="36"/>
      <c r="FPZ113" s="38"/>
      <c r="FQA113" s="38"/>
      <c r="FQG113" s="36"/>
      <c r="FQH113" s="38"/>
      <c r="FQI113" s="38"/>
      <c r="FQO113" s="36"/>
      <c r="FQP113" s="38"/>
      <c r="FQQ113" s="38"/>
      <c r="FQW113" s="36"/>
      <c r="FQX113" s="38"/>
      <c r="FQY113" s="38"/>
      <c r="FRE113" s="36"/>
      <c r="FRF113" s="38"/>
      <c r="FRG113" s="38"/>
      <c r="FRM113" s="36"/>
      <c r="FRN113" s="38"/>
      <c r="FRO113" s="38"/>
      <c r="FRU113" s="36"/>
      <c r="FRV113" s="38"/>
      <c r="FRW113" s="38"/>
      <c r="FSC113" s="36"/>
      <c r="FSD113" s="38"/>
      <c r="FSE113" s="38"/>
      <c r="FSK113" s="36"/>
      <c r="FSL113" s="38"/>
      <c r="FSM113" s="38"/>
      <c r="FSS113" s="36"/>
      <c r="FST113" s="38"/>
      <c r="FSU113" s="38"/>
      <c r="FTA113" s="36"/>
      <c r="FTB113" s="38"/>
      <c r="FTC113" s="38"/>
      <c r="FTI113" s="36"/>
      <c r="FTJ113" s="38"/>
      <c r="FTK113" s="38"/>
      <c r="FTQ113" s="36"/>
      <c r="FTR113" s="38"/>
      <c r="FTS113" s="38"/>
      <c r="FTY113" s="36"/>
      <c r="FTZ113" s="38"/>
      <c r="FUA113" s="38"/>
      <c r="FUG113" s="36"/>
      <c r="FUH113" s="38"/>
      <c r="FUI113" s="38"/>
      <c r="FUO113" s="36"/>
      <c r="FUP113" s="38"/>
      <c r="FUQ113" s="38"/>
      <c r="FUW113" s="36"/>
      <c r="FUX113" s="38"/>
      <c r="FUY113" s="38"/>
      <c r="FVE113" s="36"/>
      <c r="FVF113" s="38"/>
      <c r="FVG113" s="38"/>
      <c r="FVM113" s="36"/>
      <c r="FVN113" s="38"/>
      <c r="FVO113" s="38"/>
      <c r="FVU113" s="36"/>
      <c r="FVV113" s="38"/>
      <c r="FVW113" s="38"/>
      <c r="FWC113" s="36"/>
      <c r="FWD113" s="38"/>
      <c r="FWE113" s="38"/>
      <c r="FWK113" s="36"/>
      <c r="FWL113" s="38"/>
      <c r="FWM113" s="38"/>
      <c r="FWS113" s="36"/>
      <c r="FWT113" s="38"/>
      <c r="FWU113" s="38"/>
      <c r="FXA113" s="36"/>
      <c r="FXB113" s="38"/>
      <c r="FXC113" s="38"/>
      <c r="FXI113" s="36"/>
      <c r="FXJ113" s="38"/>
      <c r="FXK113" s="38"/>
      <c r="FXQ113" s="36"/>
      <c r="FXR113" s="38"/>
      <c r="FXS113" s="38"/>
      <c r="FXY113" s="36"/>
      <c r="FXZ113" s="38"/>
      <c r="FYA113" s="38"/>
      <c r="FYG113" s="36"/>
      <c r="FYH113" s="38"/>
      <c r="FYI113" s="38"/>
      <c r="FYO113" s="36"/>
      <c r="FYP113" s="38"/>
      <c r="FYQ113" s="38"/>
      <c r="FYW113" s="36"/>
      <c r="FYX113" s="38"/>
      <c r="FYY113" s="38"/>
      <c r="FZE113" s="36"/>
      <c r="FZF113" s="38"/>
      <c r="FZG113" s="38"/>
      <c r="FZM113" s="36"/>
      <c r="FZN113" s="38"/>
      <c r="FZO113" s="38"/>
      <c r="FZU113" s="36"/>
      <c r="FZV113" s="38"/>
      <c r="FZW113" s="38"/>
      <c r="GAC113" s="36"/>
      <c r="GAD113" s="38"/>
      <c r="GAE113" s="38"/>
      <c r="GAK113" s="36"/>
      <c r="GAL113" s="38"/>
      <c r="GAM113" s="38"/>
      <c r="GAS113" s="36"/>
      <c r="GAT113" s="38"/>
      <c r="GAU113" s="38"/>
      <c r="GBA113" s="36"/>
      <c r="GBB113" s="38"/>
      <c r="GBC113" s="38"/>
      <c r="GBI113" s="36"/>
      <c r="GBJ113" s="38"/>
      <c r="GBK113" s="38"/>
      <c r="GBQ113" s="36"/>
      <c r="GBR113" s="38"/>
      <c r="GBS113" s="38"/>
      <c r="GBY113" s="36"/>
      <c r="GBZ113" s="38"/>
      <c r="GCA113" s="38"/>
      <c r="GCG113" s="36"/>
      <c r="GCH113" s="38"/>
      <c r="GCI113" s="38"/>
      <c r="GCO113" s="36"/>
      <c r="GCP113" s="38"/>
      <c r="GCQ113" s="38"/>
      <c r="GCW113" s="36"/>
      <c r="GCX113" s="38"/>
      <c r="GCY113" s="38"/>
      <c r="GDE113" s="36"/>
      <c r="GDF113" s="38"/>
      <c r="GDG113" s="38"/>
      <c r="GDM113" s="36"/>
      <c r="GDN113" s="38"/>
      <c r="GDO113" s="38"/>
      <c r="GDU113" s="36"/>
      <c r="GDV113" s="38"/>
      <c r="GDW113" s="38"/>
      <c r="GEC113" s="36"/>
      <c r="GED113" s="38"/>
      <c r="GEE113" s="38"/>
      <c r="GEK113" s="36"/>
      <c r="GEL113" s="38"/>
      <c r="GEM113" s="38"/>
      <c r="GES113" s="36"/>
      <c r="GET113" s="38"/>
      <c r="GEU113" s="38"/>
      <c r="GFA113" s="36"/>
      <c r="GFB113" s="38"/>
      <c r="GFC113" s="38"/>
      <c r="GFI113" s="36"/>
      <c r="GFJ113" s="38"/>
      <c r="GFK113" s="38"/>
      <c r="GFQ113" s="36"/>
      <c r="GFR113" s="38"/>
      <c r="GFS113" s="38"/>
      <c r="GFY113" s="36"/>
      <c r="GFZ113" s="38"/>
      <c r="GGA113" s="38"/>
      <c r="GGG113" s="36"/>
      <c r="GGH113" s="38"/>
      <c r="GGI113" s="38"/>
      <c r="GGO113" s="36"/>
      <c r="GGP113" s="38"/>
      <c r="GGQ113" s="38"/>
      <c r="GGW113" s="36"/>
      <c r="GGX113" s="38"/>
      <c r="GGY113" s="38"/>
      <c r="GHE113" s="36"/>
      <c r="GHF113" s="38"/>
      <c r="GHG113" s="38"/>
      <c r="GHM113" s="36"/>
      <c r="GHN113" s="38"/>
      <c r="GHO113" s="38"/>
      <c r="GHU113" s="36"/>
      <c r="GHV113" s="38"/>
      <c r="GHW113" s="38"/>
      <c r="GIC113" s="36"/>
      <c r="GID113" s="38"/>
      <c r="GIE113" s="38"/>
      <c r="GIK113" s="36"/>
      <c r="GIL113" s="38"/>
      <c r="GIM113" s="38"/>
      <c r="GIS113" s="36"/>
      <c r="GIT113" s="38"/>
      <c r="GIU113" s="38"/>
      <c r="GJA113" s="36"/>
      <c r="GJB113" s="38"/>
      <c r="GJC113" s="38"/>
      <c r="GJI113" s="36"/>
      <c r="GJJ113" s="38"/>
      <c r="GJK113" s="38"/>
      <c r="GJQ113" s="36"/>
      <c r="GJR113" s="38"/>
      <c r="GJS113" s="38"/>
      <c r="GJY113" s="36"/>
      <c r="GJZ113" s="38"/>
      <c r="GKA113" s="38"/>
      <c r="GKG113" s="36"/>
      <c r="GKH113" s="38"/>
      <c r="GKI113" s="38"/>
      <c r="GKO113" s="36"/>
      <c r="GKP113" s="38"/>
      <c r="GKQ113" s="38"/>
      <c r="GKW113" s="36"/>
      <c r="GKX113" s="38"/>
      <c r="GKY113" s="38"/>
      <c r="GLE113" s="36"/>
      <c r="GLF113" s="38"/>
      <c r="GLG113" s="38"/>
      <c r="GLM113" s="36"/>
      <c r="GLN113" s="38"/>
      <c r="GLO113" s="38"/>
      <c r="GLU113" s="36"/>
      <c r="GLV113" s="38"/>
      <c r="GLW113" s="38"/>
      <c r="GMC113" s="36"/>
      <c r="GMD113" s="38"/>
      <c r="GME113" s="38"/>
      <c r="GMK113" s="36"/>
      <c r="GML113" s="38"/>
      <c r="GMM113" s="38"/>
      <c r="GMS113" s="36"/>
      <c r="GMT113" s="38"/>
      <c r="GMU113" s="38"/>
      <c r="GNA113" s="36"/>
      <c r="GNB113" s="38"/>
      <c r="GNC113" s="38"/>
      <c r="GNI113" s="36"/>
      <c r="GNJ113" s="38"/>
      <c r="GNK113" s="38"/>
      <c r="GNQ113" s="36"/>
      <c r="GNR113" s="38"/>
      <c r="GNS113" s="38"/>
      <c r="GNY113" s="36"/>
      <c r="GNZ113" s="38"/>
      <c r="GOA113" s="38"/>
      <c r="GOG113" s="36"/>
      <c r="GOH113" s="38"/>
      <c r="GOI113" s="38"/>
      <c r="GOO113" s="36"/>
      <c r="GOP113" s="38"/>
      <c r="GOQ113" s="38"/>
      <c r="GOW113" s="36"/>
      <c r="GOX113" s="38"/>
      <c r="GOY113" s="38"/>
      <c r="GPE113" s="36"/>
      <c r="GPF113" s="38"/>
      <c r="GPG113" s="38"/>
      <c r="GPM113" s="36"/>
      <c r="GPN113" s="38"/>
      <c r="GPO113" s="38"/>
      <c r="GPU113" s="36"/>
      <c r="GPV113" s="38"/>
      <c r="GPW113" s="38"/>
      <c r="GQC113" s="36"/>
      <c r="GQD113" s="38"/>
      <c r="GQE113" s="38"/>
      <c r="GQK113" s="36"/>
      <c r="GQL113" s="38"/>
      <c r="GQM113" s="38"/>
      <c r="GQS113" s="36"/>
      <c r="GQT113" s="38"/>
      <c r="GQU113" s="38"/>
      <c r="GRA113" s="36"/>
      <c r="GRB113" s="38"/>
      <c r="GRC113" s="38"/>
      <c r="GRI113" s="36"/>
      <c r="GRJ113" s="38"/>
      <c r="GRK113" s="38"/>
      <c r="GRQ113" s="36"/>
      <c r="GRR113" s="38"/>
      <c r="GRS113" s="38"/>
      <c r="GRY113" s="36"/>
      <c r="GRZ113" s="38"/>
      <c r="GSA113" s="38"/>
      <c r="GSG113" s="36"/>
      <c r="GSH113" s="38"/>
      <c r="GSI113" s="38"/>
      <c r="GSO113" s="36"/>
      <c r="GSP113" s="38"/>
      <c r="GSQ113" s="38"/>
      <c r="GSW113" s="36"/>
      <c r="GSX113" s="38"/>
      <c r="GSY113" s="38"/>
      <c r="GTE113" s="36"/>
      <c r="GTF113" s="38"/>
      <c r="GTG113" s="38"/>
      <c r="GTM113" s="36"/>
      <c r="GTN113" s="38"/>
      <c r="GTO113" s="38"/>
      <c r="GTU113" s="36"/>
      <c r="GTV113" s="38"/>
      <c r="GTW113" s="38"/>
      <c r="GUC113" s="36"/>
      <c r="GUD113" s="38"/>
      <c r="GUE113" s="38"/>
      <c r="GUK113" s="36"/>
      <c r="GUL113" s="38"/>
      <c r="GUM113" s="38"/>
      <c r="GUS113" s="36"/>
      <c r="GUT113" s="38"/>
      <c r="GUU113" s="38"/>
      <c r="GVA113" s="36"/>
      <c r="GVB113" s="38"/>
      <c r="GVC113" s="38"/>
      <c r="GVI113" s="36"/>
      <c r="GVJ113" s="38"/>
      <c r="GVK113" s="38"/>
      <c r="GVQ113" s="36"/>
      <c r="GVR113" s="38"/>
      <c r="GVS113" s="38"/>
      <c r="GVY113" s="36"/>
      <c r="GVZ113" s="38"/>
      <c r="GWA113" s="38"/>
      <c r="GWG113" s="36"/>
      <c r="GWH113" s="38"/>
      <c r="GWI113" s="38"/>
      <c r="GWO113" s="36"/>
      <c r="GWP113" s="38"/>
      <c r="GWQ113" s="38"/>
      <c r="GWW113" s="36"/>
      <c r="GWX113" s="38"/>
      <c r="GWY113" s="38"/>
      <c r="GXE113" s="36"/>
      <c r="GXF113" s="38"/>
      <c r="GXG113" s="38"/>
      <c r="GXM113" s="36"/>
      <c r="GXN113" s="38"/>
      <c r="GXO113" s="38"/>
      <c r="GXU113" s="36"/>
      <c r="GXV113" s="38"/>
      <c r="GXW113" s="38"/>
      <c r="GYC113" s="36"/>
      <c r="GYD113" s="38"/>
      <c r="GYE113" s="38"/>
      <c r="GYK113" s="36"/>
      <c r="GYL113" s="38"/>
      <c r="GYM113" s="38"/>
      <c r="GYS113" s="36"/>
      <c r="GYT113" s="38"/>
      <c r="GYU113" s="38"/>
      <c r="GZA113" s="36"/>
      <c r="GZB113" s="38"/>
      <c r="GZC113" s="38"/>
      <c r="GZI113" s="36"/>
      <c r="GZJ113" s="38"/>
      <c r="GZK113" s="38"/>
      <c r="GZQ113" s="36"/>
      <c r="GZR113" s="38"/>
      <c r="GZS113" s="38"/>
      <c r="GZY113" s="36"/>
      <c r="GZZ113" s="38"/>
      <c r="HAA113" s="38"/>
      <c r="HAG113" s="36"/>
      <c r="HAH113" s="38"/>
      <c r="HAI113" s="38"/>
      <c r="HAO113" s="36"/>
      <c r="HAP113" s="38"/>
      <c r="HAQ113" s="38"/>
      <c r="HAW113" s="36"/>
      <c r="HAX113" s="38"/>
      <c r="HAY113" s="38"/>
      <c r="HBE113" s="36"/>
      <c r="HBF113" s="38"/>
      <c r="HBG113" s="38"/>
      <c r="HBM113" s="36"/>
      <c r="HBN113" s="38"/>
      <c r="HBO113" s="38"/>
      <c r="HBU113" s="36"/>
      <c r="HBV113" s="38"/>
      <c r="HBW113" s="38"/>
      <c r="HCC113" s="36"/>
      <c r="HCD113" s="38"/>
      <c r="HCE113" s="38"/>
      <c r="HCK113" s="36"/>
      <c r="HCL113" s="38"/>
      <c r="HCM113" s="38"/>
      <c r="HCS113" s="36"/>
      <c r="HCT113" s="38"/>
      <c r="HCU113" s="38"/>
      <c r="HDA113" s="36"/>
      <c r="HDB113" s="38"/>
      <c r="HDC113" s="38"/>
      <c r="HDI113" s="36"/>
      <c r="HDJ113" s="38"/>
      <c r="HDK113" s="38"/>
      <c r="HDQ113" s="36"/>
      <c r="HDR113" s="38"/>
      <c r="HDS113" s="38"/>
      <c r="HDY113" s="36"/>
      <c r="HDZ113" s="38"/>
      <c r="HEA113" s="38"/>
      <c r="HEG113" s="36"/>
      <c r="HEH113" s="38"/>
      <c r="HEI113" s="38"/>
      <c r="HEO113" s="36"/>
      <c r="HEP113" s="38"/>
      <c r="HEQ113" s="38"/>
      <c r="HEW113" s="36"/>
      <c r="HEX113" s="38"/>
      <c r="HEY113" s="38"/>
      <c r="HFE113" s="36"/>
      <c r="HFF113" s="38"/>
      <c r="HFG113" s="38"/>
      <c r="HFM113" s="36"/>
      <c r="HFN113" s="38"/>
      <c r="HFO113" s="38"/>
      <c r="HFU113" s="36"/>
      <c r="HFV113" s="38"/>
      <c r="HFW113" s="38"/>
      <c r="HGC113" s="36"/>
      <c r="HGD113" s="38"/>
      <c r="HGE113" s="38"/>
      <c r="HGK113" s="36"/>
      <c r="HGL113" s="38"/>
      <c r="HGM113" s="38"/>
      <c r="HGS113" s="36"/>
      <c r="HGT113" s="38"/>
      <c r="HGU113" s="38"/>
      <c r="HHA113" s="36"/>
      <c r="HHB113" s="38"/>
      <c r="HHC113" s="38"/>
      <c r="HHI113" s="36"/>
      <c r="HHJ113" s="38"/>
      <c r="HHK113" s="38"/>
      <c r="HHQ113" s="36"/>
      <c r="HHR113" s="38"/>
      <c r="HHS113" s="38"/>
      <c r="HHY113" s="36"/>
      <c r="HHZ113" s="38"/>
      <c r="HIA113" s="38"/>
      <c r="HIG113" s="36"/>
      <c r="HIH113" s="38"/>
      <c r="HII113" s="38"/>
      <c r="HIO113" s="36"/>
      <c r="HIP113" s="38"/>
      <c r="HIQ113" s="38"/>
      <c r="HIW113" s="36"/>
      <c r="HIX113" s="38"/>
      <c r="HIY113" s="38"/>
      <c r="HJE113" s="36"/>
      <c r="HJF113" s="38"/>
      <c r="HJG113" s="38"/>
      <c r="HJM113" s="36"/>
      <c r="HJN113" s="38"/>
      <c r="HJO113" s="38"/>
      <c r="HJU113" s="36"/>
      <c r="HJV113" s="38"/>
      <c r="HJW113" s="38"/>
      <c r="HKC113" s="36"/>
      <c r="HKD113" s="38"/>
      <c r="HKE113" s="38"/>
      <c r="HKK113" s="36"/>
      <c r="HKL113" s="38"/>
      <c r="HKM113" s="38"/>
      <c r="HKS113" s="36"/>
      <c r="HKT113" s="38"/>
      <c r="HKU113" s="38"/>
      <c r="HLA113" s="36"/>
      <c r="HLB113" s="38"/>
      <c r="HLC113" s="38"/>
      <c r="HLI113" s="36"/>
      <c r="HLJ113" s="38"/>
      <c r="HLK113" s="38"/>
      <c r="HLQ113" s="36"/>
      <c r="HLR113" s="38"/>
      <c r="HLS113" s="38"/>
      <c r="HLY113" s="36"/>
      <c r="HLZ113" s="38"/>
      <c r="HMA113" s="38"/>
      <c r="HMG113" s="36"/>
      <c r="HMH113" s="38"/>
      <c r="HMI113" s="38"/>
      <c r="HMO113" s="36"/>
      <c r="HMP113" s="38"/>
      <c r="HMQ113" s="38"/>
      <c r="HMW113" s="36"/>
      <c r="HMX113" s="38"/>
      <c r="HMY113" s="38"/>
      <c r="HNE113" s="36"/>
      <c r="HNF113" s="38"/>
      <c r="HNG113" s="38"/>
      <c r="HNM113" s="36"/>
      <c r="HNN113" s="38"/>
      <c r="HNO113" s="38"/>
      <c r="HNU113" s="36"/>
      <c r="HNV113" s="38"/>
      <c r="HNW113" s="38"/>
      <c r="HOC113" s="36"/>
      <c r="HOD113" s="38"/>
      <c r="HOE113" s="38"/>
      <c r="HOK113" s="36"/>
      <c r="HOL113" s="38"/>
      <c r="HOM113" s="38"/>
      <c r="HOS113" s="36"/>
      <c r="HOT113" s="38"/>
      <c r="HOU113" s="38"/>
      <c r="HPA113" s="36"/>
      <c r="HPB113" s="38"/>
      <c r="HPC113" s="38"/>
      <c r="HPI113" s="36"/>
      <c r="HPJ113" s="38"/>
      <c r="HPK113" s="38"/>
      <c r="HPQ113" s="36"/>
      <c r="HPR113" s="38"/>
      <c r="HPS113" s="38"/>
      <c r="HPY113" s="36"/>
      <c r="HPZ113" s="38"/>
      <c r="HQA113" s="38"/>
      <c r="HQG113" s="36"/>
      <c r="HQH113" s="38"/>
      <c r="HQI113" s="38"/>
      <c r="HQO113" s="36"/>
      <c r="HQP113" s="38"/>
      <c r="HQQ113" s="38"/>
      <c r="HQW113" s="36"/>
      <c r="HQX113" s="38"/>
      <c r="HQY113" s="38"/>
      <c r="HRE113" s="36"/>
      <c r="HRF113" s="38"/>
      <c r="HRG113" s="38"/>
      <c r="HRM113" s="36"/>
      <c r="HRN113" s="38"/>
      <c r="HRO113" s="38"/>
      <c r="HRU113" s="36"/>
      <c r="HRV113" s="38"/>
      <c r="HRW113" s="38"/>
      <c r="HSC113" s="36"/>
      <c r="HSD113" s="38"/>
      <c r="HSE113" s="38"/>
      <c r="HSK113" s="36"/>
      <c r="HSL113" s="38"/>
      <c r="HSM113" s="38"/>
      <c r="HSS113" s="36"/>
      <c r="HST113" s="38"/>
      <c r="HSU113" s="38"/>
      <c r="HTA113" s="36"/>
      <c r="HTB113" s="38"/>
      <c r="HTC113" s="38"/>
      <c r="HTI113" s="36"/>
      <c r="HTJ113" s="38"/>
      <c r="HTK113" s="38"/>
      <c r="HTQ113" s="36"/>
      <c r="HTR113" s="38"/>
      <c r="HTS113" s="38"/>
      <c r="HTY113" s="36"/>
      <c r="HTZ113" s="38"/>
      <c r="HUA113" s="38"/>
      <c r="HUG113" s="36"/>
      <c r="HUH113" s="38"/>
      <c r="HUI113" s="38"/>
      <c r="HUO113" s="36"/>
      <c r="HUP113" s="38"/>
      <c r="HUQ113" s="38"/>
      <c r="HUW113" s="36"/>
      <c r="HUX113" s="38"/>
      <c r="HUY113" s="38"/>
      <c r="HVE113" s="36"/>
      <c r="HVF113" s="38"/>
      <c r="HVG113" s="38"/>
      <c r="HVM113" s="36"/>
      <c r="HVN113" s="38"/>
      <c r="HVO113" s="38"/>
      <c r="HVU113" s="36"/>
      <c r="HVV113" s="38"/>
      <c r="HVW113" s="38"/>
      <c r="HWC113" s="36"/>
      <c r="HWD113" s="38"/>
      <c r="HWE113" s="38"/>
      <c r="HWK113" s="36"/>
      <c r="HWL113" s="38"/>
      <c r="HWM113" s="38"/>
      <c r="HWS113" s="36"/>
      <c r="HWT113" s="38"/>
      <c r="HWU113" s="38"/>
      <c r="HXA113" s="36"/>
      <c r="HXB113" s="38"/>
      <c r="HXC113" s="38"/>
      <c r="HXI113" s="36"/>
      <c r="HXJ113" s="38"/>
      <c r="HXK113" s="38"/>
      <c r="HXQ113" s="36"/>
      <c r="HXR113" s="38"/>
      <c r="HXS113" s="38"/>
      <c r="HXY113" s="36"/>
      <c r="HXZ113" s="38"/>
      <c r="HYA113" s="38"/>
      <c r="HYG113" s="36"/>
      <c r="HYH113" s="38"/>
      <c r="HYI113" s="38"/>
      <c r="HYO113" s="36"/>
      <c r="HYP113" s="38"/>
      <c r="HYQ113" s="38"/>
      <c r="HYW113" s="36"/>
      <c r="HYX113" s="38"/>
      <c r="HYY113" s="38"/>
      <c r="HZE113" s="36"/>
      <c r="HZF113" s="38"/>
      <c r="HZG113" s="38"/>
      <c r="HZM113" s="36"/>
      <c r="HZN113" s="38"/>
      <c r="HZO113" s="38"/>
      <c r="HZU113" s="36"/>
      <c r="HZV113" s="38"/>
      <c r="HZW113" s="38"/>
      <c r="IAC113" s="36"/>
      <c r="IAD113" s="38"/>
      <c r="IAE113" s="38"/>
      <c r="IAK113" s="36"/>
      <c r="IAL113" s="38"/>
      <c r="IAM113" s="38"/>
      <c r="IAS113" s="36"/>
      <c r="IAT113" s="38"/>
      <c r="IAU113" s="38"/>
      <c r="IBA113" s="36"/>
      <c r="IBB113" s="38"/>
      <c r="IBC113" s="38"/>
      <c r="IBI113" s="36"/>
      <c r="IBJ113" s="38"/>
      <c r="IBK113" s="38"/>
      <c r="IBQ113" s="36"/>
      <c r="IBR113" s="38"/>
      <c r="IBS113" s="38"/>
      <c r="IBY113" s="36"/>
      <c r="IBZ113" s="38"/>
      <c r="ICA113" s="38"/>
      <c r="ICG113" s="36"/>
      <c r="ICH113" s="38"/>
      <c r="ICI113" s="38"/>
      <c r="ICO113" s="36"/>
      <c r="ICP113" s="38"/>
      <c r="ICQ113" s="38"/>
      <c r="ICW113" s="36"/>
      <c r="ICX113" s="38"/>
      <c r="ICY113" s="38"/>
      <c r="IDE113" s="36"/>
      <c r="IDF113" s="38"/>
      <c r="IDG113" s="38"/>
      <c r="IDM113" s="36"/>
      <c r="IDN113" s="38"/>
      <c r="IDO113" s="38"/>
      <c r="IDU113" s="36"/>
      <c r="IDV113" s="38"/>
      <c r="IDW113" s="38"/>
      <c r="IEC113" s="36"/>
      <c r="IED113" s="38"/>
      <c r="IEE113" s="38"/>
      <c r="IEK113" s="36"/>
      <c r="IEL113" s="38"/>
      <c r="IEM113" s="38"/>
      <c r="IES113" s="36"/>
      <c r="IET113" s="38"/>
      <c r="IEU113" s="38"/>
      <c r="IFA113" s="36"/>
      <c r="IFB113" s="38"/>
      <c r="IFC113" s="38"/>
      <c r="IFI113" s="36"/>
      <c r="IFJ113" s="38"/>
      <c r="IFK113" s="38"/>
      <c r="IFQ113" s="36"/>
      <c r="IFR113" s="38"/>
      <c r="IFS113" s="38"/>
      <c r="IFY113" s="36"/>
      <c r="IFZ113" s="38"/>
      <c r="IGA113" s="38"/>
      <c r="IGG113" s="36"/>
      <c r="IGH113" s="38"/>
      <c r="IGI113" s="38"/>
      <c r="IGO113" s="36"/>
      <c r="IGP113" s="38"/>
      <c r="IGQ113" s="38"/>
      <c r="IGW113" s="36"/>
      <c r="IGX113" s="38"/>
      <c r="IGY113" s="38"/>
      <c r="IHE113" s="36"/>
      <c r="IHF113" s="38"/>
      <c r="IHG113" s="38"/>
      <c r="IHM113" s="36"/>
      <c r="IHN113" s="38"/>
      <c r="IHO113" s="38"/>
      <c r="IHU113" s="36"/>
      <c r="IHV113" s="38"/>
      <c r="IHW113" s="38"/>
      <c r="IIC113" s="36"/>
      <c r="IID113" s="38"/>
      <c r="IIE113" s="38"/>
      <c r="IIK113" s="36"/>
      <c r="IIL113" s="38"/>
      <c r="IIM113" s="38"/>
      <c r="IIS113" s="36"/>
      <c r="IIT113" s="38"/>
      <c r="IIU113" s="38"/>
      <c r="IJA113" s="36"/>
      <c r="IJB113" s="38"/>
      <c r="IJC113" s="38"/>
      <c r="IJI113" s="36"/>
      <c r="IJJ113" s="38"/>
      <c r="IJK113" s="38"/>
      <c r="IJQ113" s="36"/>
      <c r="IJR113" s="38"/>
      <c r="IJS113" s="38"/>
      <c r="IJY113" s="36"/>
      <c r="IJZ113" s="38"/>
      <c r="IKA113" s="38"/>
      <c r="IKG113" s="36"/>
      <c r="IKH113" s="38"/>
      <c r="IKI113" s="38"/>
      <c r="IKO113" s="36"/>
      <c r="IKP113" s="38"/>
      <c r="IKQ113" s="38"/>
      <c r="IKW113" s="36"/>
      <c r="IKX113" s="38"/>
      <c r="IKY113" s="38"/>
      <c r="ILE113" s="36"/>
      <c r="ILF113" s="38"/>
      <c r="ILG113" s="38"/>
      <c r="ILM113" s="36"/>
      <c r="ILN113" s="38"/>
      <c r="ILO113" s="38"/>
      <c r="ILU113" s="36"/>
      <c r="ILV113" s="38"/>
      <c r="ILW113" s="38"/>
      <c r="IMC113" s="36"/>
      <c r="IMD113" s="38"/>
      <c r="IME113" s="38"/>
      <c r="IMK113" s="36"/>
      <c r="IML113" s="38"/>
      <c r="IMM113" s="38"/>
      <c r="IMS113" s="36"/>
      <c r="IMT113" s="38"/>
      <c r="IMU113" s="38"/>
      <c r="INA113" s="36"/>
      <c r="INB113" s="38"/>
      <c r="INC113" s="38"/>
      <c r="INI113" s="36"/>
      <c r="INJ113" s="38"/>
      <c r="INK113" s="38"/>
      <c r="INQ113" s="36"/>
      <c r="INR113" s="38"/>
      <c r="INS113" s="38"/>
      <c r="INY113" s="36"/>
      <c r="INZ113" s="38"/>
      <c r="IOA113" s="38"/>
      <c r="IOG113" s="36"/>
      <c r="IOH113" s="38"/>
      <c r="IOI113" s="38"/>
      <c r="IOO113" s="36"/>
      <c r="IOP113" s="38"/>
      <c r="IOQ113" s="38"/>
      <c r="IOW113" s="36"/>
      <c r="IOX113" s="38"/>
      <c r="IOY113" s="38"/>
      <c r="IPE113" s="36"/>
      <c r="IPF113" s="38"/>
      <c r="IPG113" s="38"/>
      <c r="IPM113" s="36"/>
      <c r="IPN113" s="38"/>
      <c r="IPO113" s="38"/>
      <c r="IPU113" s="36"/>
      <c r="IPV113" s="38"/>
      <c r="IPW113" s="38"/>
      <c r="IQC113" s="36"/>
      <c r="IQD113" s="38"/>
      <c r="IQE113" s="38"/>
      <c r="IQK113" s="36"/>
      <c r="IQL113" s="38"/>
      <c r="IQM113" s="38"/>
      <c r="IQS113" s="36"/>
      <c r="IQT113" s="38"/>
      <c r="IQU113" s="38"/>
      <c r="IRA113" s="36"/>
      <c r="IRB113" s="38"/>
      <c r="IRC113" s="38"/>
      <c r="IRI113" s="36"/>
      <c r="IRJ113" s="38"/>
      <c r="IRK113" s="38"/>
      <c r="IRQ113" s="36"/>
      <c r="IRR113" s="38"/>
      <c r="IRS113" s="38"/>
      <c r="IRY113" s="36"/>
      <c r="IRZ113" s="38"/>
      <c r="ISA113" s="38"/>
      <c r="ISG113" s="36"/>
      <c r="ISH113" s="38"/>
      <c r="ISI113" s="38"/>
      <c r="ISO113" s="36"/>
      <c r="ISP113" s="38"/>
      <c r="ISQ113" s="38"/>
      <c r="ISW113" s="36"/>
      <c r="ISX113" s="38"/>
      <c r="ISY113" s="38"/>
      <c r="ITE113" s="36"/>
      <c r="ITF113" s="38"/>
      <c r="ITG113" s="38"/>
      <c r="ITM113" s="36"/>
      <c r="ITN113" s="38"/>
      <c r="ITO113" s="38"/>
      <c r="ITU113" s="36"/>
      <c r="ITV113" s="38"/>
      <c r="ITW113" s="38"/>
      <c r="IUC113" s="36"/>
      <c r="IUD113" s="38"/>
      <c r="IUE113" s="38"/>
      <c r="IUK113" s="36"/>
      <c r="IUL113" s="38"/>
      <c r="IUM113" s="38"/>
      <c r="IUS113" s="36"/>
      <c r="IUT113" s="38"/>
      <c r="IUU113" s="38"/>
      <c r="IVA113" s="36"/>
      <c r="IVB113" s="38"/>
      <c r="IVC113" s="38"/>
      <c r="IVI113" s="36"/>
      <c r="IVJ113" s="38"/>
      <c r="IVK113" s="38"/>
      <c r="IVQ113" s="36"/>
      <c r="IVR113" s="38"/>
      <c r="IVS113" s="38"/>
      <c r="IVY113" s="36"/>
      <c r="IVZ113" s="38"/>
      <c r="IWA113" s="38"/>
      <c r="IWG113" s="36"/>
      <c r="IWH113" s="38"/>
      <c r="IWI113" s="38"/>
      <c r="IWO113" s="36"/>
      <c r="IWP113" s="38"/>
      <c r="IWQ113" s="38"/>
      <c r="IWW113" s="36"/>
      <c r="IWX113" s="38"/>
      <c r="IWY113" s="38"/>
      <c r="IXE113" s="36"/>
      <c r="IXF113" s="38"/>
      <c r="IXG113" s="38"/>
      <c r="IXM113" s="36"/>
      <c r="IXN113" s="38"/>
      <c r="IXO113" s="38"/>
      <c r="IXU113" s="36"/>
      <c r="IXV113" s="38"/>
      <c r="IXW113" s="38"/>
      <c r="IYC113" s="36"/>
      <c r="IYD113" s="38"/>
      <c r="IYE113" s="38"/>
      <c r="IYK113" s="36"/>
      <c r="IYL113" s="38"/>
      <c r="IYM113" s="38"/>
      <c r="IYS113" s="36"/>
      <c r="IYT113" s="38"/>
      <c r="IYU113" s="38"/>
      <c r="IZA113" s="36"/>
      <c r="IZB113" s="38"/>
      <c r="IZC113" s="38"/>
      <c r="IZI113" s="36"/>
      <c r="IZJ113" s="38"/>
      <c r="IZK113" s="38"/>
      <c r="IZQ113" s="36"/>
      <c r="IZR113" s="38"/>
      <c r="IZS113" s="38"/>
      <c r="IZY113" s="36"/>
      <c r="IZZ113" s="38"/>
      <c r="JAA113" s="38"/>
      <c r="JAG113" s="36"/>
      <c r="JAH113" s="38"/>
      <c r="JAI113" s="38"/>
      <c r="JAO113" s="36"/>
      <c r="JAP113" s="38"/>
      <c r="JAQ113" s="38"/>
      <c r="JAW113" s="36"/>
      <c r="JAX113" s="38"/>
      <c r="JAY113" s="38"/>
      <c r="JBE113" s="36"/>
      <c r="JBF113" s="38"/>
      <c r="JBG113" s="38"/>
      <c r="JBM113" s="36"/>
      <c r="JBN113" s="38"/>
      <c r="JBO113" s="38"/>
      <c r="JBU113" s="36"/>
      <c r="JBV113" s="38"/>
      <c r="JBW113" s="38"/>
      <c r="JCC113" s="36"/>
      <c r="JCD113" s="38"/>
      <c r="JCE113" s="38"/>
      <c r="JCK113" s="36"/>
      <c r="JCL113" s="38"/>
      <c r="JCM113" s="38"/>
      <c r="JCS113" s="36"/>
      <c r="JCT113" s="38"/>
      <c r="JCU113" s="38"/>
      <c r="JDA113" s="36"/>
      <c r="JDB113" s="38"/>
      <c r="JDC113" s="38"/>
      <c r="JDI113" s="36"/>
      <c r="JDJ113" s="38"/>
      <c r="JDK113" s="38"/>
      <c r="JDQ113" s="36"/>
      <c r="JDR113" s="38"/>
      <c r="JDS113" s="38"/>
      <c r="JDY113" s="36"/>
      <c r="JDZ113" s="38"/>
      <c r="JEA113" s="38"/>
      <c r="JEG113" s="36"/>
      <c r="JEH113" s="38"/>
      <c r="JEI113" s="38"/>
      <c r="JEO113" s="36"/>
      <c r="JEP113" s="38"/>
      <c r="JEQ113" s="38"/>
      <c r="JEW113" s="36"/>
      <c r="JEX113" s="38"/>
      <c r="JEY113" s="38"/>
      <c r="JFE113" s="36"/>
      <c r="JFF113" s="38"/>
      <c r="JFG113" s="38"/>
      <c r="JFM113" s="36"/>
      <c r="JFN113" s="38"/>
      <c r="JFO113" s="38"/>
      <c r="JFU113" s="36"/>
      <c r="JFV113" s="38"/>
      <c r="JFW113" s="38"/>
      <c r="JGC113" s="36"/>
      <c r="JGD113" s="38"/>
      <c r="JGE113" s="38"/>
      <c r="JGK113" s="36"/>
      <c r="JGL113" s="38"/>
      <c r="JGM113" s="38"/>
      <c r="JGS113" s="36"/>
      <c r="JGT113" s="38"/>
      <c r="JGU113" s="38"/>
      <c r="JHA113" s="36"/>
      <c r="JHB113" s="38"/>
      <c r="JHC113" s="38"/>
      <c r="JHI113" s="36"/>
      <c r="JHJ113" s="38"/>
      <c r="JHK113" s="38"/>
      <c r="JHQ113" s="36"/>
      <c r="JHR113" s="38"/>
      <c r="JHS113" s="38"/>
      <c r="JHY113" s="36"/>
      <c r="JHZ113" s="38"/>
      <c r="JIA113" s="38"/>
      <c r="JIG113" s="36"/>
      <c r="JIH113" s="38"/>
      <c r="JII113" s="38"/>
      <c r="JIO113" s="36"/>
      <c r="JIP113" s="38"/>
      <c r="JIQ113" s="38"/>
      <c r="JIW113" s="36"/>
      <c r="JIX113" s="38"/>
      <c r="JIY113" s="38"/>
      <c r="JJE113" s="36"/>
      <c r="JJF113" s="38"/>
      <c r="JJG113" s="38"/>
      <c r="JJM113" s="36"/>
      <c r="JJN113" s="38"/>
      <c r="JJO113" s="38"/>
      <c r="JJU113" s="36"/>
      <c r="JJV113" s="38"/>
      <c r="JJW113" s="38"/>
      <c r="JKC113" s="36"/>
      <c r="JKD113" s="38"/>
      <c r="JKE113" s="38"/>
      <c r="JKK113" s="36"/>
      <c r="JKL113" s="38"/>
      <c r="JKM113" s="38"/>
      <c r="JKS113" s="36"/>
      <c r="JKT113" s="38"/>
      <c r="JKU113" s="38"/>
      <c r="JLA113" s="36"/>
      <c r="JLB113" s="38"/>
      <c r="JLC113" s="38"/>
      <c r="JLI113" s="36"/>
      <c r="JLJ113" s="38"/>
      <c r="JLK113" s="38"/>
      <c r="JLQ113" s="36"/>
      <c r="JLR113" s="38"/>
      <c r="JLS113" s="38"/>
      <c r="JLY113" s="36"/>
      <c r="JLZ113" s="38"/>
      <c r="JMA113" s="38"/>
      <c r="JMG113" s="36"/>
      <c r="JMH113" s="38"/>
      <c r="JMI113" s="38"/>
      <c r="JMO113" s="36"/>
      <c r="JMP113" s="38"/>
      <c r="JMQ113" s="38"/>
      <c r="JMW113" s="36"/>
      <c r="JMX113" s="38"/>
      <c r="JMY113" s="38"/>
      <c r="JNE113" s="36"/>
      <c r="JNF113" s="38"/>
      <c r="JNG113" s="38"/>
      <c r="JNM113" s="36"/>
      <c r="JNN113" s="38"/>
      <c r="JNO113" s="38"/>
      <c r="JNU113" s="36"/>
      <c r="JNV113" s="38"/>
      <c r="JNW113" s="38"/>
      <c r="JOC113" s="36"/>
      <c r="JOD113" s="38"/>
      <c r="JOE113" s="38"/>
      <c r="JOK113" s="36"/>
      <c r="JOL113" s="38"/>
      <c r="JOM113" s="38"/>
      <c r="JOS113" s="36"/>
      <c r="JOT113" s="38"/>
      <c r="JOU113" s="38"/>
      <c r="JPA113" s="36"/>
      <c r="JPB113" s="38"/>
      <c r="JPC113" s="38"/>
      <c r="JPI113" s="36"/>
      <c r="JPJ113" s="38"/>
      <c r="JPK113" s="38"/>
      <c r="JPQ113" s="36"/>
      <c r="JPR113" s="38"/>
      <c r="JPS113" s="38"/>
      <c r="JPY113" s="36"/>
      <c r="JPZ113" s="38"/>
      <c r="JQA113" s="38"/>
      <c r="JQG113" s="36"/>
      <c r="JQH113" s="38"/>
      <c r="JQI113" s="38"/>
      <c r="JQO113" s="36"/>
      <c r="JQP113" s="38"/>
      <c r="JQQ113" s="38"/>
      <c r="JQW113" s="36"/>
      <c r="JQX113" s="38"/>
      <c r="JQY113" s="38"/>
      <c r="JRE113" s="36"/>
      <c r="JRF113" s="38"/>
      <c r="JRG113" s="38"/>
      <c r="JRM113" s="36"/>
      <c r="JRN113" s="38"/>
      <c r="JRO113" s="38"/>
      <c r="JRU113" s="36"/>
      <c r="JRV113" s="38"/>
      <c r="JRW113" s="38"/>
      <c r="JSC113" s="36"/>
      <c r="JSD113" s="38"/>
      <c r="JSE113" s="38"/>
      <c r="JSK113" s="36"/>
      <c r="JSL113" s="38"/>
      <c r="JSM113" s="38"/>
      <c r="JSS113" s="36"/>
      <c r="JST113" s="38"/>
      <c r="JSU113" s="38"/>
      <c r="JTA113" s="36"/>
      <c r="JTB113" s="38"/>
      <c r="JTC113" s="38"/>
      <c r="JTI113" s="36"/>
      <c r="JTJ113" s="38"/>
      <c r="JTK113" s="38"/>
      <c r="JTQ113" s="36"/>
      <c r="JTR113" s="38"/>
      <c r="JTS113" s="38"/>
      <c r="JTY113" s="36"/>
      <c r="JTZ113" s="38"/>
      <c r="JUA113" s="38"/>
      <c r="JUG113" s="36"/>
      <c r="JUH113" s="38"/>
      <c r="JUI113" s="38"/>
      <c r="JUO113" s="36"/>
      <c r="JUP113" s="38"/>
      <c r="JUQ113" s="38"/>
      <c r="JUW113" s="36"/>
      <c r="JUX113" s="38"/>
      <c r="JUY113" s="38"/>
      <c r="JVE113" s="36"/>
      <c r="JVF113" s="38"/>
      <c r="JVG113" s="38"/>
      <c r="JVM113" s="36"/>
      <c r="JVN113" s="38"/>
      <c r="JVO113" s="38"/>
      <c r="JVU113" s="36"/>
      <c r="JVV113" s="38"/>
      <c r="JVW113" s="38"/>
      <c r="JWC113" s="36"/>
      <c r="JWD113" s="38"/>
      <c r="JWE113" s="38"/>
      <c r="JWK113" s="36"/>
      <c r="JWL113" s="38"/>
      <c r="JWM113" s="38"/>
      <c r="JWS113" s="36"/>
      <c r="JWT113" s="38"/>
      <c r="JWU113" s="38"/>
      <c r="JXA113" s="36"/>
      <c r="JXB113" s="38"/>
      <c r="JXC113" s="38"/>
      <c r="JXI113" s="36"/>
      <c r="JXJ113" s="38"/>
      <c r="JXK113" s="38"/>
      <c r="JXQ113" s="36"/>
      <c r="JXR113" s="38"/>
      <c r="JXS113" s="38"/>
      <c r="JXY113" s="36"/>
      <c r="JXZ113" s="38"/>
      <c r="JYA113" s="38"/>
      <c r="JYG113" s="36"/>
      <c r="JYH113" s="38"/>
      <c r="JYI113" s="38"/>
      <c r="JYO113" s="36"/>
      <c r="JYP113" s="38"/>
      <c r="JYQ113" s="38"/>
      <c r="JYW113" s="36"/>
      <c r="JYX113" s="38"/>
      <c r="JYY113" s="38"/>
      <c r="JZE113" s="36"/>
      <c r="JZF113" s="38"/>
      <c r="JZG113" s="38"/>
      <c r="JZM113" s="36"/>
      <c r="JZN113" s="38"/>
      <c r="JZO113" s="38"/>
      <c r="JZU113" s="36"/>
      <c r="JZV113" s="38"/>
      <c r="JZW113" s="38"/>
      <c r="KAC113" s="36"/>
      <c r="KAD113" s="38"/>
      <c r="KAE113" s="38"/>
      <c r="KAK113" s="36"/>
      <c r="KAL113" s="38"/>
      <c r="KAM113" s="38"/>
      <c r="KAS113" s="36"/>
      <c r="KAT113" s="38"/>
      <c r="KAU113" s="38"/>
      <c r="KBA113" s="36"/>
      <c r="KBB113" s="38"/>
      <c r="KBC113" s="38"/>
      <c r="KBI113" s="36"/>
      <c r="KBJ113" s="38"/>
      <c r="KBK113" s="38"/>
      <c r="KBQ113" s="36"/>
      <c r="KBR113" s="38"/>
      <c r="KBS113" s="38"/>
      <c r="KBY113" s="36"/>
      <c r="KBZ113" s="38"/>
      <c r="KCA113" s="38"/>
      <c r="KCG113" s="36"/>
      <c r="KCH113" s="38"/>
      <c r="KCI113" s="38"/>
      <c r="KCO113" s="36"/>
      <c r="KCP113" s="38"/>
      <c r="KCQ113" s="38"/>
      <c r="KCW113" s="36"/>
      <c r="KCX113" s="38"/>
      <c r="KCY113" s="38"/>
      <c r="KDE113" s="36"/>
      <c r="KDF113" s="38"/>
      <c r="KDG113" s="38"/>
      <c r="KDM113" s="36"/>
      <c r="KDN113" s="38"/>
      <c r="KDO113" s="38"/>
      <c r="KDU113" s="36"/>
      <c r="KDV113" s="38"/>
      <c r="KDW113" s="38"/>
      <c r="KEC113" s="36"/>
      <c r="KED113" s="38"/>
      <c r="KEE113" s="38"/>
      <c r="KEK113" s="36"/>
      <c r="KEL113" s="38"/>
      <c r="KEM113" s="38"/>
      <c r="KES113" s="36"/>
      <c r="KET113" s="38"/>
      <c r="KEU113" s="38"/>
      <c r="KFA113" s="36"/>
      <c r="KFB113" s="38"/>
      <c r="KFC113" s="38"/>
      <c r="KFI113" s="36"/>
      <c r="KFJ113" s="38"/>
      <c r="KFK113" s="38"/>
      <c r="KFQ113" s="36"/>
      <c r="KFR113" s="38"/>
      <c r="KFS113" s="38"/>
      <c r="KFY113" s="36"/>
      <c r="KFZ113" s="38"/>
      <c r="KGA113" s="38"/>
      <c r="KGG113" s="36"/>
      <c r="KGH113" s="38"/>
      <c r="KGI113" s="38"/>
      <c r="KGO113" s="36"/>
      <c r="KGP113" s="38"/>
      <c r="KGQ113" s="38"/>
      <c r="KGW113" s="36"/>
      <c r="KGX113" s="38"/>
      <c r="KGY113" s="38"/>
      <c r="KHE113" s="36"/>
      <c r="KHF113" s="38"/>
      <c r="KHG113" s="38"/>
      <c r="KHM113" s="36"/>
      <c r="KHN113" s="38"/>
      <c r="KHO113" s="38"/>
      <c r="KHU113" s="36"/>
      <c r="KHV113" s="38"/>
      <c r="KHW113" s="38"/>
      <c r="KIC113" s="36"/>
      <c r="KID113" s="38"/>
      <c r="KIE113" s="38"/>
      <c r="KIK113" s="36"/>
      <c r="KIL113" s="38"/>
      <c r="KIM113" s="38"/>
      <c r="KIS113" s="36"/>
      <c r="KIT113" s="38"/>
      <c r="KIU113" s="38"/>
      <c r="KJA113" s="36"/>
      <c r="KJB113" s="38"/>
      <c r="KJC113" s="38"/>
      <c r="KJI113" s="36"/>
      <c r="KJJ113" s="38"/>
      <c r="KJK113" s="38"/>
      <c r="KJQ113" s="36"/>
      <c r="KJR113" s="38"/>
      <c r="KJS113" s="38"/>
      <c r="KJY113" s="36"/>
      <c r="KJZ113" s="38"/>
      <c r="KKA113" s="38"/>
      <c r="KKG113" s="36"/>
      <c r="KKH113" s="38"/>
      <c r="KKI113" s="38"/>
      <c r="KKO113" s="36"/>
      <c r="KKP113" s="38"/>
      <c r="KKQ113" s="38"/>
      <c r="KKW113" s="36"/>
      <c r="KKX113" s="38"/>
      <c r="KKY113" s="38"/>
      <c r="KLE113" s="36"/>
      <c r="KLF113" s="38"/>
      <c r="KLG113" s="38"/>
      <c r="KLM113" s="36"/>
      <c r="KLN113" s="38"/>
      <c r="KLO113" s="38"/>
      <c r="KLU113" s="36"/>
      <c r="KLV113" s="38"/>
      <c r="KLW113" s="38"/>
      <c r="KMC113" s="36"/>
      <c r="KMD113" s="38"/>
      <c r="KME113" s="38"/>
      <c r="KMK113" s="36"/>
      <c r="KML113" s="38"/>
      <c r="KMM113" s="38"/>
      <c r="KMS113" s="36"/>
      <c r="KMT113" s="38"/>
      <c r="KMU113" s="38"/>
      <c r="KNA113" s="36"/>
      <c r="KNB113" s="38"/>
      <c r="KNC113" s="38"/>
      <c r="KNI113" s="36"/>
      <c r="KNJ113" s="38"/>
      <c r="KNK113" s="38"/>
      <c r="KNQ113" s="36"/>
      <c r="KNR113" s="38"/>
      <c r="KNS113" s="38"/>
      <c r="KNY113" s="36"/>
      <c r="KNZ113" s="38"/>
      <c r="KOA113" s="38"/>
      <c r="KOG113" s="36"/>
      <c r="KOH113" s="38"/>
      <c r="KOI113" s="38"/>
      <c r="KOO113" s="36"/>
      <c r="KOP113" s="38"/>
      <c r="KOQ113" s="38"/>
      <c r="KOW113" s="36"/>
      <c r="KOX113" s="38"/>
      <c r="KOY113" s="38"/>
      <c r="KPE113" s="36"/>
      <c r="KPF113" s="38"/>
      <c r="KPG113" s="38"/>
      <c r="KPM113" s="36"/>
      <c r="KPN113" s="38"/>
      <c r="KPO113" s="38"/>
      <c r="KPU113" s="36"/>
      <c r="KPV113" s="38"/>
      <c r="KPW113" s="38"/>
      <c r="KQC113" s="36"/>
      <c r="KQD113" s="38"/>
      <c r="KQE113" s="38"/>
      <c r="KQK113" s="36"/>
      <c r="KQL113" s="38"/>
      <c r="KQM113" s="38"/>
      <c r="KQS113" s="36"/>
      <c r="KQT113" s="38"/>
      <c r="KQU113" s="38"/>
      <c r="KRA113" s="36"/>
      <c r="KRB113" s="38"/>
      <c r="KRC113" s="38"/>
      <c r="KRI113" s="36"/>
      <c r="KRJ113" s="38"/>
      <c r="KRK113" s="38"/>
      <c r="KRQ113" s="36"/>
      <c r="KRR113" s="38"/>
      <c r="KRS113" s="38"/>
      <c r="KRY113" s="36"/>
      <c r="KRZ113" s="38"/>
      <c r="KSA113" s="38"/>
      <c r="KSG113" s="36"/>
      <c r="KSH113" s="38"/>
      <c r="KSI113" s="38"/>
      <c r="KSO113" s="36"/>
      <c r="KSP113" s="38"/>
      <c r="KSQ113" s="38"/>
      <c r="KSW113" s="36"/>
      <c r="KSX113" s="38"/>
      <c r="KSY113" s="38"/>
      <c r="KTE113" s="36"/>
      <c r="KTF113" s="38"/>
      <c r="KTG113" s="38"/>
      <c r="KTM113" s="36"/>
      <c r="KTN113" s="38"/>
      <c r="KTO113" s="38"/>
      <c r="KTU113" s="36"/>
      <c r="KTV113" s="38"/>
      <c r="KTW113" s="38"/>
      <c r="KUC113" s="36"/>
      <c r="KUD113" s="38"/>
      <c r="KUE113" s="38"/>
      <c r="KUK113" s="36"/>
      <c r="KUL113" s="38"/>
      <c r="KUM113" s="38"/>
      <c r="KUS113" s="36"/>
      <c r="KUT113" s="38"/>
      <c r="KUU113" s="38"/>
      <c r="KVA113" s="36"/>
      <c r="KVB113" s="38"/>
      <c r="KVC113" s="38"/>
      <c r="KVI113" s="36"/>
      <c r="KVJ113" s="38"/>
      <c r="KVK113" s="38"/>
      <c r="KVQ113" s="36"/>
      <c r="KVR113" s="38"/>
      <c r="KVS113" s="38"/>
      <c r="KVY113" s="36"/>
      <c r="KVZ113" s="38"/>
      <c r="KWA113" s="38"/>
      <c r="KWG113" s="36"/>
      <c r="KWH113" s="38"/>
      <c r="KWI113" s="38"/>
      <c r="KWO113" s="36"/>
      <c r="KWP113" s="38"/>
      <c r="KWQ113" s="38"/>
      <c r="KWW113" s="36"/>
      <c r="KWX113" s="38"/>
      <c r="KWY113" s="38"/>
      <c r="KXE113" s="36"/>
      <c r="KXF113" s="38"/>
      <c r="KXG113" s="38"/>
      <c r="KXM113" s="36"/>
      <c r="KXN113" s="38"/>
      <c r="KXO113" s="38"/>
      <c r="KXU113" s="36"/>
      <c r="KXV113" s="38"/>
      <c r="KXW113" s="38"/>
      <c r="KYC113" s="36"/>
      <c r="KYD113" s="38"/>
      <c r="KYE113" s="38"/>
      <c r="KYK113" s="36"/>
      <c r="KYL113" s="38"/>
      <c r="KYM113" s="38"/>
      <c r="KYS113" s="36"/>
      <c r="KYT113" s="38"/>
      <c r="KYU113" s="38"/>
      <c r="KZA113" s="36"/>
      <c r="KZB113" s="38"/>
      <c r="KZC113" s="38"/>
      <c r="KZI113" s="36"/>
      <c r="KZJ113" s="38"/>
      <c r="KZK113" s="38"/>
      <c r="KZQ113" s="36"/>
      <c r="KZR113" s="38"/>
      <c r="KZS113" s="38"/>
      <c r="KZY113" s="36"/>
      <c r="KZZ113" s="38"/>
      <c r="LAA113" s="38"/>
      <c r="LAG113" s="36"/>
      <c r="LAH113" s="38"/>
      <c r="LAI113" s="38"/>
      <c r="LAO113" s="36"/>
      <c r="LAP113" s="38"/>
      <c r="LAQ113" s="38"/>
      <c r="LAW113" s="36"/>
      <c r="LAX113" s="38"/>
      <c r="LAY113" s="38"/>
      <c r="LBE113" s="36"/>
      <c r="LBF113" s="38"/>
      <c r="LBG113" s="38"/>
      <c r="LBM113" s="36"/>
      <c r="LBN113" s="38"/>
      <c r="LBO113" s="38"/>
      <c r="LBU113" s="36"/>
      <c r="LBV113" s="38"/>
      <c r="LBW113" s="38"/>
      <c r="LCC113" s="36"/>
      <c r="LCD113" s="38"/>
      <c r="LCE113" s="38"/>
      <c r="LCK113" s="36"/>
      <c r="LCL113" s="38"/>
      <c r="LCM113" s="38"/>
      <c r="LCS113" s="36"/>
      <c r="LCT113" s="38"/>
      <c r="LCU113" s="38"/>
      <c r="LDA113" s="36"/>
      <c r="LDB113" s="38"/>
      <c r="LDC113" s="38"/>
      <c r="LDI113" s="36"/>
      <c r="LDJ113" s="38"/>
      <c r="LDK113" s="38"/>
      <c r="LDQ113" s="36"/>
      <c r="LDR113" s="38"/>
      <c r="LDS113" s="38"/>
      <c r="LDY113" s="36"/>
      <c r="LDZ113" s="38"/>
      <c r="LEA113" s="38"/>
      <c r="LEG113" s="36"/>
      <c r="LEH113" s="38"/>
      <c r="LEI113" s="38"/>
      <c r="LEO113" s="36"/>
      <c r="LEP113" s="38"/>
      <c r="LEQ113" s="38"/>
      <c r="LEW113" s="36"/>
      <c r="LEX113" s="38"/>
      <c r="LEY113" s="38"/>
      <c r="LFE113" s="36"/>
      <c r="LFF113" s="38"/>
      <c r="LFG113" s="38"/>
      <c r="LFM113" s="36"/>
      <c r="LFN113" s="38"/>
      <c r="LFO113" s="38"/>
      <c r="LFU113" s="36"/>
      <c r="LFV113" s="38"/>
      <c r="LFW113" s="38"/>
      <c r="LGC113" s="36"/>
      <c r="LGD113" s="38"/>
      <c r="LGE113" s="38"/>
      <c r="LGK113" s="36"/>
      <c r="LGL113" s="38"/>
      <c r="LGM113" s="38"/>
      <c r="LGS113" s="36"/>
      <c r="LGT113" s="38"/>
      <c r="LGU113" s="38"/>
      <c r="LHA113" s="36"/>
      <c r="LHB113" s="38"/>
      <c r="LHC113" s="38"/>
      <c r="LHI113" s="36"/>
      <c r="LHJ113" s="38"/>
      <c r="LHK113" s="38"/>
      <c r="LHQ113" s="36"/>
      <c r="LHR113" s="38"/>
      <c r="LHS113" s="38"/>
      <c r="LHY113" s="36"/>
      <c r="LHZ113" s="38"/>
      <c r="LIA113" s="38"/>
      <c r="LIG113" s="36"/>
      <c r="LIH113" s="38"/>
      <c r="LII113" s="38"/>
      <c r="LIO113" s="36"/>
      <c r="LIP113" s="38"/>
      <c r="LIQ113" s="38"/>
      <c r="LIW113" s="36"/>
      <c r="LIX113" s="38"/>
      <c r="LIY113" s="38"/>
      <c r="LJE113" s="36"/>
      <c r="LJF113" s="38"/>
      <c r="LJG113" s="38"/>
      <c r="LJM113" s="36"/>
      <c r="LJN113" s="38"/>
      <c r="LJO113" s="38"/>
      <c r="LJU113" s="36"/>
      <c r="LJV113" s="38"/>
      <c r="LJW113" s="38"/>
      <c r="LKC113" s="36"/>
      <c r="LKD113" s="38"/>
      <c r="LKE113" s="38"/>
      <c r="LKK113" s="36"/>
      <c r="LKL113" s="38"/>
      <c r="LKM113" s="38"/>
      <c r="LKS113" s="36"/>
      <c r="LKT113" s="38"/>
      <c r="LKU113" s="38"/>
      <c r="LLA113" s="36"/>
      <c r="LLB113" s="38"/>
      <c r="LLC113" s="38"/>
      <c r="LLI113" s="36"/>
      <c r="LLJ113" s="38"/>
      <c r="LLK113" s="38"/>
      <c r="LLQ113" s="36"/>
      <c r="LLR113" s="38"/>
      <c r="LLS113" s="38"/>
      <c r="LLY113" s="36"/>
      <c r="LLZ113" s="38"/>
      <c r="LMA113" s="38"/>
      <c r="LMG113" s="36"/>
      <c r="LMH113" s="38"/>
      <c r="LMI113" s="38"/>
      <c r="LMO113" s="36"/>
      <c r="LMP113" s="38"/>
      <c r="LMQ113" s="38"/>
      <c r="LMW113" s="36"/>
      <c r="LMX113" s="38"/>
      <c r="LMY113" s="38"/>
      <c r="LNE113" s="36"/>
      <c r="LNF113" s="38"/>
      <c r="LNG113" s="38"/>
      <c r="LNM113" s="36"/>
      <c r="LNN113" s="38"/>
      <c r="LNO113" s="38"/>
      <c r="LNU113" s="36"/>
      <c r="LNV113" s="38"/>
      <c r="LNW113" s="38"/>
      <c r="LOC113" s="36"/>
      <c r="LOD113" s="38"/>
      <c r="LOE113" s="38"/>
      <c r="LOK113" s="36"/>
      <c r="LOL113" s="38"/>
      <c r="LOM113" s="38"/>
      <c r="LOS113" s="36"/>
      <c r="LOT113" s="38"/>
      <c r="LOU113" s="38"/>
      <c r="LPA113" s="36"/>
      <c r="LPB113" s="38"/>
      <c r="LPC113" s="38"/>
      <c r="LPI113" s="36"/>
      <c r="LPJ113" s="38"/>
      <c r="LPK113" s="38"/>
      <c r="LPQ113" s="36"/>
      <c r="LPR113" s="38"/>
      <c r="LPS113" s="38"/>
      <c r="LPY113" s="36"/>
      <c r="LPZ113" s="38"/>
      <c r="LQA113" s="38"/>
      <c r="LQG113" s="36"/>
      <c r="LQH113" s="38"/>
      <c r="LQI113" s="38"/>
      <c r="LQO113" s="36"/>
      <c r="LQP113" s="38"/>
      <c r="LQQ113" s="38"/>
      <c r="LQW113" s="36"/>
      <c r="LQX113" s="38"/>
      <c r="LQY113" s="38"/>
      <c r="LRE113" s="36"/>
      <c r="LRF113" s="38"/>
      <c r="LRG113" s="38"/>
      <c r="LRM113" s="36"/>
      <c r="LRN113" s="38"/>
      <c r="LRO113" s="38"/>
      <c r="LRU113" s="36"/>
      <c r="LRV113" s="38"/>
      <c r="LRW113" s="38"/>
      <c r="LSC113" s="36"/>
      <c r="LSD113" s="38"/>
      <c r="LSE113" s="38"/>
      <c r="LSK113" s="36"/>
      <c r="LSL113" s="38"/>
      <c r="LSM113" s="38"/>
      <c r="LSS113" s="36"/>
      <c r="LST113" s="38"/>
      <c r="LSU113" s="38"/>
      <c r="LTA113" s="36"/>
      <c r="LTB113" s="38"/>
      <c r="LTC113" s="38"/>
      <c r="LTI113" s="36"/>
      <c r="LTJ113" s="38"/>
      <c r="LTK113" s="38"/>
      <c r="LTQ113" s="36"/>
      <c r="LTR113" s="38"/>
      <c r="LTS113" s="38"/>
      <c r="LTY113" s="36"/>
      <c r="LTZ113" s="38"/>
      <c r="LUA113" s="38"/>
      <c r="LUG113" s="36"/>
      <c r="LUH113" s="38"/>
      <c r="LUI113" s="38"/>
      <c r="LUO113" s="36"/>
      <c r="LUP113" s="38"/>
      <c r="LUQ113" s="38"/>
      <c r="LUW113" s="36"/>
      <c r="LUX113" s="38"/>
      <c r="LUY113" s="38"/>
      <c r="LVE113" s="36"/>
      <c r="LVF113" s="38"/>
      <c r="LVG113" s="38"/>
      <c r="LVM113" s="36"/>
      <c r="LVN113" s="38"/>
      <c r="LVO113" s="38"/>
      <c r="LVU113" s="36"/>
      <c r="LVV113" s="38"/>
      <c r="LVW113" s="38"/>
      <c r="LWC113" s="36"/>
      <c r="LWD113" s="38"/>
      <c r="LWE113" s="38"/>
      <c r="LWK113" s="36"/>
      <c r="LWL113" s="38"/>
      <c r="LWM113" s="38"/>
      <c r="LWS113" s="36"/>
      <c r="LWT113" s="38"/>
      <c r="LWU113" s="38"/>
      <c r="LXA113" s="36"/>
      <c r="LXB113" s="38"/>
      <c r="LXC113" s="38"/>
      <c r="LXI113" s="36"/>
      <c r="LXJ113" s="38"/>
      <c r="LXK113" s="38"/>
      <c r="LXQ113" s="36"/>
      <c r="LXR113" s="38"/>
      <c r="LXS113" s="38"/>
      <c r="LXY113" s="36"/>
      <c r="LXZ113" s="38"/>
      <c r="LYA113" s="38"/>
      <c r="LYG113" s="36"/>
      <c r="LYH113" s="38"/>
      <c r="LYI113" s="38"/>
      <c r="LYO113" s="36"/>
      <c r="LYP113" s="38"/>
      <c r="LYQ113" s="38"/>
      <c r="LYW113" s="36"/>
      <c r="LYX113" s="38"/>
      <c r="LYY113" s="38"/>
      <c r="LZE113" s="36"/>
      <c r="LZF113" s="38"/>
      <c r="LZG113" s="38"/>
      <c r="LZM113" s="36"/>
      <c r="LZN113" s="38"/>
      <c r="LZO113" s="38"/>
      <c r="LZU113" s="36"/>
      <c r="LZV113" s="38"/>
      <c r="LZW113" s="38"/>
      <c r="MAC113" s="36"/>
      <c r="MAD113" s="38"/>
      <c r="MAE113" s="38"/>
      <c r="MAK113" s="36"/>
      <c r="MAL113" s="38"/>
      <c r="MAM113" s="38"/>
      <c r="MAS113" s="36"/>
      <c r="MAT113" s="38"/>
      <c r="MAU113" s="38"/>
      <c r="MBA113" s="36"/>
      <c r="MBB113" s="38"/>
      <c r="MBC113" s="38"/>
      <c r="MBI113" s="36"/>
      <c r="MBJ113" s="38"/>
      <c r="MBK113" s="38"/>
      <c r="MBQ113" s="36"/>
      <c r="MBR113" s="38"/>
      <c r="MBS113" s="38"/>
      <c r="MBY113" s="36"/>
      <c r="MBZ113" s="38"/>
      <c r="MCA113" s="38"/>
      <c r="MCG113" s="36"/>
      <c r="MCH113" s="38"/>
      <c r="MCI113" s="38"/>
      <c r="MCO113" s="36"/>
      <c r="MCP113" s="38"/>
      <c r="MCQ113" s="38"/>
      <c r="MCW113" s="36"/>
      <c r="MCX113" s="38"/>
      <c r="MCY113" s="38"/>
      <c r="MDE113" s="36"/>
      <c r="MDF113" s="38"/>
      <c r="MDG113" s="38"/>
      <c r="MDM113" s="36"/>
      <c r="MDN113" s="38"/>
      <c r="MDO113" s="38"/>
      <c r="MDU113" s="36"/>
      <c r="MDV113" s="38"/>
      <c r="MDW113" s="38"/>
      <c r="MEC113" s="36"/>
      <c r="MED113" s="38"/>
      <c r="MEE113" s="38"/>
      <c r="MEK113" s="36"/>
      <c r="MEL113" s="38"/>
      <c r="MEM113" s="38"/>
      <c r="MES113" s="36"/>
      <c r="MET113" s="38"/>
      <c r="MEU113" s="38"/>
      <c r="MFA113" s="36"/>
      <c r="MFB113" s="38"/>
      <c r="MFC113" s="38"/>
      <c r="MFI113" s="36"/>
      <c r="MFJ113" s="38"/>
      <c r="MFK113" s="38"/>
      <c r="MFQ113" s="36"/>
      <c r="MFR113" s="38"/>
      <c r="MFS113" s="38"/>
      <c r="MFY113" s="36"/>
      <c r="MFZ113" s="38"/>
      <c r="MGA113" s="38"/>
      <c r="MGG113" s="36"/>
      <c r="MGH113" s="38"/>
      <c r="MGI113" s="38"/>
      <c r="MGO113" s="36"/>
      <c r="MGP113" s="38"/>
      <c r="MGQ113" s="38"/>
      <c r="MGW113" s="36"/>
      <c r="MGX113" s="38"/>
      <c r="MGY113" s="38"/>
      <c r="MHE113" s="36"/>
      <c r="MHF113" s="38"/>
      <c r="MHG113" s="38"/>
      <c r="MHM113" s="36"/>
      <c r="MHN113" s="38"/>
      <c r="MHO113" s="38"/>
      <c r="MHU113" s="36"/>
      <c r="MHV113" s="38"/>
      <c r="MHW113" s="38"/>
      <c r="MIC113" s="36"/>
      <c r="MID113" s="38"/>
      <c r="MIE113" s="38"/>
      <c r="MIK113" s="36"/>
      <c r="MIL113" s="38"/>
      <c r="MIM113" s="38"/>
      <c r="MIS113" s="36"/>
      <c r="MIT113" s="38"/>
      <c r="MIU113" s="38"/>
      <c r="MJA113" s="36"/>
      <c r="MJB113" s="38"/>
      <c r="MJC113" s="38"/>
      <c r="MJI113" s="36"/>
      <c r="MJJ113" s="38"/>
      <c r="MJK113" s="38"/>
      <c r="MJQ113" s="36"/>
      <c r="MJR113" s="38"/>
      <c r="MJS113" s="38"/>
      <c r="MJY113" s="36"/>
      <c r="MJZ113" s="38"/>
      <c r="MKA113" s="38"/>
      <c r="MKG113" s="36"/>
      <c r="MKH113" s="38"/>
      <c r="MKI113" s="38"/>
      <c r="MKO113" s="36"/>
      <c r="MKP113" s="38"/>
      <c r="MKQ113" s="38"/>
      <c r="MKW113" s="36"/>
      <c r="MKX113" s="38"/>
      <c r="MKY113" s="38"/>
      <c r="MLE113" s="36"/>
      <c r="MLF113" s="38"/>
      <c r="MLG113" s="38"/>
      <c r="MLM113" s="36"/>
      <c r="MLN113" s="38"/>
      <c r="MLO113" s="38"/>
      <c r="MLU113" s="36"/>
      <c r="MLV113" s="38"/>
      <c r="MLW113" s="38"/>
      <c r="MMC113" s="36"/>
      <c r="MMD113" s="38"/>
      <c r="MME113" s="38"/>
      <c r="MMK113" s="36"/>
      <c r="MML113" s="38"/>
      <c r="MMM113" s="38"/>
      <c r="MMS113" s="36"/>
      <c r="MMT113" s="38"/>
      <c r="MMU113" s="38"/>
      <c r="MNA113" s="36"/>
      <c r="MNB113" s="38"/>
      <c r="MNC113" s="38"/>
      <c r="MNI113" s="36"/>
      <c r="MNJ113" s="38"/>
      <c r="MNK113" s="38"/>
      <c r="MNQ113" s="36"/>
      <c r="MNR113" s="38"/>
      <c r="MNS113" s="38"/>
      <c r="MNY113" s="36"/>
      <c r="MNZ113" s="38"/>
      <c r="MOA113" s="38"/>
      <c r="MOG113" s="36"/>
      <c r="MOH113" s="38"/>
      <c r="MOI113" s="38"/>
      <c r="MOO113" s="36"/>
      <c r="MOP113" s="38"/>
      <c r="MOQ113" s="38"/>
      <c r="MOW113" s="36"/>
      <c r="MOX113" s="38"/>
      <c r="MOY113" s="38"/>
      <c r="MPE113" s="36"/>
      <c r="MPF113" s="38"/>
      <c r="MPG113" s="38"/>
      <c r="MPM113" s="36"/>
      <c r="MPN113" s="38"/>
      <c r="MPO113" s="38"/>
      <c r="MPU113" s="36"/>
      <c r="MPV113" s="38"/>
      <c r="MPW113" s="38"/>
      <c r="MQC113" s="36"/>
      <c r="MQD113" s="38"/>
      <c r="MQE113" s="38"/>
      <c r="MQK113" s="36"/>
      <c r="MQL113" s="38"/>
      <c r="MQM113" s="38"/>
      <c r="MQS113" s="36"/>
      <c r="MQT113" s="38"/>
      <c r="MQU113" s="38"/>
      <c r="MRA113" s="36"/>
      <c r="MRB113" s="38"/>
      <c r="MRC113" s="38"/>
      <c r="MRI113" s="36"/>
      <c r="MRJ113" s="38"/>
      <c r="MRK113" s="38"/>
      <c r="MRQ113" s="36"/>
      <c r="MRR113" s="38"/>
      <c r="MRS113" s="38"/>
      <c r="MRY113" s="36"/>
      <c r="MRZ113" s="38"/>
      <c r="MSA113" s="38"/>
      <c r="MSG113" s="36"/>
      <c r="MSH113" s="38"/>
      <c r="MSI113" s="38"/>
      <c r="MSO113" s="36"/>
      <c r="MSP113" s="38"/>
      <c r="MSQ113" s="38"/>
      <c r="MSW113" s="36"/>
      <c r="MSX113" s="38"/>
      <c r="MSY113" s="38"/>
      <c r="MTE113" s="36"/>
      <c r="MTF113" s="38"/>
      <c r="MTG113" s="38"/>
      <c r="MTM113" s="36"/>
      <c r="MTN113" s="38"/>
      <c r="MTO113" s="38"/>
      <c r="MTU113" s="36"/>
      <c r="MTV113" s="38"/>
      <c r="MTW113" s="38"/>
      <c r="MUC113" s="36"/>
      <c r="MUD113" s="38"/>
      <c r="MUE113" s="38"/>
      <c r="MUK113" s="36"/>
      <c r="MUL113" s="38"/>
      <c r="MUM113" s="38"/>
      <c r="MUS113" s="36"/>
      <c r="MUT113" s="38"/>
      <c r="MUU113" s="38"/>
      <c r="MVA113" s="36"/>
      <c r="MVB113" s="38"/>
      <c r="MVC113" s="38"/>
      <c r="MVI113" s="36"/>
      <c r="MVJ113" s="38"/>
      <c r="MVK113" s="38"/>
      <c r="MVQ113" s="36"/>
      <c r="MVR113" s="38"/>
      <c r="MVS113" s="38"/>
      <c r="MVY113" s="36"/>
      <c r="MVZ113" s="38"/>
      <c r="MWA113" s="38"/>
      <c r="MWG113" s="36"/>
      <c r="MWH113" s="38"/>
      <c r="MWI113" s="38"/>
      <c r="MWO113" s="36"/>
      <c r="MWP113" s="38"/>
      <c r="MWQ113" s="38"/>
      <c r="MWW113" s="36"/>
      <c r="MWX113" s="38"/>
      <c r="MWY113" s="38"/>
      <c r="MXE113" s="36"/>
      <c r="MXF113" s="38"/>
      <c r="MXG113" s="38"/>
      <c r="MXM113" s="36"/>
      <c r="MXN113" s="38"/>
      <c r="MXO113" s="38"/>
      <c r="MXU113" s="36"/>
      <c r="MXV113" s="38"/>
      <c r="MXW113" s="38"/>
      <c r="MYC113" s="36"/>
      <c r="MYD113" s="38"/>
      <c r="MYE113" s="38"/>
      <c r="MYK113" s="36"/>
      <c r="MYL113" s="38"/>
      <c r="MYM113" s="38"/>
      <c r="MYS113" s="36"/>
      <c r="MYT113" s="38"/>
      <c r="MYU113" s="38"/>
      <c r="MZA113" s="36"/>
      <c r="MZB113" s="38"/>
      <c r="MZC113" s="38"/>
      <c r="MZI113" s="36"/>
      <c r="MZJ113" s="38"/>
      <c r="MZK113" s="38"/>
      <c r="MZQ113" s="36"/>
      <c r="MZR113" s="38"/>
      <c r="MZS113" s="38"/>
      <c r="MZY113" s="36"/>
      <c r="MZZ113" s="38"/>
      <c r="NAA113" s="38"/>
      <c r="NAG113" s="36"/>
      <c r="NAH113" s="38"/>
      <c r="NAI113" s="38"/>
      <c r="NAO113" s="36"/>
      <c r="NAP113" s="38"/>
      <c r="NAQ113" s="38"/>
      <c r="NAW113" s="36"/>
      <c r="NAX113" s="38"/>
      <c r="NAY113" s="38"/>
      <c r="NBE113" s="36"/>
      <c r="NBF113" s="38"/>
      <c r="NBG113" s="38"/>
      <c r="NBM113" s="36"/>
      <c r="NBN113" s="38"/>
      <c r="NBO113" s="38"/>
      <c r="NBU113" s="36"/>
      <c r="NBV113" s="38"/>
      <c r="NBW113" s="38"/>
      <c r="NCC113" s="36"/>
      <c r="NCD113" s="38"/>
      <c r="NCE113" s="38"/>
      <c r="NCK113" s="36"/>
      <c r="NCL113" s="38"/>
      <c r="NCM113" s="38"/>
      <c r="NCS113" s="36"/>
      <c r="NCT113" s="38"/>
      <c r="NCU113" s="38"/>
      <c r="NDA113" s="36"/>
      <c r="NDB113" s="38"/>
      <c r="NDC113" s="38"/>
      <c r="NDI113" s="36"/>
      <c r="NDJ113" s="38"/>
      <c r="NDK113" s="38"/>
      <c r="NDQ113" s="36"/>
      <c r="NDR113" s="38"/>
      <c r="NDS113" s="38"/>
      <c r="NDY113" s="36"/>
      <c r="NDZ113" s="38"/>
      <c r="NEA113" s="38"/>
      <c r="NEG113" s="36"/>
      <c r="NEH113" s="38"/>
      <c r="NEI113" s="38"/>
      <c r="NEO113" s="36"/>
      <c r="NEP113" s="38"/>
      <c r="NEQ113" s="38"/>
      <c r="NEW113" s="36"/>
      <c r="NEX113" s="38"/>
      <c r="NEY113" s="38"/>
      <c r="NFE113" s="36"/>
      <c r="NFF113" s="38"/>
      <c r="NFG113" s="38"/>
      <c r="NFM113" s="36"/>
      <c r="NFN113" s="38"/>
      <c r="NFO113" s="38"/>
      <c r="NFU113" s="36"/>
      <c r="NFV113" s="38"/>
      <c r="NFW113" s="38"/>
      <c r="NGC113" s="36"/>
      <c r="NGD113" s="38"/>
      <c r="NGE113" s="38"/>
      <c r="NGK113" s="36"/>
      <c r="NGL113" s="38"/>
      <c r="NGM113" s="38"/>
      <c r="NGS113" s="36"/>
      <c r="NGT113" s="38"/>
      <c r="NGU113" s="38"/>
      <c r="NHA113" s="36"/>
      <c r="NHB113" s="38"/>
      <c r="NHC113" s="38"/>
      <c r="NHI113" s="36"/>
      <c r="NHJ113" s="38"/>
      <c r="NHK113" s="38"/>
      <c r="NHQ113" s="36"/>
      <c r="NHR113" s="38"/>
      <c r="NHS113" s="38"/>
      <c r="NHY113" s="36"/>
      <c r="NHZ113" s="38"/>
      <c r="NIA113" s="38"/>
      <c r="NIG113" s="36"/>
      <c r="NIH113" s="38"/>
      <c r="NII113" s="38"/>
      <c r="NIO113" s="36"/>
      <c r="NIP113" s="38"/>
      <c r="NIQ113" s="38"/>
      <c r="NIW113" s="36"/>
      <c r="NIX113" s="38"/>
      <c r="NIY113" s="38"/>
      <c r="NJE113" s="36"/>
      <c r="NJF113" s="38"/>
      <c r="NJG113" s="38"/>
      <c r="NJM113" s="36"/>
      <c r="NJN113" s="38"/>
      <c r="NJO113" s="38"/>
      <c r="NJU113" s="36"/>
      <c r="NJV113" s="38"/>
      <c r="NJW113" s="38"/>
      <c r="NKC113" s="36"/>
      <c r="NKD113" s="38"/>
      <c r="NKE113" s="38"/>
      <c r="NKK113" s="36"/>
      <c r="NKL113" s="38"/>
      <c r="NKM113" s="38"/>
      <c r="NKS113" s="36"/>
      <c r="NKT113" s="38"/>
      <c r="NKU113" s="38"/>
      <c r="NLA113" s="36"/>
      <c r="NLB113" s="38"/>
      <c r="NLC113" s="38"/>
      <c r="NLI113" s="36"/>
      <c r="NLJ113" s="38"/>
      <c r="NLK113" s="38"/>
      <c r="NLQ113" s="36"/>
      <c r="NLR113" s="38"/>
      <c r="NLS113" s="38"/>
      <c r="NLY113" s="36"/>
      <c r="NLZ113" s="38"/>
      <c r="NMA113" s="38"/>
      <c r="NMG113" s="36"/>
      <c r="NMH113" s="38"/>
      <c r="NMI113" s="38"/>
      <c r="NMO113" s="36"/>
      <c r="NMP113" s="38"/>
      <c r="NMQ113" s="38"/>
      <c r="NMW113" s="36"/>
      <c r="NMX113" s="38"/>
      <c r="NMY113" s="38"/>
      <c r="NNE113" s="36"/>
      <c r="NNF113" s="38"/>
      <c r="NNG113" s="38"/>
      <c r="NNM113" s="36"/>
      <c r="NNN113" s="38"/>
      <c r="NNO113" s="38"/>
      <c r="NNU113" s="36"/>
      <c r="NNV113" s="38"/>
      <c r="NNW113" s="38"/>
      <c r="NOC113" s="36"/>
      <c r="NOD113" s="38"/>
      <c r="NOE113" s="38"/>
      <c r="NOK113" s="36"/>
      <c r="NOL113" s="38"/>
      <c r="NOM113" s="38"/>
      <c r="NOS113" s="36"/>
      <c r="NOT113" s="38"/>
      <c r="NOU113" s="38"/>
      <c r="NPA113" s="36"/>
      <c r="NPB113" s="38"/>
      <c r="NPC113" s="38"/>
      <c r="NPI113" s="36"/>
      <c r="NPJ113" s="38"/>
      <c r="NPK113" s="38"/>
      <c r="NPQ113" s="36"/>
      <c r="NPR113" s="38"/>
      <c r="NPS113" s="38"/>
      <c r="NPY113" s="36"/>
      <c r="NPZ113" s="38"/>
      <c r="NQA113" s="38"/>
      <c r="NQG113" s="36"/>
      <c r="NQH113" s="38"/>
      <c r="NQI113" s="38"/>
      <c r="NQO113" s="36"/>
      <c r="NQP113" s="38"/>
      <c r="NQQ113" s="38"/>
      <c r="NQW113" s="36"/>
      <c r="NQX113" s="38"/>
      <c r="NQY113" s="38"/>
      <c r="NRE113" s="36"/>
      <c r="NRF113" s="38"/>
      <c r="NRG113" s="38"/>
      <c r="NRM113" s="36"/>
      <c r="NRN113" s="38"/>
      <c r="NRO113" s="38"/>
      <c r="NRU113" s="36"/>
      <c r="NRV113" s="38"/>
      <c r="NRW113" s="38"/>
      <c r="NSC113" s="36"/>
      <c r="NSD113" s="38"/>
      <c r="NSE113" s="38"/>
      <c r="NSK113" s="36"/>
      <c r="NSL113" s="38"/>
      <c r="NSM113" s="38"/>
      <c r="NSS113" s="36"/>
      <c r="NST113" s="38"/>
      <c r="NSU113" s="38"/>
      <c r="NTA113" s="36"/>
      <c r="NTB113" s="38"/>
      <c r="NTC113" s="38"/>
      <c r="NTI113" s="36"/>
      <c r="NTJ113" s="38"/>
      <c r="NTK113" s="38"/>
      <c r="NTQ113" s="36"/>
      <c r="NTR113" s="38"/>
      <c r="NTS113" s="38"/>
      <c r="NTY113" s="36"/>
      <c r="NTZ113" s="38"/>
      <c r="NUA113" s="38"/>
      <c r="NUG113" s="36"/>
      <c r="NUH113" s="38"/>
      <c r="NUI113" s="38"/>
      <c r="NUO113" s="36"/>
      <c r="NUP113" s="38"/>
      <c r="NUQ113" s="38"/>
      <c r="NUW113" s="36"/>
      <c r="NUX113" s="38"/>
      <c r="NUY113" s="38"/>
      <c r="NVE113" s="36"/>
      <c r="NVF113" s="38"/>
      <c r="NVG113" s="38"/>
      <c r="NVM113" s="36"/>
      <c r="NVN113" s="38"/>
      <c r="NVO113" s="38"/>
      <c r="NVU113" s="36"/>
      <c r="NVV113" s="38"/>
      <c r="NVW113" s="38"/>
      <c r="NWC113" s="36"/>
      <c r="NWD113" s="38"/>
      <c r="NWE113" s="38"/>
      <c r="NWK113" s="36"/>
      <c r="NWL113" s="38"/>
      <c r="NWM113" s="38"/>
      <c r="NWS113" s="36"/>
      <c r="NWT113" s="38"/>
      <c r="NWU113" s="38"/>
      <c r="NXA113" s="36"/>
      <c r="NXB113" s="38"/>
      <c r="NXC113" s="38"/>
      <c r="NXI113" s="36"/>
      <c r="NXJ113" s="38"/>
      <c r="NXK113" s="38"/>
      <c r="NXQ113" s="36"/>
      <c r="NXR113" s="38"/>
      <c r="NXS113" s="38"/>
      <c r="NXY113" s="36"/>
      <c r="NXZ113" s="38"/>
      <c r="NYA113" s="38"/>
      <c r="NYG113" s="36"/>
      <c r="NYH113" s="38"/>
      <c r="NYI113" s="38"/>
      <c r="NYO113" s="36"/>
      <c r="NYP113" s="38"/>
      <c r="NYQ113" s="38"/>
      <c r="NYW113" s="36"/>
      <c r="NYX113" s="38"/>
      <c r="NYY113" s="38"/>
      <c r="NZE113" s="36"/>
      <c r="NZF113" s="38"/>
      <c r="NZG113" s="38"/>
      <c r="NZM113" s="36"/>
      <c r="NZN113" s="38"/>
      <c r="NZO113" s="38"/>
      <c r="NZU113" s="36"/>
      <c r="NZV113" s="38"/>
      <c r="NZW113" s="38"/>
      <c r="OAC113" s="36"/>
      <c r="OAD113" s="38"/>
      <c r="OAE113" s="38"/>
      <c r="OAK113" s="36"/>
      <c r="OAL113" s="38"/>
      <c r="OAM113" s="38"/>
      <c r="OAS113" s="36"/>
      <c r="OAT113" s="38"/>
      <c r="OAU113" s="38"/>
      <c r="OBA113" s="36"/>
      <c r="OBB113" s="38"/>
      <c r="OBC113" s="38"/>
      <c r="OBI113" s="36"/>
      <c r="OBJ113" s="38"/>
      <c r="OBK113" s="38"/>
      <c r="OBQ113" s="36"/>
      <c r="OBR113" s="38"/>
      <c r="OBS113" s="38"/>
      <c r="OBY113" s="36"/>
      <c r="OBZ113" s="38"/>
      <c r="OCA113" s="38"/>
      <c r="OCG113" s="36"/>
      <c r="OCH113" s="38"/>
      <c r="OCI113" s="38"/>
      <c r="OCO113" s="36"/>
      <c r="OCP113" s="38"/>
      <c r="OCQ113" s="38"/>
      <c r="OCW113" s="36"/>
      <c r="OCX113" s="38"/>
      <c r="OCY113" s="38"/>
      <c r="ODE113" s="36"/>
      <c r="ODF113" s="38"/>
      <c r="ODG113" s="38"/>
      <c r="ODM113" s="36"/>
      <c r="ODN113" s="38"/>
      <c r="ODO113" s="38"/>
      <c r="ODU113" s="36"/>
      <c r="ODV113" s="38"/>
      <c r="ODW113" s="38"/>
      <c r="OEC113" s="36"/>
      <c r="OED113" s="38"/>
      <c r="OEE113" s="38"/>
      <c r="OEK113" s="36"/>
      <c r="OEL113" s="38"/>
      <c r="OEM113" s="38"/>
      <c r="OES113" s="36"/>
      <c r="OET113" s="38"/>
      <c r="OEU113" s="38"/>
      <c r="OFA113" s="36"/>
      <c r="OFB113" s="38"/>
      <c r="OFC113" s="38"/>
      <c r="OFI113" s="36"/>
      <c r="OFJ113" s="38"/>
      <c r="OFK113" s="38"/>
      <c r="OFQ113" s="36"/>
      <c r="OFR113" s="38"/>
      <c r="OFS113" s="38"/>
      <c r="OFY113" s="36"/>
      <c r="OFZ113" s="38"/>
      <c r="OGA113" s="38"/>
      <c r="OGG113" s="36"/>
      <c r="OGH113" s="38"/>
      <c r="OGI113" s="38"/>
      <c r="OGO113" s="36"/>
      <c r="OGP113" s="38"/>
      <c r="OGQ113" s="38"/>
      <c r="OGW113" s="36"/>
      <c r="OGX113" s="38"/>
      <c r="OGY113" s="38"/>
      <c r="OHE113" s="36"/>
      <c r="OHF113" s="38"/>
      <c r="OHG113" s="38"/>
      <c r="OHM113" s="36"/>
      <c r="OHN113" s="38"/>
      <c r="OHO113" s="38"/>
      <c r="OHU113" s="36"/>
      <c r="OHV113" s="38"/>
      <c r="OHW113" s="38"/>
      <c r="OIC113" s="36"/>
      <c r="OID113" s="38"/>
      <c r="OIE113" s="38"/>
      <c r="OIK113" s="36"/>
      <c r="OIL113" s="38"/>
      <c r="OIM113" s="38"/>
      <c r="OIS113" s="36"/>
      <c r="OIT113" s="38"/>
      <c r="OIU113" s="38"/>
      <c r="OJA113" s="36"/>
      <c r="OJB113" s="38"/>
      <c r="OJC113" s="38"/>
      <c r="OJI113" s="36"/>
      <c r="OJJ113" s="38"/>
      <c r="OJK113" s="38"/>
      <c r="OJQ113" s="36"/>
      <c r="OJR113" s="38"/>
      <c r="OJS113" s="38"/>
      <c r="OJY113" s="36"/>
      <c r="OJZ113" s="38"/>
      <c r="OKA113" s="38"/>
      <c r="OKG113" s="36"/>
      <c r="OKH113" s="38"/>
      <c r="OKI113" s="38"/>
      <c r="OKO113" s="36"/>
      <c r="OKP113" s="38"/>
      <c r="OKQ113" s="38"/>
      <c r="OKW113" s="36"/>
      <c r="OKX113" s="38"/>
      <c r="OKY113" s="38"/>
      <c r="OLE113" s="36"/>
      <c r="OLF113" s="38"/>
      <c r="OLG113" s="38"/>
      <c r="OLM113" s="36"/>
      <c r="OLN113" s="38"/>
      <c r="OLO113" s="38"/>
      <c r="OLU113" s="36"/>
      <c r="OLV113" s="38"/>
      <c r="OLW113" s="38"/>
      <c r="OMC113" s="36"/>
      <c r="OMD113" s="38"/>
      <c r="OME113" s="38"/>
      <c r="OMK113" s="36"/>
      <c r="OML113" s="38"/>
      <c r="OMM113" s="38"/>
      <c r="OMS113" s="36"/>
      <c r="OMT113" s="38"/>
      <c r="OMU113" s="38"/>
      <c r="ONA113" s="36"/>
      <c r="ONB113" s="38"/>
      <c r="ONC113" s="38"/>
      <c r="ONI113" s="36"/>
      <c r="ONJ113" s="38"/>
      <c r="ONK113" s="38"/>
      <c r="ONQ113" s="36"/>
      <c r="ONR113" s="38"/>
      <c r="ONS113" s="38"/>
      <c r="ONY113" s="36"/>
      <c r="ONZ113" s="38"/>
      <c r="OOA113" s="38"/>
      <c r="OOG113" s="36"/>
      <c r="OOH113" s="38"/>
      <c r="OOI113" s="38"/>
      <c r="OOO113" s="36"/>
      <c r="OOP113" s="38"/>
      <c r="OOQ113" s="38"/>
      <c r="OOW113" s="36"/>
      <c r="OOX113" s="38"/>
      <c r="OOY113" s="38"/>
      <c r="OPE113" s="36"/>
      <c r="OPF113" s="38"/>
      <c r="OPG113" s="38"/>
      <c r="OPM113" s="36"/>
      <c r="OPN113" s="38"/>
      <c r="OPO113" s="38"/>
      <c r="OPU113" s="36"/>
      <c r="OPV113" s="38"/>
      <c r="OPW113" s="38"/>
      <c r="OQC113" s="36"/>
      <c r="OQD113" s="38"/>
      <c r="OQE113" s="38"/>
      <c r="OQK113" s="36"/>
      <c r="OQL113" s="38"/>
      <c r="OQM113" s="38"/>
      <c r="OQS113" s="36"/>
      <c r="OQT113" s="38"/>
      <c r="OQU113" s="38"/>
      <c r="ORA113" s="36"/>
      <c r="ORB113" s="38"/>
      <c r="ORC113" s="38"/>
      <c r="ORI113" s="36"/>
      <c r="ORJ113" s="38"/>
      <c r="ORK113" s="38"/>
      <c r="ORQ113" s="36"/>
      <c r="ORR113" s="38"/>
      <c r="ORS113" s="38"/>
      <c r="ORY113" s="36"/>
      <c r="ORZ113" s="38"/>
      <c r="OSA113" s="38"/>
      <c r="OSG113" s="36"/>
      <c r="OSH113" s="38"/>
      <c r="OSI113" s="38"/>
      <c r="OSO113" s="36"/>
      <c r="OSP113" s="38"/>
      <c r="OSQ113" s="38"/>
      <c r="OSW113" s="36"/>
      <c r="OSX113" s="38"/>
      <c r="OSY113" s="38"/>
      <c r="OTE113" s="36"/>
      <c r="OTF113" s="38"/>
      <c r="OTG113" s="38"/>
      <c r="OTM113" s="36"/>
      <c r="OTN113" s="38"/>
      <c r="OTO113" s="38"/>
      <c r="OTU113" s="36"/>
      <c r="OTV113" s="38"/>
      <c r="OTW113" s="38"/>
      <c r="OUC113" s="36"/>
      <c r="OUD113" s="38"/>
      <c r="OUE113" s="38"/>
      <c r="OUK113" s="36"/>
      <c r="OUL113" s="38"/>
      <c r="OUM113" s="38"/>
      <c r="OUS113" s="36"/>
      <c r="OUT113" s="38"/>
      <c r="OUU113" s="38"/>
      <c r="OVA113" s="36"/>
      <c r="OVB113" s="38"/>
      <c r="OVC113" s="38"/>
      <c r="OVI113" s="36"/>
      <c r="OVJ113" s="38"/>
      <c r="OVK113" s="38"/>
      <c r="OVQ113" s="36"/>
      <c r="OVR113" s="38"/>
      <c r="OVS113" s="38"/>
      <c r="OVY113" s="36"/>
      <c r="OVZ113" s="38"/>
      <c r="OWA113" s="38"/>
      <c r="OWG113" s="36"/>
      <c r="OWH113" s="38"/>
      <c r="OWI113" s="38"/>
      <c r="OWO113" s="36"/>
      <c r="OWP113" s="38"/>
      <c r="OWQ113" s="38"/>
      <c r="OWW113" s="36"/>
      <c r="OWX113" s="38"/>
      <c r="OWY113" s="38"/>
      <c r="OXE113" s="36"/>
      <c r="OXF113" s="38"/>
      <c r="OXG113" s="38"/>
      <c r="OXM113" s="36"/>
      <c r="OXN113" s="38"/>
      <c r="OXO113" s="38"/>
      <c r="OXU113" s="36"/>
      <c r="OXV113" s="38"/>
      <c r="OXW113" s="38"/>
      <c r="OYC113" s="36"/>
      <c r="OYD113" s="38"/>
      <c r="OYE113" s="38"/>
      <c r="OYK113" s="36"/>
      <c r="OYL113" s="38"/>
      <c r="OYM113" s="38"/>
      <c r="OYS113" s="36"/>
      <c r="OYT113" s="38"/>
      <c r="OYU113" s="38"/>
      <c r="OZA113" s="36"/>
      <c r="OZB113" s="38"/>
      <c r="OZC113" s="38"/>
      <c r="OZI113" s="36"/>
      <c r="OZJ113" s="38"/>
      <c r="OZK113" s="38"/>
      <c r="OZQ113" s="36"/>
      <c r="OZR113" s="38"/>
      <c r="OZS113" s="38"/>
      <c r="OZY113" s="36"/>
      <c r="OZZ113" s="38"/>
      <c r="PAA113" s="38"/>
      <c r="PAG113" s="36"/>
      <c r="PAH113" s="38"/>
      <c r="PAI113" s="38"/>
      <c r="PAO113" s="36"/>
      <c r="PAP113" s="38"/>
      <c r="PAQ113" s="38"/>
      <c r="PAW113" s="36"/>
      <c r="PAX113" s="38"/>
      <c r="PAY113" s="38"/>
      <c r="PBE113" s="36"/>
      <c r="PBF113" s="38"/>
      <c r="PBG113" s="38"/>
      <c r="PBM113" s="36"/>
      <c r="PBN113" s="38"/>
      <c r="PBO113" s="38"/>
      <c r="PBU113" s="36"/>
      <c r="PBV113" s="38"/>
      <c r="PBW113" s="38"/>
      <c r="PCC113" s="36"/>
      <c r="PCD113" s="38"/>
      <c r="PCE113" s="38"/>
      <c r="PCK113" s="36"/>
      <c r="PCL113" s="38"/>
      <c r="PCM113" s="38"/>
      <c r="PCS113" s="36"/>
      <c r="PCT113" s="38"/>
      <c r="PCU113" s="38"/>
      <c r="PDA113" s="36"/>
      <c r="PDB113" s="38"/>
      <c r="PDC113" s="38"/>
      <c r="PDI113" s="36"/>
      <c r="PDJ113" s="38"/>
      <c r="PDK113" s="38"/>
      <c r="PDQ113" s="36"/>
      <c r="PDR113" s="38"/>
      <c r="PDS113" s="38"/>
      <c r="PDY113" s="36"/>
      <c r="PDZ113" s="38"/>
      <c r="PEA113" s="38"/>
      <c r="PEG113" s="36"/>
      <c r="PEH113" s="38"/>
      <c r="PEI113" s="38"/>
      <c r="PEO113" s="36"/>
      <c r="PEP113" s="38"/>
      <c r="PEQ113" s="38"/>
      <c r="PEW113" s="36"/>
      <c r="PEX113" s="38"/>
      <c r="PEY113" s="38"/>
      <c r="PFE113" s="36"/>
      <c r="PFF113" s="38"/>
      <c r="PFG113" s="38"/>
      <c r="PFM113" s="36"/>
      <c r="PFN113" s="38"/>
      <c r="PFO113" s="38"/>
      <c r="PFU113" s="36"/>
      <c r="PFV113" s="38"/>
      <c r="PFW113" s="38"/>
      <c r="PGC113" s="36"/>
      <c r="PGD113" s="38"/>
      <c r="PGE113" s="38"/>
      <c r="PGK113" s="36"/>
      <c r="PGL113" s="38"/>
      <c r="PGM113" s="38"/>
      <c r="PGS113" s="36"/>
      <c r="PGT113" s="38"/>
      <c r="PGU113" s="38"/>
      <c r="PHA113" s="36"/>
      <c r="PHB113" s="38"/>
      <c r="PHC113" s="38"/>
      <c r="PHI113" s="36"/>
      <c r="PHJ113" s="38"/>
      <c r="PHK113" s="38"/>
      <c r="PHQ113" s="36"/>
      <c r="PHR113" s="38"/>
      <c r="PHS113" s="38"/>
      <c r="PHY113" s="36"/>
      <c r="PHZ113" s="38"/>
      <c r="PIA113" s="38"/>
      <c r="PIG113" s="36"/>
      <c r="PIH113" s="38"/>
      <c r="PII113" s="38"/>
      <c r="PIO113" s="36"/>
      <c r="PIP113" s="38"/>
      <c r="PIQ113" s="38"/>
      <c r="PIW113" s="36"/>
      <c r="PIX113" s="38"/>
      <c r="PIY113" s="38"/>
      <c r="PJE113" s="36"/>
      <c r="PJF113" s="38"/>
      <c r="PJG113" s="38"/>
      <c r="PJM113" s="36"/>
      <c r="PJN113" s="38"/>
      <c r="PJO113" s="38"/>
      <c r="PJU113" s="36"/>
      <c r="PJV113" s="38"/>
      <c r="PJW113" s="38"/>
      <c r="PKC113" s="36"/>
      <c r="PKD113" s="38"/>
      <c r="PKE113" s="38"/>
      <c r="PKK113" s="36"/>
      <c r="PKL113" s="38"/>
      <c r="PKM113" s="38"/>
      <c r="PKS113" s="36"/>
      <c r="PKT113" s="38"/>
      <c r="PKU113" s="38"/>
      <c r="PLA113" s="36"/>
      <c r="PLB113" s="38"/>
      <c r="PLC113" s="38"/>
      <c r="PLI113" s="36"/>
      <c r="PLJ113" s="38"/>
      <c r="PLK113" s="38"/>
      <c r="PLQ113" s="36"/>
      <c r="PLR113" s="38"/>
      <c r="PLS113" s="38"/>
      <c r="PLY113" s="36"/>
      <c r="PLZ113" s="38"/>
      <c r="PMA113" s="38"/>
      <c r="PMG113" s="36"/>
      <c r="PMH113" s="38"/>
      <c r="PMI113" s="38"/>
      <c r="PMO113" s="36"/>
      <c r="PMP113" s="38"/>
      <c r="PMQ113" s="38"/>
      <c r="PMW113" s="36"/>
      <c r="PMX113" s="38"/>
      <c r="PMY113" s="38"/>
      <c r="PNE113" s="36"/>
      <c r="PNF113" s="38"/>
      <c r="PNG113" s="38"/>
      <c r="PNM113" s="36"/>
      <c r="PNN113" s="38"/>
      <c r="PNO113" s="38"/>
      <c r="PNU113" s="36"/>
      <c r="PNV113" s="38"/>
      <c r="PNW113" s="38"/>
      <c r="POC113" s="36"/>
      <c r="POD113" s="38"/>
      <c r="POE113" s="38"/>
      <c r="POK113" s="36"/>
      <c r="POL113" s="38"/>
      <c r="POM113" s="38"/>
      <c r="POS113" s="36"/>
      <c r="POT113" s="38"/>
      <c r="POU113" s="38"/>
      <c r="PPA113" s="36"/>
      <c r="PPB113" s="38"/>
      <c r="PPC113" s="38"/>
      <c r="PPI113" s="36"/>
      <c r="PPJ113" s="38"/>
      <c r="PPK113" s="38"/>
      <c r="PPQ113" s="36"/>
      <c r="PPR113" s="38"/>
      <c r="PPS113" s="38"/>
      <c r="PPY113" s="36"/>
      <c r="PPZ113" s="38"/>
      <c r="PQA113" s="38"/>
      <c r="PQG113" s="36"/>
      <c r="PQH113" s="38"/>
      <c r="PQI113" s="38"/>
      <c r="PQO113" s="36"/>
      <c r="PQP113" s="38"/>
      <c r="PQQ113" s="38"/>
      <c r="PQW113" s="36"/>
      <c r="PQX113" s="38"/>
      <c r="PQY113" s="38"/>
      <c r="PRE113" s="36"/>
      <c r="PRF113" s="38"/>
      <c r="PRG113" s="38"/>
      <c r="PRM113" s="36"/>
      <c r="PRN113" s="38"/>
      <c r="PRO113" s="38"/>
      <c r="PRU113" s="36"/>
      <c r="PRV113" s="38"/>
      <c r="PRW113" s="38"/>
      <c r="PSC113" s="36"/>
      <c r="PSD113" s="38"/>
      <c r="PSE113" s="38"/>
      <c r="PSK113" s="36"/>
      <c r="PSL113" s="38"/>
      <c r="PSM113" s="38"/>
      <c r="PSS113" s="36"/>
      <c r="PST113" s="38"/>
      <c r="PSU113" s="38"/>
      <c r="PTA113" s="36"/>
      <c r="PTB113" s="38"/>
      <c r="PTC113" s="38"/>
      <c r="PTI113" s="36"/>
      <c r="PTJ113" s="38"/>
      <c r="PTK113" s="38"/>
      <c r="PTQ113" s="36"/>
      <c r="PTR113" s="38"/>
      <c r="PTS113" s="38"/>
      <c r="PTY113" s="36"/>
      <c r="PTZ113" s="38"/>
      <c r="PUA113" s="38"/>
      <c r="PUG113" s="36"/>
      <c r="PUH113" s="38"/>
      <c r="PUI113" s="38"/>
      <c r="PUO113" s="36"/>
      <c r="PUP113" s="38"/>
      <c r="PUQ113" s="38"/>
      <c r="PUW113" s="36"/>
      <c r="PUX113" s="38"/>
      <c r="PUY113" s="38"/>
      <c r="PVE113" s="36"/>
      <c r="PVF113" s="38"/>
      <c r="PVG113" s="38"/>
      <c r="PVM113" s="36"/>
      <c r="PVN113" s="38"/>
      <c r="PVO113" s="38"/>
      <c r="PVU113" s="36"/>
      <c r="PVV113" s="38"/>
      <c r="PVW113" s="38"/>
      <c r="PWC113" s="36"/>
      <c r="PWD113" s="38"/>
      <c r="PWE113" s="38"/>
      <c r="PWK113" s="36"/>
      <c r="PWL113" s="38"/>
      <c r="PWM113" s="38"/>
      <c r="PWS113" s="36"/>
      <c r="PWT113" s="38"/>
      <c r="PWU113" s="38"/>
      <c r="PXA113" s="36"/>
      <c r="PXB113" s="38"/>
      <c r="PXC113" s="38"/>
      <c r="PXI113" s="36"/>
      <c r="PXJ113" s="38"/>
      <c r="PXK113" s="38"/>
      <c r="PXQ113" s="36"/>
      <c r="PXR113" s="38"/>
      <c r="PXS113" s="38"/>
      <c r="PXY113" s="36"/>
      <c r="PXZ113" s="38"/>
      <c r="PYA113" s="38"/>
      <c r="PYG113" s="36"/>
      <c r="PYH113" s="38"/>
      <c r="PYI113" s="38"/>
      <c r="PYO113" s="36"/>
      <c r="PYP113" s="38"/>
      <c r="PYQ113" s="38"/>
      <c r="PYW113" s="36"/>
      <c r="PYX113" s="38"/>
      <c r="PYY113" s="38"/>
      <c r="PZE113" s="36"/>
      <c r="PZF113" s="38"/>
      <c r="PZG113" s="38"/>
      <c r="PZM113" s="36"/>
      <c r="PZN113" s="38"/>
      <c r="PZO113" s="38"/>
      <c r="PZU113" s="36"/>
      <c r="PZV113" s="38"/>
      <c r="PZW113" s="38"/>
      <c r="QAC113" s="36"/>
      <c r="QAD113" s="38"/>
      <c r="QAE113" s="38"/>
      <c r="QAK113" s="36"/>
      <c r="QAL113" s="38"/>
      <c r="QAM113" s="38"/>
      <c r="QAS113" s="36"/>
      <c r="QAT113" s="38"/>
      <c r="QAU113" s="38"/>
      <c r="QBA113" s="36"/>
      <c r="QBB113" s="38"/>
      <c r="QBC113" s="38"/>
      <c r="QBI113" s="36"/>
      <c r="QBJ113" s="38"/>
      <c r="QBK113" s="38"/>
      <c r="QBQ113" s="36"/>
      <c r="QBR113" s="38"/>
      <c r="QBS113" s="38"/>
      <c r="QBY113" s="36"/>
      <c r="QBZ113" s="38"/>
      <c r="QCA113" s="38"/>
      <c r="QCG113" s="36"/>
      <c r="QCH113" s="38"/>
      <c r="QCI113" s="38"/>
      <c r="QCO113" s="36"/>
      <c r="QCP113" s="38"/>
      <c r="QCQ113" s="38"/>
      <c r="QCW113" s="36"/>
      <c r="QCX113" s="38"/>
      <c r="QCY113" s="38"/>
      <c r="QDE113" s="36"/>
      <c r="QDF113" s="38"/>
      <c r="QDG113" s="38"/>
      <c r="QDM113" s="36"/>
      <c r="QDN113" s="38"/>
      <c r="QDO113" s="38"/>
      <c r="QDU113" s="36"/>
      <c r="QDV113" s="38"/>
      <c r="QDW113" s="38"/>
      <c r="QEC113" s="36"/>
      <c r="QED113" s="38"/>
      <c r="QEE113" s="38"/>
      <c r="QEK113" s="36"/>
      <c r="QEL113" s="38"/>
      <c r="QEM113" s="38"/>
      <c r="QES113" s="36"/>
      <c r="QET113" s="38"/>
      <c r="QEU113" s="38"/>
      <c r="QFA113" s="36"/>
      <c r="QFB113" s="38"/>
      <c r="QFC113" s="38"/>
      <c r="QFI113" s="36"/>
      <c r="QFJ113" s="38"/>
      <c r="QFK113" s="38"/>
      <c r="QFQ113" s="36"/>
      <c r="QFR113" s="38"/>
      <c r="QFS113" s="38"/>
      <c r="QFY113" s="36"/>
      <c r="QFZ113" s="38"/>
      <c r="QGA113" s="38"/>
      <c r="QGG113" s="36"/>
      <c r="QGH113" s="38"/>
      <c r="QGI113" s="38"/>
      <c r="QGO113" s="36"/>
      <c r="QGP113" s="38"/>
      <c r="QGQ113" s="38"/>
      <c r="QGW113" s="36"/>
      <c r="QGX113" s="38"/>
      <c r="QGY113" s="38"/>
      <c r="QHE113" s="36"/>
      <c r="QHF113" s="38"/>
      <c r="QHG113" s="38"/>
      <c r="QHM113" s="36"/>
      <c r="QHN113" s="38"/>
      <c r="QHO113" s="38"/>
      <c r="QHU113" s="36"/>
      <c r="QHV113" s="38"/>
      <c r="QHW113" s="38"/>
      <c r="QIC113" s="36"/>
      <c r="QID113" s="38"/>
      <c r="QIE113" s="38"/>
      <c r="QIK113" s="36"/>
      <c r="QIL113" s="38"/>
      <c r="QIM113" s="38"/>
      <c r="QIS113" s="36"/>
      <c r="QIT113" s="38"/>
      <c r="QIU113" s="38"/>
      <c r="QJA113" s="36"/>
      <c r="QJB113" s="38"/>
      <c r="QJC113" s="38"/>
      <c r="QJI113" s="36"/>
      <c r="QJJ113" s="38"/>
      <c r="QJK113" s="38"/>
      <c r="QJQ113" s="36"/>
      <c r="QJR113" s="38"/>
      <c r="QJS113" s="38"/>
      <c r="QJY113" s="36"/>
      <c r="QJZ113" s="38"/>
      <c r="QKA113" s="38"/>
      <c r="QKG113" s="36"/>
      <c r="QKH113" s="38"/>
      <c r="QKI113" s="38"/>
      <c r="QKO113" s="36"/>
      <c r="QKP113" s="38"/>
      <c r="QKQ113" s="38"/>
      <c r="QKW113" s="36"/>
      <c r="QKX113" s="38"/>
      <c r="QKY113" s="38"/>
      <c r="QLE113" s="36"/>
      <c r="QLF113" s="38"/>
      <c r="QLG113" s="38"/>
      <c r="QLM113" s="36"/>
      <c r="QLN113" s="38"/>
      <c r="QLO113" s="38"/>
      <c r="QLU113" s="36"/>
      <c r="QLV113" s="38"/>
      <c r="QLW113" s="38"/>
      <c r="QMC113" s="36"/>
      <c r="QMD113" s="38"/>
      <c r="QME113" s="38"/>
      <c r="QMK113" s="36"/>
      <c r="QML113" s="38"/>
      <c r="QMM113" s="38"/>
      <c r="QMS113" s="36"/>
      <c r="QMT113" s="38"/>
      <c r="QMU113" s="38"/>
      <c r="QNA113" s="36"/>
      <c r="QNB113" s="38"/>
      <c r="QNC113" s="38"/>
      <c r="QNI113" s="36"/>
      <c r="QNJ113" s="38"/>
      <c r="QNK113" s="38"/>
      <c r="QNQ113" s="36"/>
      <c r="QNR113" s="38"/>
      <c r="QNS113" s="38"/>
      <c r="QNY113" s="36"/>
      <c r="QNZ113" s="38"/>
      <c r="QOA113" s="38"/>
      <c r="QOG113" s="36"/>
      <c r="QOH113" s="38"/>
      <c r="QOI113" s="38"/>
      <c r="QOO113" s="36"/>
      <c r="QOP113" s="38"/>
      <c r="QOQ113" s="38"/>
      <c r="QOW113" s="36"/>
      <c r="QOX113" s="38"/>
      <c r="QOY113" s="38"/>
      <c r="QPE113" s="36"/>
      <c r="QPF113" s="38"/>
      <c r="QPG113" s="38"/>
      <c r="QPM113" s="36"/>
      <c r="QPN113" s="38"/>
      <c r="QPO113" s="38"/>
      <c r="QPU113" s="36"/>
      <c r="QPV113" s="38"/>
      <c r="QPW113" s="38"/>
      <c r="QQC113" s="36"/>
      <c r="QQD113" s="38"/>
      <c r="QQE113" s="38"/>
      <c r="QQK113" s="36"/>
      <c r="QQL113" s="38"/>
      <c r="QQM113" s="38"/>
      <c r="QQS113" s="36"/>
      <c r="QQT113" s="38"/>
      <c r="QQU113" s="38"/>
      <c r="QRA113" s="36"/>
      <c r="QRB113" s="38"/>
      <c r="QRC113" s="38"/>
      <c r="QRI113" s="36"/>
      <c r="QRJ113" s="38"/>
      <c r="QRK113" s="38"/>
      <c r="QRQ113" s="36"/>
      <c r="QRR113" s="38"/>
      <c r="QRS113" s="38"/>
      <c r="QRY113" s="36"/>
      <c r="QRZ113" s="38"/>
      <c r="QSA113" s="38"/>
      <c r="QSG113" s="36"/>
      <c r="QSH113" s="38"/>
      <c r="QSI113" s="38"/>
      <c r="QSO113" s="36"/>
      <c r="QSP113" s="38"/>
      <c r="QSQ113" s="38"/>
      <c r="QSW113" s="36"/>
      <c r="QSX113" s="38"/>
      <c r="QSY113" s="38"/>
      <c r="QTE113" s="36"/>
      <c r="QTF113" s="38"/>
      <c r="QTG113" s="38"/>
      <c r="QTM113" s="36"/>
      <c r="QTN113" s="38"/>
      <c r="QTO113" s="38"/>
      <c r="QTU113" s="36"/>
      <c r="QTV113" s="38"/>
      <c r="QTW113" s="38"/>
      <c r="QUC113" s="36"/>
      <c r="QUD113" s="38"/>
      <c r="QUE113" s="38"/>
      <c r="QUK113" s="36"/>
      <c r="QUL113" s="38"/>
      <c r="QUM113" s="38"/>
      <c r="QUS113" s="36"/>
      <c r="QUT113" s="38"/>
      <c r="QUU113" s="38"/>
      <c r="QVA113" s="36"/>
      <c r="QVB113" s="38"/>
      <c r="QVC113" s="38"/>
      <c r="QVI113" s="36"/>
      <c r="QVJ113" s="38"/>
      <c r="QVK113" s="38"/>
      <c r="QVQ113" s="36"/>
      <c r="QVR113" s="38"/>
      <c r="QVS113" s="38"/>
      <c r="QVY113" s="36"/>
      <c r="QVZ113" s="38"/>
      <c r="QWA113" s="38"/>
      <c r="QWG113" s="36"/>
      <c r="QWH113" s="38"/>
      <c r="QWI113" s="38"/>
      <c r="QWO113" s="36"/>
      <c r="QWP113" s="38"/>
      <c r="QWQ113" s="38"/>
      <c r="QWW113" s="36"/>
      <c r="QWX113" s="38"/>
      <c r="QWY113" s="38"/>
      <c r="QXE113" s="36"/>
      <c r="QXF113" s="38"/>
      <c r="QXG113" s="38"/>
      <c r="QXM113" s="36"/>
      <c r="QXN113" s="38"/>
      <c r="QXO113" s="38"/>
      <c r="QXU113" s="36"/>
      <c r="QXV113" s="38"/>
      <c r="QXW113" s="38"/>
      <c r="QYC113" s="36"/>
      <c r="QYD113" s="38"/>
      <c r="QYE113" s="38"/>
      <c r="QYK113" s="36"/>
      <c r="QYL113" s="38"/>
      <c r="QYM113" s="38"/>
      <c r="QYS113" s="36"/>
      <c r="QYT113" s="38"/>
      <c r="QYU113" s="38"/>
      <c r="QZA113" s="36"/>
      <c r="QZB113" s="38"/>
      <c r="QZC113" s="38"/>
      <c r="QZI113" s="36"/>
      <c r="QZJ113" s="38"/>
      <c r="QZK113" s="38"/>
      <c r="QZQ113" s="36"/>
      <c r="QZR113" s="38"/>
      <c r="QZS113" s="38"/>
      <c r="QZY113" s="36"/>
      <c r="QZZ113" s="38"/>
      <c r="RAA113" s="38"/>
      <c r="RAG113" s="36"/>
      <c r="RAH113" s="38"/>
      <c r="RAI113" s="38"/>
      <c r="RAO113" s="36"/>
      <c r="RAP113" s="38"/>
      <c r="RAQ113" s="38"/>
      <c r="RAW113" s="36"/>
      <c r="RAX113" s="38"/>
      <c r="RAY113" s="38"/>
      <c r="RBE113" s="36"/>
      <c r="RBF113" s="38"/>
      <c r="RBG113" s="38"/>
      <c r="RBM113" s="36"/>
      <c r="RBN113" s="38"/>
      <c r="RBO113" s="38"/>
      <c r="RBU113" s="36"/>
      <c r="RBV113" s="38"/>
      <c r="RBW113" s="38"/>
      <c r="RCC113" s="36"/>
      <c r="RCD113" s="38"/>
      <c r="RCE113" s="38"/>
      <c r="RCK113" s="36"/>
      <c r="RCL113" s="38"/>
      <c r="RCM113" s="38"/>
      <c r="RCS113" s="36"/>
      <c r="RCT113" s="38"/>
      <c r="RCU113" s="38"/>
      <c r="RDA113" s="36"/>
      <c r="RDB113" s="38"/>
      <c r="RDC113" s="38"/>
      <c r="RDI113" s="36"/>
      <c r="RDJ113" s="38"/>
      <c r="RDK113" s="38"/>
      <c r="RDQ113" s="36"/>
      <c r="RDR113" s="38"/>
      <c r="RDS113" s="38"/>
      <c r="RDY113" s="36"/>
      <c r="RDZ113" s="38"/>
      <c r="REA113" s="38"/>
      <c r="REG113" s="36"/>
      <c r="REH113" s="38"/>
      <c r="REI113" s="38"/>
      <c r="REO113" s="36"/>
      <c r="REP113" s="38"/>
      <c r="REQ113" s="38"/>
      <c r="REW113" s="36"/>
      <c r="REX113" s="38"/>
      <c r="REY113" s="38"/>
      <c r="RFE113" s="36"/>
      <c r="RFF113" s="38"/>
      <c r="RFG113" s="38"/>
      <c r="RFM113" s="36"/>
      <c r="RFN113" s="38"/>
      <c r="RFO113" s="38"/>
      <c r="RFU113" s="36"/>
      <c r="RFV113" s="38"/>
      <c r="RFW113" s="38"/>
      <c r="RGC113" s="36"/>
      <c r="RGD113" s="38"/>
      <c r="RGE113" s="38"/>
      <c r="RGK113" s="36"/>
      <c r="RGL113" s="38"/>
      <c r="RGM113" s="38"/>
      <c r="RGS113" s="36"/>
      <c r="RGT113" s="38"/>
      <c r="RGU113" s="38"/>
      <c r="RHA113" s="36"/>
      <c r="RHB113" s="38"/>
      <c r="RHC113" s="38"/>
      <c r="RHI113" s="36"/>
      <c r="RHJ113" s="38"/>
      <c r="RHK113" s="38"/>
      <c r="RHQ113" s="36"/>
      <c r="RHR113" s="38"/>
      <c r="RHS113" s="38"/>
      <c r="RHY113" s="36"/>
      <c r="RHZ113" s="38"/>
      <c r="RIA113" s="38"/>
      <c r="RIG113" s="36"/>
      <c r="RIH113" s="38"/>
      <c r="RII113" s="38"/>
      <c r="RIO113" s="36"/>
      <c r="RIP113" s="38"/>
      <c r="RIQ113" s="38"/>
      <c r="RIW113" s="36"/>
      <c r="RIX113" s="38"/>
      <c r="RIY113" s="38"/>
      <c r="RJE113" s="36"/>
      <c r="RJF113" s="38"/>
      <c r="RJG113" s="38"/>
      <c r="RJM113" s="36"/>
      <c r="RJN113" s="38"/>
      <c r="RJO113" s="38"/>
      <c r="RJU113" s="36"/>
      <c r="RJV113" s="38"/>
      <c r="RJW113" s="38"/>
      <c r="RKC113" s="36"/>
      <c r="RKD113" s="38"/>
      <c r="RKE113" s="38"/>
      <c r="RKK113" s="36"/>
      <c r="RKL113" s="38"/>
      <c r="RKM113" s="38"/>
      <c r="RKS113" s="36"/>
      <c r="RKT113" s="38"/>
      <c r="RKU113" s="38"/>
      <c r="RLA113" s="36"/>
      <c r="RLB113" s="38"/>
      <c r="RLC113" s="38"/>
      <c r="RLI113" s="36"/>
      <c r="RLJ113" s="38"/>
      <c r="RLK113" s="38"/>
      <c r="RLQ113" s="36"/>
      <c r="RLR113" s="38"/>
      <c r="RLS113" s="38"/>
      <c r="RLY113" s="36"/>
      <c r="RLZ113" s="38"/>
      <c r="RMA113" s="38"/>
      <c r="RMG113" s="36"/>
      <c r="RMH113" s="38"/>
      <c r="RMI113" s="38"/>
      <c r="RMO113" s="36"/>
      <c r="RMP113" s="38"/>
      <c r="RMQ113" s="38"/>
      <c r="RMW113" s="36"/>
      <c r="RMX113" s="38"/>
      <c r="RMY113" s="38"/>
      <c r="RNE113" s="36"/>
      <c r="RNF113" s="38"/>
      <c r="RNG113" s="38"/>
      <c r="RNM113" s="36"/>
      <c r="RNN113" s="38"/>
      <c r="RNO113" s="38"/>
      <c r="RNU113" s="36"/>
      <c r="RNV113" s="38"/>
      <c r="RNW113" s="38"/>
      <c r="ROC113" s="36"/>
      <c r="ROD113" s="38"/>
      <c r="ROE113" s="38"/>
      <c r="ROK113" s="36"/>
      <c r="ROL113" s="38"/>
      <c r="ROM113" s="38"/>
      <c r="ROS113" s="36"/>
      <c r="ROT113" s="38"/>
      <c r="ROU113" s="38"/>
      <c r="RPA113" s="36"/>
      <c r="RPB113" s="38"/>
      <c r="RPC113" s="38"/>
      <c r="RPI113" s="36"/>
      <c r="RPJ113" s="38"/>
      <c r="RPK113" s="38"/>
      <c r="RPQ113" s="36"/>
      <c r="RPR113" s="38"/>
      <c r="RPS113" s="38"/>
      <c r="RPY113" s="36"/>
      <c r="RPZ113" s="38"/>
      <c r="RQA113" s="38"/>
      <c r="RQG113" s="36"/>
      <c r="RQH113" s="38"/>
      <c r="RQI113" s="38"/>
      <c r="RQO113" s="36"/>
      <c r="RQP113" s="38"/>
      <c r="RQQ113" s="38"/>
      <c r="RQW113" s="36"/>
      <c r="RQX113" s="38"/>
      <c r="RQY113" s="38"/>
      <c r="RRE113" s="36"/>
      <c r="RRF113" s="38"/>
      <c r="RRG113" s="38"/>
      <c r="RRM113" s="36"/>
      <c r="RRN113" s="38"/>
      <c r="RRO113" s="38"/>
      <c r="RRU113" s="36"/>
      <c r="RRV113" s="38"/>
      <c r="RRW113" s="38"/>
      <c r="RSC113" s="36"/>
      <c r="RSD113" s="38"/>
      <c r="RSE113" s="38"/>
      <c r="RSK113" s="36"/>
      <c r="RSL113" s="38"/>
      <c r="RSM113" s="38"/>
      <c r="RSS113" s="36"/>
      <c r="RST113" s="38"/>
      <c r="RSU113" s="38"/>
      <c r="RTA113" s="36"/>
      <c r="RTB113" s="38"/>
      <c r="RTC113" s="38"/>
      <c r="RTI113" s="36"/>
      <c r="RTJ113" s="38"/>
      <c r="RTK113" s="38"/>
      <c r="RTQ113" s="36"/>
      <c r="RTR113" s="38"/>
      <c r="RTS113" s="38"/>
      <c r="RTY113" s="36"/>
      <c r="RTZ113" s="38"/>
      <c r="RUA113" s="38"/>
      <c r="RUG113" s="36"/>
      <c r="RUH113" s="38"/>
      <c r="RUI113" s="38"/>
      <c r="RUO113" s="36"/>
      <c r="RUP113" s="38"/>
      <c r="RUQ113" s="38"/>
      <c r="RUW113" s="36"/>
      <c r="RUX113" s="38"/>
      <c r="RUY113" s="38"/>
      <c r="RVE113" s="36"/>
      <c r="RVF113" s="38"/>
      <c r="RVG113" s="38"/>
      <c r="RVM113" s="36"/>
      <c r="RVN113" s="38"/>
      <c r="RVO113" s="38"/>
      <c r="RVU113" s="36"/>
      <c r="RVV113" s="38"/>
      <c r="RVW113" s="38"/>
      <c r="RWC113" s="36"/>
      <c r="RWD113" s="38"/>
      <c r="RWE113" s="38"/>
      <c r="RWK113" s="36"/>
      <c r="RWL113" s="38"/>
      <c r="RWM113" s="38"/>
      <c r="RWS113" s="36"/>
      <c r="RWT113" s="38"/>
      <c r="RWU113" s="38"/>
      <c r="RXA113" s="36"/>
      <c r="RXB113" s="38"/>
      <c r="RXC113" s="38"/>
      <c r="RXI113" s="36"/>
      <c r="RXJ113" s="38"/>
      <c r="RXK113" s="38"/>
      <c r="RXQ113" s="36"/>
      <c r="RXR113" s="38"/>
      <c r="RXS113" s="38"/>
      <c r="RXY113" s="36"/>
      <c r="RXZ113" s="38"/>
      <c r="RYA113" s="38"/>
      <c r="RYG113" s="36"/>
      <c r="RYH113" s="38"/>
      <c r="RYI113" s="38"/>
      <c r="RYO113" s="36"/>
      <c r="RYP113" s="38"/>
      <c r="RYQ113" s="38"/>
      <c r="RYW113" s="36"/>
      <c r="RYX113" s="38"/>
      <c r="RYY113" s="38"/>
      <c r="RZE113" s="36"/>
      <c r="RZF113" s="38"/>
      <c r="RZG113" s="38"/>
      <c r="RZM113" s="36"/>
      <c r="RZN113" s="38"/>
      <c r="RZO113" s="38"/>
      <c r="RZU113" s="36"/>
      <c r="RZV113" s="38"/>
      <c r="RZW113" s="38"/>
      <c r="SAC113" s="36"/>
      <c r="SAD113" s="38"/>
      <c r="SAE113" s="38"/>
      <c r="SAK113" s="36"/>
      <c r="SAL113" s="38"/>
      <c r="SAM113" s="38"/>
      <c r="SAS113" s="36"/>
      <c r="SAT113" s="38"/>
      <c r="SAU113" s="38"/>
      <c r="SBA113" s="36"/>
      <c r="SBB113" s="38"/>
      <c r="SBC113" s="38"/>
      <c r="SBI113" s="36"/>
      <c r="SBJ113" s="38"/>
      <c r="SBK113" s="38"/>
      <c r="SBQ113" s="36"/>
      <c r="SBR113" s="38"/>
      <c r="SBS113" s="38"/>
      <c r="SBY113" s="36"/>
      <c r="SBZ113" s="38"/>
      <c r="SCA113" s="38"/>
      <c r="SCG113" s="36"/>
      <c r="SCH113" s="38"/>
      <c r="SCI113" s="38"/>
      <c r="SCO113" s="36"/>
      <c r="SCP113" s="38"/>
      <c r="SCQ113" s="38"/>
      <c r="SCW113" s="36"/>
      <c r="SCX113" s="38"/>
      <c r="SCY113" s="38"/>
      <c r="SDE113" s="36"/>
      <c r="SDF113" s="38"/>
      <c r="SDG113" s="38"/>
      <c r="SDM113" s="36"/>
      <c r="SDN113" s="38"/>
      <c r="SDO113" s="38"/>
      <c r="SDU113" s="36"/>
      <c r="SDV113" s="38"/>
      <c r="SDW113" s="38"/>
      <c r="SEC113" s="36"/>
      <c r="SED113" s="38"/>
      <c r="SEE113" s="38"/>
      <c r="SEK113" s="36"/>
      <c r="SEL113" s="38"/>
      <c r="SEM113" s="38"/>
      <c r="SES113" s="36"/>
      <c r="SET113" s="38"/>
      <c r="SEU113" s="38"/>
      <c r="SFA113" s="36"/>
      <c r="SFB113" s="38"/>
      <c r="SFC113" s="38"/>
      <c r="SFI113" s="36"/>
      <c r="SFJ113" s="38"/>
      <c r="SFK113" s="38"/>
      <c r="SFQ113" s="36"/>
      <c r="SFR113" s="38"/>
      <c r="SFS113" s="38"/>
      <c r="SFY113" s="36"/>
      <c r="SFZ113" s="38"/>
      <c r="SGA113" s="38"/>
      <c r="SGG113" s="36"/>
      <c r="SGH113" s="38"/>
      <c r="SGI113" s="38"/>
      <c r="SGO113" s="36"/>
      <c r="SGP113" s="38"/>
      <c r="SGQ113" s="38"/>
      <c r="SGW113" s="36"/>
      <c r="SGX113" s="38"/>
      <c r="SGY113" s="38"/>
      <c r="SHE113" s="36"/>
      <c r="SHF113" s="38"/>
      <c r="SHG113" s="38"/>
      <c r="SHM113" s="36"/>
      <c r="SHN113" s="38"/>
      <c r="SHO113" s="38"/>
      <c r="SHU113" s="36"/>
      <c r="SHV113" s="38"/>
      <c r="SHW113" s="38"/>
      <c r="SIC113" s="36"/>
      <c r="SID113" s="38"/>
      <c r="SIE113" s="38"/>
      <c r="SIK113" s="36"/>
      <c r="SIL113" s="38"/>
      <c r="SIM113" s="38"/>
      <c r="SIS113" s="36"/>
      <c r="SIT113" s="38"/>
      <c r="SIU113" s="38"/>
      <c r="SJA113" s="36"/>
      <c r="SJB113" s="38"/>
      <c r="SJC113" s="38"/>
      <c r="SJI113" s="36"/>
      <c r="SJJ113" s="38"/>
      <c r="SJK113" s="38"/>
      <c r="SJQ113" s="36"/>
      <c r="SJR113" s="38"/>
      <c r="SJS113" s="38"/>
      <c r="SJY113" s="36"/>
      <c r="SJZ113" s="38"/>
      <c r="SKA113" s="38"/>
      <c r="SKG113" s="36"/>
      <c r="SKH113" s="38"/>
      <c r="SKI113" s="38"/>
      <c r="SKO113" s="36"/>
      <c r="SKP113" s="38"/>
      <c r="SKQ113" s="38"/>
      <c r="SKW113" s="36"/>
      <c r="SKX113" s="38"/>
      <c r="SKY113" s="38"/>
      <c r="SLE113" s="36"/>
      <c r="SLF113" s="38"/>
      <c r="SLG113" s="38"/>
      <c r="SLM113" s="36"/>
      <c r="SLN113" s="38"/>
      <c r="SLO113" s="38"/>
      <c r="SLU113" s="36"/>
      <c r="SLV113" s="38"/>
      <c r="SLW113" s="38"/>
      <c r="SMC113" s="36"/>
      <c r="SMD113" s="38"/>
      <c r="SME113" s="38"/>
      <c r="SMK113" s="36"/>
      <c r="SML113" s="38"/>
      <c r="SMM113" s="38"/>
      <c r="SMS113" s="36"/>
      <c r="SMT113" s="38"/>
      <c r="SMU113" s="38"/>
      <c r="SNA113" s="36"/>
      <c r="SNB113" s="38"/>
      <c r="SNC113" s="38"/>
      <c r="SNI113" s="36"/>
      <c r="SNJ113" s="38"/>
      <c r="SNK113" s="38"/>
      <c r="SNQ113" s="36"/>
      <c r="SNR113" s="38"/>
      <c r="SNS113" s="38"/>
      <c r="SNY113" s="36"/>
      <c r="SNZ113" s="38"/>
      <c r="SOA113" s="38"/>
      <c r="SOG113" s="36"/>
      <c r="SOH113" s="38"/>
      <c r="SOI113" s="38"/>
      <c r="SOO113" s="36"/>
      <c r="SOP113" s="38"/>
      <c r="SOQ113" s="38"/>
      <c r="SOW113" s="36"/>
      <c r="SOX113" s="38"/>
      <c r="SOY113" s="38"/>
      <c r="SPE113" s="36"/>
      <c r="SPF113" s="38"/>
      <c r="SPG113" s="38"/>
      <c r="SPM113" s="36"/>
      <c r="SPN113" s="38"/>
      <c r="SPO113" s="38"/>
      <c r="SPU113" s="36"/>
      <c r="SPV113" s="38"/>
      <c r="SPW113" s="38"/>
      <c r="SQC113" s="36"/>
      <c r="SQD113" s="38"/>
      <c r="SQE113" s="38"/>
      <c r="SQK113" s="36"/>
      <c r="SQL113" s="38"/>
      <c r="SQM113" s="38"/>
      <c r="SQS113" s="36"/>
      <c r="SQT113" s="38"/>
      <c r="SQU113" s="38"/>
      <c r="SRA113" s="36"/>
      <c r="SRB113" s="38"/>
      <c r="SRC113" s="38"/>
      <c r="SRI113" s="36"/>
      <c r="SRJ113" s="38"/>
      <c r="SRK113" s="38"/>
      <c r="SRQ113" s="36"/>
      <c r="SRR113" s="38"/>
      <c r="SRS113" s="38"/>
      <c r="SRY113" s="36"/>
      <c r="SRZ113" s="38"/>
      <c r="SSA113" s="38"/>
      <c r="SSG113" s="36"/>
      <c r="SSH113" s="38"/>
      <c r="SSI113" s="38"/>
      <c r="SSO113" s="36"/>
      <c r="SSP113" s="38"/>
      <c r="SSQ113" s="38"/>
      <c r="SSW113" s="36"/>
      <c r="SSX113" s="38"/>
      <c r="SSY113" s="38"/>
      <c r="STE113" s="36"/>
      <c r="STF113" s="38"/>
      <c r="STG113" s="38"/>
      <c r="STM113" s="36"/>
      <c r="STN113" s="38"/>
      <c r="STO113" s="38"/>
      <c r="STU113" s="36"/>
      <c r="STV113" s="38"/>
      <c r="STW113" s="38"/>
      <c r="SUC113" s="36"/>
      <c r="SUD113" s="38"/>
      <c r="SUE113" s="38"/>
      <c r="SUK113" s="36"/>
      <c r="SUL113" s="38"/>
      <c r="SUM113" s="38"/>
      <c r="SUS113" s="36"/>
      <c r="SUT113" s="38"/>
      <c r="SUU113" s="38"/>
      <c r="SVA113" s="36"/>
      <c r="SVB113" s="38"/>
      <c r="SVC113" s="38"/>
      <c r="SVI113" s="36"/>
      <c r="SVJ113" s="38"/>
      <c r="SVK113" s="38"/>
      <c r="SVQ113" s="36"/>
      <c r="SVR113" s="38"/>
      <c r="SVS113" s="38"/>
      <c r="SVY113" s="36"/>
      <c r="SVZ113" s="38"/>
      <c r="SWA113" s="38"/>
      <c r="SWG113" s="36"/>
      <c r="SWH113" s="38"/>
      <c r="SWI113" s="38"/>
      <c r="SWO113" s="36"/>
      <c r="SWP113" s="38"/>
      <c r="SWQ113" s="38"/>
      <c r="SWW113" s="36"/>
      <c r="SWX113" s="38"/>
      <c r="SWY113" s="38"/>
      <c r="SXE113" s="36"/>
      <c r="SXF113" s="38"/>
      <c r="SXG113" s="38"/>
      <c r="SXM113" s="36"/>
      <c r="SXN113" s="38"/>
      <c r="SXO113" s="38"/>
      <c r="SXU113" s="36"/>
      <c r="SXV113" s="38"/>
      <c r="SXW113" s="38"/>
      <c r="SYC113" s="36"/>
      <c r="SYD113" s="38"/>
      <c r="SYE113" s="38"/>
      <c r="SYK113" s="36"/>
      <c r="SYL113" s="38"/>
      <c r="SYM113" s="38"/>
      <c r="SYS113" s="36"/>
      <c r="SYT113" s="38"/>
      <c r="SYU113" s="38"/>
      <c r="SZA113" s="36"/>
      <c r="SZB113" s="38"/>
      <c r="SZC113" s="38"/>
      <c r="SZI113" s="36"/>
      <c r="SZJ113" s="38"/>
      <c r="SZK113" s="38"/>
      <c r="SZQ113" s="36"/>
      <c r="SZR113" s="38"/>
      <c r="SZS113" s="38"/>
      <c r="SZY113" s="36"/>
      <c r="SZZ113" s="38"/>
      <c r="TAA113" s="38"/>
      <c r="TAG113" s="36"/>
      <c r="TAH113" s="38"/>
      <c r="TAI113" s="38"/>
      <c r="TAO113" s="36"/>
      <c r="TAP113" s="38"/>
      <c r="TAQ113" s="38"/>
      <c r="TAW113" s="36"/>
      <c r="TAX113" s="38"/>
      <c r="TAY113" s="38"/>
      <c r="TBE113" s="36"/>
      <c r="TBF113" s="38"/>
      <c r="TBG113" s="38"/>
      <c r="TBM113" s="36"/>
      <c r="TBN113" s="38"/>
      <c r="TBO113" s="38"/>
      <c r="TBU113" s="36"/>
      <c r="TBV113" s="38"/>
      <c r="TBW113" s="38"/>
      <c r="TCC113" s="36"/>
      <c r="TCD113" s="38"/>
      <c r="TCE113" s="38"/>
      <c r="TCK113" s="36"/>
      <c r="TCL113" s="38"/>
      <c r="TCM113" s="38"/>
      <c r="TCS113" s="36"/>
      <c r="TCT113" s="38"/>
      <c r="TCU113" s="38"/>
      <c r="TDA113" s="36"/>
      <c r="TDB113" s="38"/>
      <c r="TDC113" s="38"/>
      <c r="TDI113" s="36"/>
      <c r="TDJ113" s="38"/>
      <c r="TDK113" s="38"/>
      <c r="TDQ113" s="36"/>
      <c r="TDR113" s="38"/>
      <c r="TDS113" s="38"/>
      <c r="TDY113" s="36"/>
      <c r="TDZ113" s="38"/>
      <c r="TEA113" s="38"/>
      <c r="TEG113" s="36"/>
      <c r="TEH113" s="38"/>
      <c r="TEI113" s="38"/>
      <c r="TEO113" s="36"/>
      <c r="TEP113" s="38"/>
      <c r="TEQ113" s="38"/>
      <c r="TEW113" s="36"/>
      <c r="TEX113" s="38"/>
      <c r="TEY113" s="38"/>
      <c r="TFE113" s="36"/>
      <c r="TFF113" s="38"/>
      <c r="TFG113" s="38"/>
      <c r="TFM113" s="36"/>
      <c r="TFN113" s="38"/>
      <c r="TFO113" s="38"/>
      <c r="TFU113" s="36"/>
      <c r="TFV113" s="38"/>
      <c r="TFW113" s="38"/>
      <c r="TGC113" s="36"/>
      <c r="TGD113" s="38"/>
      <c r="TGE113" s="38"/>
      <c r="TGK113" s="36"/>
      <c r="TGL113" s="38"/>
      <c r="TGM113" s="38"/>
      <c r="TGS113" s="36"/>
      <c r="TGT113" s="38"/>
      <c r="TGU113" s="38"/>
      <c r="THA113" s="36"/>
      <c r="THB113" s="38"/>
      <c r="THC113" s="38"/>
      <c r="THI113" s="36"/>
      <c r="THJ113" s="38"/>
      <c r="THK113" s="38"/>
      <c r="THQ113" s="36"/>
      <c r="THR113" s="38"/>
      <c r="THS113" s="38"/>
      <c r="THY113" s="36"/>
      <c r="THZ113" s="38"/>
      <c r="TIA113" s="38"/>
      <c r="TIG113" s="36"/>
      <c r="TIH113" s="38"/>
      <c r="TII113" s="38"/>
      <c r="TIO113" s="36"/>
      <c r="TIP113" s="38"/>
      <c r="TIQ113" s="38"/>
      <c r="TIW113" s="36"/>
      <c r="TIX113" s="38"/>
      <c r="TIY113" s="38"/>
      <c r="TJE113" s="36"/>
      <c r="TJF113" s="38"/>
      <c r="TJG113" s="38"/>
      <c r="TJM113" s="36"/>
      <c r="TJN113" s="38"/>
      <c r="TJO113" s="38"/>
      <c r="TJU113" s="36"/>
      <c r="TJV113" s="38"/>
      <c r="TJW113" s="38"/>
      <c r="TKC113" s="36"/>
      <c r="TKD113" s="38"/>
      <c r="TKE113" s="38"/>
      <c r="TKK113" s="36"/>
      <c r="TKL113" s="38"/>
      <c r="TKM113" s="38"/>
      <c r="TKS113" s="36"/>
      <c r="TKT113" s="38"/>
      <c r="TKU113" s="38"/>
      <c r="TLA113" s="36"/>
      <c r="TLB113" s="38"/>
      <c r="TLC113" s="38"/>
      <c r="TLI113" s="36"/>
      <c r="TLJ113" s="38"/>
      <c r="TLK113" s="38"/>
      <c r="TLQ113" s="36"/>
      <c r="TLR113" s="38"/>
      <c r="TLS113" s="38"/>
      <c r="TLY113" s="36"/>
      <c r="TLZ113" s="38"/>
      <c r="TMA113" s="38"/>
      <c r="TMG113" s="36"/>
      <c r="TMH113" s="38"/>
      <c r="TMI113" s="38"/>
      <c r="TMO113" s="36"/>
      <c r="TMP113" s="38"/>
      <c r="TMQ113" s="38"/>
      <c r="TMW113" s="36"/>
      <c r="TMX113" s="38"/>
      <c r="TMY113" s="38"/>
      <c r="TNE113" s="36"/>
      <c r="TNF113" s="38"/>
      <c r="TNG113" s="38"/>
      <c r="TNM113" s="36"/>
      <c r="TNN113" s="38"/>
      <c r="TNO113" s="38"/>
      <c r="TNU113" s="36"/>
      <c r="TNV113" s="38"/>
      <c r="TNW113" s="38"/>
      <c r="TOC113" s="36"/>
      <c r="TOD113" s="38"/>
      <c r="TOE113" s="38"/>
      <c r="TOK113" s="36"/>
      <c r="TOL113" s="38"/>
      <c r="TOM113" s="38"/>
      <c r="TOS113" s="36"/>
      <c r="TOT113" s="38"/>
      <c r="TOU113" s="38"/>
      <c r="TPA113" s="36"/>
      <c r="TPB113" s="38"/>
      <c r="TPC113" s="38"/>
      <c r="TPI113" s="36"/>
      <c r="TPJ113" s="38"/>
      <c r="TPK113" s="38"/>
      <c r="TPQ113" s="36"/>
      <c r="TPR113" s="38"/>
      <c r="TPS113" s="38"/>
      <c r="TPY113" s="36"/>
      <c r="TPZ113" s="38"/>
      <c r="TQA113" s="38"/>
      <c r="TQG113" s="36"/>
      <c r="TQH113" s="38"/>
      <c r="TQI113" s="38"/>
      <c r="TQO113" s="36"/>
      <c r="TQP113" s="38"/>
      <c r="TQQ113" s="38"/>
      <c r="TQW113" s="36"/>
      <c r="TQX113" s="38"/>
      <c r="TQY113" s="38"/>
      <c r="TRE113" s="36"/>
      <c r="TRF113" s="38"/>
      <c r="TRG113" s="38"/>
      <c r="TRM113" s="36"/>
      <c r="TRN113" s="38"/>
      <c r="TRO113" s="38"/>
      <c r="TRU113" s="36"/>
      <c r="TRV113" s="38"/>
      <c r="TRW113" s="38"/>
      <c r="TSC113" s="36"/>
      <c r="TSD113" s="38"/>
      <c r="TSE113" s="38"/>
      <c r="TSK113" s="36"/>
      <c r="TSL113" s="38"/>
      <c r="TSM113" s="38"/>
      <c r="TSS113" s="36"/>
      <c r="TST113" s="38"/>
      <c r="TSU113" s="38"/>
      <c r="TTA113" s="36"/>
      <c r="TTB113" s="38"/>
      <c r="TTC113" s="38"/>
      <c r="TTI113" s="36"/>
      <c r="TTJ113" s="38"/>
      <c r="TTK113" s="38"/>
      <c r="TTQ113" s="36"/>
      <c r="TTR113" s="38"/>
      <c r="TTS113" s="38"/>
      <c r="TTY113" s="36"/>
      <c r="TTZ113" s="38"/>
      <c r="TUA113" s="38"/>
      <c r="TUG113" s="36"/>
      <c r="TUH113" s="38"/>
      <c r="TUI113" s="38"/>
      <c r="TUO113" s="36"/>
      <c r="TUP113" s="38"/>
      <c r="TUQ113" s="38"/>
      <c r="TUW113" s="36"/>
      <c r="TUX113" s="38"/>
      <c r="TUY113" s="38"/>
      <c r="TVE113" s="36"/>
      <c r="TVF113" s="38"/>
      <c r="TVG113" s="38"/>
      <c r="TVM113" s="36"/>
      <c r="TVN113" s="38"/>
      <c r="TVO113" s="38"/>
      <c r="TVU113" s="36"/>
      <c r="TVV113" s="38"/>
      <c r="TVW113" s="38"/>
      <c r="TWC113" s="36"/>
      <c r="TWD113" s="38"/>
      <c r="TWE113" s="38"/>
      <c r="TWK113" s="36"/>
      <c r="TWL113" s="38"/>
      <c r="TWM113" s="38"/>
      <c r="TWS113" s="36"/>
      <c r="TWT113" s="38"/>
      <c r="TWU113" s="38"/>
      <c r="TXA113" s="36"/>
      <c r="TXB113" s="38"/>
      <c r="TXC113" s="38"/>
      <c r="TXI113" s="36"/>
      <c r="TXJ113" s="38"/>
      <c r="TXK113" s="38"/>
      <c r="TXQ113" s="36"/>
      <c r="TXR113" s="38"/>
      <c r="TXS113" s="38"/>
      <c r="TXY113" s="36"/>
      <c r="TXZ113" s="38"/>
      <c r="TYA113" s="38"/>
      <c r="TYG113" s="36"/>
      <c r="TYH113" s="38"/>
      <c r="TYI113" s="38"/>
      <c r="TYO113" s="36"/>
      <c r="TYP113" s="38"/>
      <c r="TYQ113" s="38"/>
      <c r="TYW113" s="36"/>
      <c r="TYX113" s="38"/>
      <c r="TYY113" s="38"/>
      <c r="TZE113" s="36"/>
      <c r="TZF113" s="38"/>
      <c r="TZG113" s="38"/>
      <c r="TZM113" s="36"/>
      <c r="TZN113" s="38"/>
      <c r="TZO113" s="38"/>
      <c r="TZU113" s="36"/>
      <c r="TZV113" s="38"/>
      <c r="TZW113" s="38"/>
      <c r="UAC113" s="36"/>
      <c r="UAD113" s="38"/>
      <c r="UAE113" s="38"/>
      <c r="UAK113" s="36"/>
      <c r="UAL113" s="38"/>
      <c r="UAM113" s="38"/>
      <c r="UAS113" s="36"/>
      <c r="UAT113" s="38"/>
      <c r="UAU113" s="38"/>
      <c r="UBA113" s="36"/>
      <c r="UBB113" s="38"/>
      <c r="UBC113" s="38"/>
      <c r="UBI113" s="36"/>
      <c r="UBJ113" s="38"/>
      <c r="UBK113" s="38"/>
      <c r="UBQ113" s="36"/>
      <c r="UBR113" s="38"/>
      <c r="UBS113" s="38"/>
      <c r="UBY113" s="36"/>
      <c r="UBZ113" s="38"/>
      <c r="UCA113" s="38"/>
      <c r="UCG113" s="36"/>
      <c r="UCH113" s="38"/>
      <c r="UCI113" s="38"/>
      <c r="UCO113" s="36"/>
      <c r="UCP113" s="38"/>
      <c r="UCQ113" s="38"/>
      <c r="UCW113" s="36"/>
      <c r="UCX113" s="38"/>
      <c r="UCY113" s="38"/>
      <c r="UDE113" s="36"/>
      <c r="UDF113" s="38"/>
      <c r="UDG113" s="38"/>
      <c r="UDM113" s="36"/>
      <c r="UDN113" s="38"/>
      <c r="UDO113" s="38"/>
      <c r="UDU113" s="36"/>
      <c r="UDV113" s="38"/>
      <c r="UDW113" s="38"/>
      <c r="UEC113" s="36"/>
      <c r="UED113" s="38"/>
      <c r="UEE113" s="38"/>
      <c r="UEK113" s="36"/>
      <c r="UEL113" s="38"/>
      <c r="UEM113" s="38"/>
      <c r="UES113" s="36"/>
      <c r="UET113" s="38"/>
      <c r="UEU113" s="38"/>
      <c r="UFA113" s="36"/>
      <c r="UFB113" s="38"/>
      <c r="UFC113" s="38"/>
      <c r="UFI113" s="36"/>
      <c r="UFJ113" s="38"/>
      <c r="UFK113" s="38"/>
      <c r="UFQ113" s="36"/>
      <c r="UFR113" s="38"/>
      <c r="UFS113" s="38"/>
      <c r="UFY113" s="36"/>
      <c r="UFZ113" s="38"/>
      <c r="UGA113" s="38"/>
      <c r="UGG113" s="36"/>
      <c r="UGH113" s="38"/>
      <c r="UGI113" s="38"/>
      <c r="UGO113" s="36"/>
      <c r="UGP113" s="38"/>
      <c r="UGQ113" s="38"/>
      <c r="UGW113" s="36"/>
      <c r="UGX113" s="38"/>
      <c r="UGY113" s="38"/>
      <c r="UHE113" s="36"/>
      <c r="UHF113" s="38"/>
      <c r="UHG113" s="38"/>
      <c r="UHM113" s="36"/>
      <c r="UHN113" s="38"/>
      <c r="UHO113" s="38"/>
      <c r="UHU113" s="36"/>
      <c r="UHV113" s="38"/>
      <c r="UHW113" s="38"/>
      <c r="UIC113" s="36"/>
      <c r="UID113" s="38"/>
      <c r="UIE113" s="38"/>
      <c r="UIK113" s="36"/>
      <c r="UIL113" s="38"/>
      <c r="UIM113" s="38"/>
      <c r="UIS113" s="36"/>
      <c r="UIT113" s="38"/>
      <c r="UIU113" s="38"/>
      <c r="UJA113" s="36"/>
      <c r="UJB113" s="38"/>
      <c r="UJC113" s="38"/>
      <c r="UJI113" s="36"/>
      <c r="UJJ113" s="38"/>
      <c r="UJK113" s="38"/>
      <c r="UJQ113" s="36"/>
      <c r="UJR113" s="38"/>
      <c r="UJS113" s="38"/>
      <c r="UJY113" s="36"/>
      <c r="UJZ113" s="38"/>
      <c r="UKA113" s="38"/>
      <c r="UKG113" s="36"/>
      <c r="UKH113" s="38"/>
      <c r="UKI113" s="38"/>
      <c r="UKO113" s="36"/>
      <c r="UKP113" s="38"/>
      <c r="UKQ113" s="38"/>
      <c r="UKW113" s="36"/>
      <c r="UKX113" s="38"/>
      <c r="UKY113" s="38"/>
      <c r="ULE113" s="36"/>
      <c r="ULF113" s="38"/>
      <c r="ULG113" s="38"/>
      <c r="ULM113" s="36"/>
      <c r="ULN113" s="38"/>
      <c r="ULO113" s="38"/>
      <c r="ULU113" s="36"/>
      <c r="ULV113" s="38"/>
      <c r="ULW113" s="38"/>
      <c r="UMC113" s="36"/>
      <c r="UMD113" s="38"/>
      <c r="UME113" s="38"/>
      <c r="UMK113" s="36"/>
      <c r="UML113" s="38"/>
      <c r="UMM113" s="38"/>
      <c r="UMS113" s="36"/>
      <c r="UMT113" s="38"/>
      <c r="UMU113" s="38"/>
      <c r="UNA113" s="36"/>
      <c r="UNB113" s="38"/>
      <c r="UNC113" s="38"/>
      <c r="UNI113" s="36"/>
      <c r="UNJ113" s="38"/>
      <c r="UNK113" s="38"/>
      <c r="UNQ113" s="36"/>
      <c r="UNR113" s="38"/>
      <c r="UNS113" s="38"/>
      <c r="UNY113" s="36"/>
      <c r="UNZ113" s="38"/>
      <c r="UOA113" s="38"/>
      <c r="UOG113" s="36"/>
      <c r="UOH113" s="38"/>
      <c r="UOI113" s="38"/>
      <c r="UOO113" s="36"/>
      <c r="UOP113" s="38"/>
      <c r="UOQ113" s="38"/>
      <c r="UOW113" s="36"/>
      <c r="UOX113" s="38"/>
      <c r="UOY113" s="38"/>
      <c r="UPE113" s="36"/>
      <c r="UPF113" s="38"/>
      <c r="UPG113" s="38"/>
      <c r="UPM113" s="36"/>
      <c r="UPN113" s="38"/>
      <c r="UPO113" s="38"/>
      <c r="UPU113" s="36"/>
      <c r="UPV113" s="38"/>
      <c r="UPW113" s="38"/>
      <c r="UQC113" s="36"/>
      <c r="UQD113" s="38"/>
      <c r="UQE113" s="38"/>
      <c r="UQK113" s="36"/>
      <c r="UQL113" s="38"/>
      <c r="UQM113" s="38"/>
      <c r="UQS113" s="36"/>
      <c r="UQT113" s="38"/>
      <c r="UQU113" s="38"/>
      <c r="URA113" s="36"/>
      <c r="URB113" s="38"/>
      <c r="URC113" s="38"/>
      <c r="URI113" s="36"/>
      <c r="URJ113" s="38"/>
      <c r="URK113" s="38"/>
      <c r="URQ113" s="36"/>
      <c r="URR113" s="38"/>
      <c r="URS113" s="38"/>
      <c r="URY113" s="36"/>
      <c r="URZ113" s="38"/>
      <c r="USA113" s="38"/>
      <c r="USG113" s="36"/>
      <c r="USH113" s="38"/>
      <c r="USI113" s="38"/>
      <c r="USO113" s="36"/>
      <c r="USP113" s="38"/>
      <c r="USQ113" s="38"/>
      <c r="USW113" s="36"/>
      <c r="USX113" s="38"/>
      <c r="USY113" s="38"/>
      <c r="UTE113" s="36"/>
      <c r="UTF113" s="38"/>
      <c r="UTG113" s="38"/>
      <c r="UTM113" s="36"/>
      <c r="UTN113" s="38"/>
      <c r="UTO113" s="38"/>
      <c r="UTU113" s="36"/>
      <c r="UTV113" s="38"/>
      <c r="UTW113" s="38"/>
      <c r="UUC113" s="36"/>
      <c r="UUD113" s="38"/>
      <c r="UUE113" s="38"/>
      <c r="UUK113" s="36"/>
      <c r="UUL113" s="38"/>
      <c r="UUM113" s="38"/>
      <c r="UUS113" s="36"/>
      <c r="UUT113" s="38"/>
      <c r="UUU113" s="38"/>
      <c r="UVA113" s="36"/>
      <c r="UVB113" s="38"/>
      <c r="UVC113" s="38"/>
      <c r="UVI113" s="36"/>
      <c r="UVJ113" s="38"/>
      <c r="UVK113" s="38"/>
      <c r="UVQ113" s="36"/>
      <c r="UVR113" s="38"/>
      <c r="UVS113" s="38"/>
      <c r="UVY113" s="36"/>
      <c r="UVZ113" s="38"/>
      <c r="UWA113" s="38"/>
      <c r="UWG113" s="36"/>
      <c r="UWH113" s="38"/>
      <c r="UWI113" s="38"/>
      <c r="UWO113" s="36"/>
      <c r="UWP113" s="38"/>
      <c r="UWQ113" s="38"/>
      <c r="UWW113" s="36"/>
      <c r="UWX113" s="38"/>
      <c r="UWY113" s="38"/>
      <c r="UXE113" s="36"/>
      <c r="UXF113" s="38"/>
      <c r="UXG113" s="38"/>
      <c r="UXM113" s="36"/>
      <c r="UXN113" s="38"/>
      <c r="UXO113" s="38"/>
      <c r="UXU113" s="36"/>
      <c r="UXV113" s="38"/>
      <c r="UXW113" s="38"/>
      <c r="UYC113" s="36"/>
      <c r="UYD113" s="38"/>
      <c r="UYE113" s="38"/>
      <c r="UYK113" s="36"/>
      <c r="UYL113" s="38"/>
      <c r="UYM113" s="38"/>
      <c r="UYS113" s="36"/>
      <c r="UYT113" s="38"/>
      <c r="UYU113" s="38"/>
      <c r="UZA113" s="36"/>
      <c r="UZB113" s="38"/>
      <c r="UZC113" s="38"/>
      <c r="UZI113" s="36"/>
      <c r="UZJ113" s="38"/>
      <c r="UZK113" s="38"/>
      <c r="UZQ113" s="36"/>
      <c r="UZR113" s="38"/>
      <c r="UZS113" s="38"/>
      <c r="UZY113" s="36"/>
      <c r="UZZ113" s="38"/>
      <c r="VAA113" s="38"/>
      <c r="VAG113" s="36"/>
      <c r="VAH113" s="38"/>
      <c r="VAI113" s="38"/>
      <c r="VAO113" s="36"/>
      <c r="VAP113" s="38"/>
      <c r="VAQ113" s="38"/>
      <c r="VAW113" s="36"/>
      <c r="VAX113" s="38"/>
      <c r="VAY113" s="38"/>
      <c r="VBE113" s="36"/>
      <c r="VBF113" s="38"/>
      <c r="VBG113" s="38"/>
      <c r="VBM113" s="36"/>
      <c r="VBN113" s="38"/>
      <c r="VBO113" s="38"/>
      <c r="VBU113" s="36"/>
      <c r="VBV113" s="38"/>
      <c r="VBW113" s="38"/>
      <c r="VCC113" s="36"/>
      <c r="VCD113" s="38"/>
      <c r="VCE113" s="38"/>
      <c r="VCK113" s="36"/>
      <c r="VCL113" s="38"/>
      <c r="VCM113" s="38"/>
      <c r="VCS113" s="36"/>
      <c r="VCT113" s="38"/>
      <c r="VCU113" s="38"/>
      <c r="VDA113" s="36"/>
      <c r="VDB113" s="38"/>
      <c r="VDC113" s="38"/>
      <c r="VDI113" s="36"/>
      <c r="VDJ113" s="38"/>
      <c r="VDK113" s="38"/>
      <c r="VDQ113" s="36"/>
      <c r="VDR113" s="38"/>
      <c r="VDS113" s="38"/>
      <c r="VDY113" s="36"/>
      <c r="VDZ113" s="38"/>
      <c r="VEA113" s="38"/>
      <c r="VEG113" s="36"/>
      <c r="VEH113" s="38"/>
      <c r="VEI113" s="38"/>
      <c r="VEO113" s="36"/>
      <c r="VEP113" s="38"/>
      <c r="VEQ113" s="38"/>
      <c r="VEW113" s="36"/>
      <c r="VEX113" s="38"/>
      <c r="VEY113" s="38"/>
      <c r="VFE113" s="36"/>
      <c r="VFF113" s="38"/>
      <c r="VFG113" s="38"/>
      <c r="VFM113" s="36"/>
      <c r="VFN113" s="38"/>
      <c r="VFO113" s="38"/>
      <c r="VFU113" s="36"/>
      <c r="VFV113" s="38"/>
      <c r="VFW113" s="38"/>
      <c r="VGC113" s="36"/>
      <c r="VGD113" s="38"/>
      <c r="VGE113" s="38"/>
      <c r="VGK113" s="36"/>
      <c r="VGL113" s="38"/>
      <c r="VGM113" s="38"/>
      <c r="VGS113" s="36"/>
      <c r="VGT113" s="38"/>
      <c r="VGU113" s="38"/>
      <c r="VHA113" s="36"/>
      <c r="VHB113" s="38"/>
      <c r="VHC113" s="38"/>
      <c r="VHI113" s="36"/>
      <c r="VHJ113" s="38"/>
      <c r="VHK113" s="38"/>
      <c r="VHQ113" s="36"/>
      <c r="VHR113" s="38"/>
      <c r="VHS113" s="38"/>
      <c r="VHY113" s="36"/>
      <c r="VHZ113" s="38"/>
      <c r="VIA113" s="38"/>
      <c r="VIG113" s="36"/>
      <c r="VIH113" s="38"/>
      <c r="VII113" s="38"/>
      <c r="VIO113" s="36"/>
      <c r="VIP113" s="38"/>
      <c r="VIQ113" s="38"/>
      <c r="VIW113" s="36"/>
      <c r="VIX113" s="38"/>
      <c r="VIY113" s="38"/>
      <c r="VJE113" s="36"/>
      <c r="VJF113" s="38"/>
      <c r="VJG113" s="38"/>
      <c r="VJM113" s="36"/>
      <c r="VJN113" s="38"/>
      <c r="VJO113" s="38"/>
      <c r="VJU113" s="36"/>
      <c r="VJV113" s="38"/>
      <c r="VJW113" s="38"/>
      <c r="VKC113" s="36"/>
      <c r="VKD113" s="38"/>
      <c r="VKE113" s="38"/>
      <c r="VKK113" s="36"/>
      <c r="VKL113" s="38"/>
      <c r="VKM113" s="38"/>
      <c r="VKS113" s="36"/>
      <c r="VKT113" s="38"/>
      <c r="VKU113" s="38"/>
      <c r="VLA113" s="36"/>
      <c r="VLB113" s="38"/>
      <c r="VLC113" s="38"/>
      <c r="VLI113" s="36"/>
      <c r="VLJ113" s="38"/>
      <c r="VLK113" s="38"/>
      <c r="VLQ113" s="36"/>
      <c r="VLR113" s="38"/>
      <c r="VLS113" s="38"/>
      <c r="VLY113" s="36"/>
      <c r="VLZ113" s="38"/>
      <c r="VMA113" s="38"/>
      <c r="VMG113" s="36"/>
      <c r="VMH113" s="38"/>
      <c r="VMI113" s="38"/>
      <c r="VMO113" s="36"/>
      <c r="VMP113" s="38"/>
      <c r="VMQ113" s="38"/>
      <c r="VMW113" s="36"/>
      <c r="VMX113" s="38"/>
      <c r="VMY113" s="38"/>
      <c r="VNE113" s="36"/>
      <c r="VNF113" s="38"/>
      <c r="VNG113" s="38"/>
      <c r="VNM113" s="36"/>
      <c r="VNN113" s="38"/>
      <c r="VNO113" s="38"/>
      <c r="VNU113" s="36"/>
      <c r="VNV113" s="38"/>
      <c r="VNW113" s="38"/>
      <c r="VOC113" s="36"/>
      <c r="VOD113" s="38"/>
      <c r="VOE113" s="38"/>
      <c r="VOK113" s="36"/>
      <c r="VOL113" s="38"/>
      <c r="VOM113" s="38"/>
      <c r="VOS113" s="36"/>
      <c r="VOT113" s="38"/>
      <c r="VOU113" s="38"/>
      <c r="VPA113" s="36"/>
      <c r="VPB113" s="38"/>
      <c r="VPC113" s="38"/>
      <c r="VPI113" s="36"/>
      <c r="VPJ113" s="38"/>
      <c r="VPK113" s="38"/>
      <c r="VPQ113" s="36"/>
      <c r="VPR113" s="38"/>
      <c r="VPS113" s="38"/>
      <c r="VPY113" s="36"/>
      <c r="VPZ113" s="38"/>
      <c r="VQA113" s="38"/>
      <c r="VQG113" s="36"/>
      <c r="VQH113" s="38"/>
      <c r="VQI113" s="38"/>
      <c r="VQO113" s="36"/>
      <c r="VQP113" s="38"/>
      <c r="VQQ113" s="38"/>
      <c r="VQW113" s="36"/>
      <c r="VQX113" s="38"/>
      <c r="VQY113" s="38"/>
      <c r="VRE113" s="36"/>
      <c r="VRF113" s="38"/>
      <c r="VRG113" s="38"/>
      <c r="VRM113" s="36"/>
      <c r="VRN113" s="38"/>
      <c r="VRO113" s="38"/>
      <c r="VRU113" s="36"/>
      <c r="VRV113" s="38"/>
      <c r="VRW113" s="38"/>
      <c r="VSC113" s="36"/>
      <c r="VSD113" s="38"/>
      <c r="VSE113" s="38"/>
      <c r="VSK113" s="36"/>
      <c r="VSL113" s="38"/>
      <c r="VSM113" s="38"/>
      <c r="VSS113" s="36"/>
      <c r="VST113" s="38"/>
      <c r="VSU113" s="38"/>
      <c r="VTA113" s="36"/>
      <c r="VTB113" s="38"/>
      <c r="VTC113" s="38"/>
      <c r="VTI113" s="36"/>
      <c r="VTJ113" s="38"/>
      <c r="VTK113" s="38"/>
      <c r="VTQ113" s="36"/>
      <c r="VTR113" s="38"/>
      <c r="VTS113" s="38"/>
      <c r="VTY113" s="36"/>
      <c r="VTZ113" s="38"/>
      <c r="VUA113" s="38"/>
      <c r="VUG113" s="36"/>
      <c r="VUH113" s="38"/>
      <c r="VUI113" s="38"/>
      <c r="VUO113" s="36"/>
      <c r="VUP113" s="38"/>
      <c r="VUQ113" s="38"/>
      <c r="VUW113" s="36"/>
      <c r="VUX113" s="38"/>
      <c r="VUY113" s="38"/>
      <c r="VVE113" s="36"/>
      <c r="VVF113" s="38"/>
      <c r="VVG113" s="38"/>
      <c r="VVM113" s="36"/>
      <c r="VVN113" s="38"/>
      <c r="VVO113" s="38"/>
      <c r="VVU113" s="36"/>
      <c r="VVV113" s="38"/>
      <c r="VVW113" s="38"/>
      <c r="VWC113" s="36"/>
      <c r="VWD113" s="38"/>
      <c r="VWE113" s="38"/>
      <c r="VWK113" s="36"/>
      <c r="VWL113" s="38"/>
      <c r="VWM113" s="38"/>
      <c r="VWS113" s="36"/>
      <c r="VWT113" s="38"/>
      <c r="VWU113" s="38"/>
      <c r="VXA113" s="36"/>
      <c r="VXB113" s="38"/>
      <c r="VXC113" s="38"/>
      <c r="VXI113" s="36"/>
      <c r="VXJ113" s="38"/>
      <c r="VXK113" s="38"/>
      <c r="VXQ113" s="36"/>
      <c r="VXR113" s="38"/>
      <c r="VXS113" s="38"/>
      <c r="VXY113" s="36"/>
      <c r="VXZ113" s="38"/>
      <c r="VYA113" s="38"/>
      <c r="VYG113" s="36"/>
      <c r="VYH113" s="38"/>
      <c r="VYI113" s="38"/>
      <c r="VYO113" s="36"/>
      <c r="VYP113" s="38"/>
      <c r="VYQ113" s="38"/>
      <c r="VYW113" s="36"/>
      <c r="VYX113" s="38"/>
      <c r="VYY113" s="38"/>
      <c r="VZE113" s="36"/>
      <c r="VZF113" s="38"/>
      <c r="VZG113" s="38"/>
      <c r="VZM113" s="36"/>
      <c r="VZN113" s="38"/>
      <c r="VZO113" s="38"/>
      <c r="VZU113" s="36"/>
      <c r="VZV113" s="38"/>
      <c r="VZW113" s="38"/>
      <c r="WAC113" s="36"/>
      <c r="WAD113" s="38"/>
      <c r="WAE113" s="38"/>
      <c r="WAK113" s="36"/>
      <c r="WAL113" s="38"/>
      <c r="WAM113" s="38"/>
      <c r="WAS113" s="36"/>
      <c r="WAT113" s="38"/>
      <c r="WAU113" s="38"/>
      <c r="WBA113" s="36"/>
      <c r="WBB113" s="38"/>
      <c r="WBC113" s="38"/>
      <c r="WBI113" s="36"/>
      <c r="WBJ113" s="38"/>
      <c r="WBK113" s="38"/>
      <c r="WBQ113" s="36"/>
      <c r="WBR113" s="38"/>
      <c r="WBS113" s="38"/>
      <c r="WBY113" s="36"/>
      <c r="WBZ113" s="38"/>
      <c r="WCA113" s="38"/>
      <c r="WCG113" s="36"/>
      <c r="WCH113" s="38"/>
      <c r="WCI113" s="38"/>
      <c r="WCO113" s="36"/>
      <c r="WCP113" s="38"/>
      <c r="WCQ113" s="38"/>
      <c r="WCW113" s="36"/>
      <c r="WCX113" s="38"/>
      <c r="WCY113" s="38"/>
      <c r="WDE113" s="36"/>
      <c r="WDF113" s="38"/>
      <c r="WDG113" s="38"/>
      <c r="WDM113" s="36"/>
      <c r="WDN113" s="38"/>
      <c r="WDO113" s="38"/>
      <c r="WDU113" s="36"/>
      <c r="WDV113" s="38"/>
      <c r="WDW113" s="38"/>
      <c r="WEC113" s="36"/>
      <c r="WED113" s="38"/>
      <c r="WEE113" s="38"/>
      <c r="WEK113" s="36"/>
      <c r="WEL113" s="38"/>
      <c r="WEM113" s="38"/>
      <c r="WES113" s="36"/>
      <c r="WET113" s="38"/>
      <c r="WEU113" s="38"/>
      <c r="WFA113" s="36"/>
      <c r="WFB113" s="38"/>
      <c r="WFC113" s="38"/>
      <c r="WFI113" s="36"/>
      <c r="WFJ113" s="38"/>
      <c r="WFK113" s="38"/>
      <c r="WFQ113" s="36"/>
      <c r="WFR113" s="38"/>
      <c r="WFS113" s="38"/>
      <c r="WFY113" s="36"/>
      <c r="WFZ113" s="38"/>
      <c r="WGA113" s="38"/>
      <c r="WGG113" s="36"/>
      <c r="WGH113" s="38"/>
      <c r="WGI113" s="38"/>
      <c r="WGO113" s="36"/>
      <c r="WGP113" s="38"/>
      <c r="WGQ113" s="38"/>
      <c r="WGW113" s="36"/>
      <c r="WGX113" s="38"/>
      <c r="WGY113" s="38"/>
      <c r="WHE113" s="36"/>
      <c r="WHF113" s="38"/>
      <c r="WHG113" s="38"/>
      <c r="WHM113" s="36"/>
      <c r="WHN113" s="38"/>
      <c r="WHO113" s="38"/>
      <c r="WHU113" s="36"/>
      <c r="WHV113" s="38"/>
      <c r="WHW113" s="38"/>
      <c r="WIC113" s="36"/>
      <c r="WID113" s="38"/>
      <c r="WIE113" s="38"/>
      <c r="WIK113" s="36"/>
      <c r="WIL113" s="38"/>
      <c r="WIM113" s="38"/>
      <c r="WIS113" s="36"/>
      <c r="WIT113" s="38"/>
      <c r="WIU113" s="38"/>
      <c r="WJA113" s="36"/>
      <c r="WJB113" s="38"/>
      <c r="WJC113" s="38"/>
      <c r="WJI113" s="36"/>
      <c r="WJJ113" s="38"/>
      <c r="WJK113" s="38"/>
      <c r="WJQ113" s="36"/>
      <c r="WJR113" s="38"/>
      <c r="WJS113" s="38"/>
      <c r="WJY113" s="36"/>
      <c r="WJZ113" s="38"/>
      <c r="WKA113" s="38"/>
      <c r="WKG113" s="36"/>
      <c r="WKH113" s="38"/>
      <c r="WKI113" s="38"/>
      <c r="WKO113" s="36"/>
      <c r="WKP113" s="38"/>
      <c r="WKQ113" s="38"/>
      <c r="WKW113" s="36"/>
      <c r="WKX113" s="38"/>
      <c r="WKY113" s="38"/>
      <c r="WLE113" s="36"/>
      <c r="WLF113" s="38"/>
      <c r="WLG113" s="38"/>
      <c r="WLM113" s="36"/>
      <c r="WLN113" s="38"/>
      <c r="WLO113" s="38"/>
      <c r="WLU113" s="36"/>
      <c r="WLV113" s="38"/>
      <c r="WLW113" s="38"/>
      <c r="WMC113" s="36"/>
      <c r="WMD113" s="38"/>
      <c r="WME113" s="38"/>
      <c r="WMK113" s="36"/>
      <c r="WML113" s="38"/>
      <c r="WMM113" s="38"/>
      <c r="WMS113" s="36"/>
      <c r="WMT113" s="38"/>
      <c r="WMU113" s="38"/>
      <c r="WNA113" s="36"/>
      <c r="WNB113" s="38"/>
      <c r="WNC113" s="38"/>
      <c r="WNI113" s="36"/>
      <c r="WNJ113" s="38"/>
      <c r="WNK113" s="38"/>
      <c r="WNQ113" s="36"/>
      <c r="WNR113" s="38"/>
      <c r="WNS113" s="38"/>
      <c r="WNY113" s="36"/>
      <c r="WNZ113" s="38"/>
      <c r="WOA113" s="38"/>
      <c r="WOG113" s="36"/>
      <c r="WOH113" s="38"/>
      <c r="WOI113" s="38"/>
      <c r="WOO113" s="36"/>
      <c r="WOP113" s="38"/>
      <c r="WOQ113" s="38"/>
      <c r="WOW113" s="36"/>
      <c r="WOX113" s="38"/>
      <c r="WOY113" s="38"/>
      <c r="WPE113" s="36"/>
      <c r="WPF113" s="38"/>
      <c r="WPG113" s="38"/>
      <c r="WPM113" s="36"/>
      <c r="WPN113" s="38"/>
      <c r="WPO113" s="38"/>
      <c r="WPU113" s="36"/>
      <c r="WPV113" s="38"/>
      <c r="WPW113" s="38"/>
      <c r="WQC113" s="36"/>
      <c r="WQD113" s="38"/>
      <c r="WQE113" s="38"/>
      <c r="WQK113" s="36"/>
      <c r="WQL113" s="38"/>
      <c r="WQM113" s="38"/>
      <c r="WQS113" s="36"/>
      <c r="WQT113" s="38"/>
      <c r="WQU113" s="38"/>
      <c r="WRA113" s="36"/>
      <c r="WRB113" s="38"/>
      <c r="WRC113" s="38"/>
      <c r="WRI113" s="36"/>
      <c r="WRJ113" s="38"/>
      <c r="WRK113" s="38"/>
      <c r="WRQ113" s="36"/>
      <c r="WRR113" s="38"/>
      <c r="WRS113" s="38"/>
      <c r="WRY113" s="36"/>
      <c r="WRZ113" s="38"/>
      <c r="WSA113" s="38"/>
      <c r="WSG113" s="36"/>
      <c r="WSH113" s="38"/>
      <c r="WSI113" s="38"/>
      <c r="WSO113" s="36"/>
      <c r="WSP113" s="38"/>
      <c r="WSQ113" s="38"/>
      <c r="WSW113" s="36"/>
      <c r="WSX113" s="38"/>
      <c r="WSY113" s="38"/>
      <c r="WTE113" s="36"/>
      <c r="WTF113" s="38"/>
      <c r="WTG113" s="38"/>
      <c r="WTM113" s="36"/>
      <c r="WTN113" s="38"/>
      <c r="WTO113" s="38"/>
      <c r="WTU113" s="36"/>
      <c r="WTV113" s="38"/>
      <c r="WTW113" s="38"/>
      <c r="WUC113" s="36"/>
      <c r="WUD113" s="38"/>
      <c r="WUE113" s="38"/>
      <c r="WUK113" s="36"/>
      <c r="WUL113" s="38"/>
      <c r="WUM113" s="38"/>
      <c r="WUS113" s="36"/>
      <c r="WUT113" s="38"/>
      <c r="WUU113" s="38"/>
      <c r="WVA113" s="36"/>
      <c r="WVB113" s="38"/>
      <c r="WVC113" s="38"/>
      <c r="WVI113" s="36"/>
      <c r="WVJ113" s="38"/>
      <c r="WVK113" s="38"/>
      <c r="WVQ113" s="36"/>
      <c r="WVR113" s="38"/>
      <c r="WVS113" s="38"/>
      <c r="WVY113" s="36"/>
      <c r="WVZ113" s="38"/>
      <c r="WWA113" s="38"/>
      <c r="WWG113" s="36"/>
      <c r="WWH113" s="38"/>
      <c r="WWI113" s="38"/>
      <c r="WWO113" s="36"/>
      <c r="WWP113" s="38"/>
      <c r="WWQ113" s="38"/>
      <c r="WWW113" s="36"/>
      <c r="WWX113" s="38"/>
      <c r="WWY113" s="38"/>
      <c r="WXE113" s="36"/>
      <c r="WXF113" s="38"/>
      <c r="WXG113" s="38"/>
      <c r="WXM113" s="36"/>
      <c r="WXN113" s="38"/>
      <c r="WXO113" s="38"/>
      <c r="WXU113" s="36"/>
      <c r="WXV113" s="38"/>
      <c r="WXW113" s="38"/>
      <c r="WYC113" s="36"/>
      <c r="WYD113" s="38"/>
      <c r="WYE113" s="38"/>
      <c r="WYK113" s="36"/>
      <c r="WYL113" s="38"/>
      <c r="WYM113" s="38"/>
      <c r="WYS113" s="36"/>
      <c r="WYT113" s="38"/>
      <c r="WYU113" s="38"/>
      <c r="WZA113" s="36"/>
      <c r="WZB113" s="38"/>
      <c r="WZC113" s="38"/>
      <c r="WZI113" s="36"/>
      <c r="WZJ113" s="38"/>
      <c r="WZK113" s="38"/>
      <c r="WZQ113" s="36"/>
      <c r="WZR113" s="38"/>
      <c r="WZS113" s="38"/>
      <c r="WZY113" s="36"/>
      <c r="WZZ113" s="38"/>
      <c r="XAA113" s="38"/>
      <c r="XAG113" s="36"/>
      <c r="XAH113" s="38"/>
      <c r="XAI113" s="38"/>
      <c r="XAO113" s="36"/>
      <c r="XAP113" s="38"/>
      <c r="XAQ113" s="38"/>
      <c r="XAW113" s="36"/>
      <c r="XAX113" s="38"/>
      <c r="XAY113" s="38"/>
      <c r="XBE113" s="36"/>
      <c r="XBF113" s="38"/>
      <c r="XBG113" s="38"/>
      <c r="XBM113" s="36"/>
      <c r="XBN113" s="38"/>
      <c r="XBO113" s="38"/>
      <c r="XBU113" s="36"/>
      <c r="XBV113" s="38"/>
      <c r="XBW113" s="38"/>
      <c r="XCC113" s="36"/>
      <c r="XCD113" s="38"/>
      <c r="XCE113" s="38"/>
      <c r="XCK113" s="36"/>
      <c r="XCL113" s="38"/>
      <c r="XCM113" s="38"/>
      <c r="XCS113" s="36"/>
      <c r="XCT113" s="38"/>
      <c r="XCU113" s="38"/>
      <c r="XDA113" s="36"/>
      <c r="XDB113" s="38"/>
      <c r="XDC113" s="38"/>
      <c r="XDI113" s="36"/>
      <c r="XDJ113" s="38"/>
      <c r="XDK113" s="38"/>
      <c r="XDQ113" s="36"/>
      <c r="XDR113" s="38"/>
      <c r="XDS113" s="38"/>
      <c r="XDY113" s="36"/>
      <c r="XDZ113" s="38"/>
      <c r="XEA113" s="38"/>
      <c r="XEG113" s="36"/>
      <c r="XEH113" s="38"/>
      <c r="XEI113" s="38"/>
      <c r="XEO113" s="36"/>
      <c r="XEP113" s="38"/>
      <c r="XEQ113" s="38"/>
      <c r="XEW113" s="36"/>
      <c r="XEX113" s="38"/>
      <c r="XEY113" s="38"/>
    </row>
    <row r="114" spans="1:1019 1025:2043 2049:3067 3073:4091 4097:5115 5121:6139 6145:7163 7169:8187 8193:9211 9217:10235 10241:11259 11265:12283 12289:13307 13313:14331 14337:15355 15361:16379" s="24" customFormat="1" ht="15" customHeight="1">
      <c r="A114" s="36"/>
      <c r="B114" s="38" t="s">
        <v>34</v>
      </c>
      <c r="C114" s="38">
        <v>1065251</v>
      </c>
      <c r="D114" s="24">
        <v>241373</v>
      </c>
      <c r="E114" s="24">
        <v>64188</v>
      </c>
      <c r="F114" s="24">
        <v>561685</v>
      </c>
      <c r="G114" s="24">
        <v>195995</v>
      </c>
      <c r="H114" s="24">
        <v>2010</v>
      </c>
      <c r="J114" s="23"/>
      <c r="K114" s="38"/>
      <c r="Q114" s="36"/>
      <c r="R114" s="38"/>
      <c r="S114" s="38"/>
      <c r="Y114" s="36"/>
      <c r="Z114" s="38"/>
      <c r="AA114" s="38"/>
      <c r="AG114" s="36"/>
      <c r="AH114" s="38"/>
      <c r="AI114" s="38"/>
      <c r="AO114" s="36"/>
      <c r="AP114" s="38"/>
      <c r="AQ114" s="38"/>
      <c r="AW114" s="36"/>
      <c r="AX114" s="38"/>
      <c r="AY114" s="38"/>
      <c r="BE114" s="36"/>
      <c r="BF114" s="38"/>
      <c r="BG114" s="38"/>
      <c r="BM114" s="36"/>
      <c r="BN114" s="38"/>
      <c r="BO114" s="38"/>
      <c r="BU114" s="36"/>
      <c r="BV114" s="38"/>
      <c r="BW114" s="38"/>
      <c r="CC114" s="36"/>
      <c r="CD114" s="38"/>
      <c r="CE114" s="38"/>
      <c r="CK114" s="36"/>
      <c r="CL114" s="38"/>
      <c r="CM114" s="38"/>
      <c r="CS114" s="36"/>
      <c r="CT114" s="38"/>
      <c r="CU114" s="38"/>
      <c r="DA114" s="36"/>
      <c r="DB114" s="38"/>
      <c r="DC114" s="38"/>
      <c r="DI114" s="36"/>
      <c r="DJ114" s="38"/>
      <c r="DK114" s="38"/>
      <c r="DQ114" s="36"/>
      <c r="DR114" s="38"/>
      <c r="DS114" s="38"/>
      <c r="DY114" s="36"/>
      <c r="DZ114" s="38"/>
      <c r="EA114" s="38"/>
      <c r="EG114" s="36"/>
      <c r="EH114" s="38"/>
      <c r="EI114" s="38"/>
      <c r="EO114" s="36"/>
      <c r="EP114" s="38"/>
      <c r="EQ114" s="38"/>
      <c r="EW114" s="36"/>
      <c r="EX114" s="38"/>
      <c r="EY114" s="38"/>
      <c r="FE114" s="36"/>
      <c r="FF114" s="38"/>
      <c r="FG114" s="38"/>
      <c r="FM114" s="36"/>
      <c r="FN114" s="38"/>
      <c r="FO114" s="38"/>
      <c r="FU114" s="36"/>
      <c r="FV114" s="38"/>
      <c r="FW114" s="38"/>
      <c r="GC114" s="36"/>
      <c r="GD114" s="38"/>
      <c r="GE114" s="38"/>
      <c r="GK114" s="36"/>
      <c r="GL114" s="38"/>
      <c r="GM114" s="38"/>
      <c r="GS114" s="36"/>
      <c r="GT114" s="38"/>
      <c r="GU114" s="38"/>
      <c r="HA114" s="36"/>
      <c r="HB114" s="38"/>
      <c r="HC114" s="38"/>
      <c r="HI114" s="36"/>
      <c r="HJ114" s="38"/>
      <c r="HK114" s="38"/>
      <c r="HQ114" s="36"/>
      <c r="HR114" s="38"/>
      <c r="HS114" s="38"/>
      <c r="HY114" s="36"/>
      <c r="HZ114" s="38"/>
      <c r="IA114" s="38"/>
      <c r="IG114" s="36"/>
      <c r="IH114" s="38"/>
      <c r="II114" s="38"/>
      <c r="IO114" s="36"/>
      <c r="IP114" s="38"/>
      <c r="IQ114" s="38"/>
      <c r="IW114" s="36"/>
      <c r="IX114" s="38"/>
      <c r="IY114" s="38"/>
      <c r="JE114" s="36"/>
      <c r="JF114" s="38"/>
      <c r="JG114" s="38"/>
      <c r="JM114" s="36"/>
      <c r="JN114" s="38"/>
      <c r="JO114" s="38"/>
      <c r="JU114" s="36"/>
      <c r="JV114" s="38"/>
      <c r="JW114" s="38"/>
      <c r="KC114" s="36"/>
      <c r="KD114" s="38"/>
      <c r="KE114" s="38"/>
      <c r="KK114" s="36"/>
      <c r="KL114" s="38"/>
      <c r="KM114" s="38"/>
      <c r="KS114" s="36"/>
      <c r="KT114" s="38"/>
      <c r="KU114" s="38"/>
      <c r="LA114" s="36"/>
      <c r="LB114" s="38"/>
      <c r="LC114" s="38"/>
      <c r="LI114" s="36"/>
      <c r="LJ114" s="38"/>
      <c r="LK114" s="38"/>
      <c r="LQ114" s="36"/>
      <c r="LR114" s="38"/>
      <c r="LS114" s="38"/>
      <c r="LY114" s="36"/>
      <c r="LZ114" s="38"/>
      <c r="MA114" s="38"/>
      <c r="MG114" s="36"/>
      <c r="MH114" s="38"/>
      <c r="MI114" s="38"/>
      <c r="MO114" s="36"/>
      <c r="MP114" s="38"/>
      <c r="MQ114" s="38"/>
      <c r="MW114" s="36"/>
      <c r="MX114" s="38"/>
      <c r="MY114" s="38"/>
      <c r="NE114" s="36"/>
      <c r="NF114" s="38"/>
      <c r="NG114" s="38"/>
      <c r="NM114" s="36"/>
      <c r="NN114" s="38"/>
      <c r="NO114" s="38"/>
      <c r="NU114" s="36"/>
      <c r="NV114" s="38"/>
      <c r="NW114" s="38"/>
      <c r="OC114" s="36"/>
      <c r="OD114" s="38"/>
      <c r="OE114" s="38"/>
      <c r="OK114" s="36"/>
      <c r="OL114" s="38"/>
      <c r="OM114" s="38"/>
      <c r="OS114" s="36"/>
      <c r="OT114" s="38"/>
      <c r="OU114" s="38"/>
      <c r="PA114" s="36"/>
      <c r="PB114" s="38"/>
      <c r="PC114" s="38"/>
      <c r="PI114" s="36"/>
      <c r="PJ114" s="38"/>
      <c r="PK114" s="38"/>
      <c r="PQ114" s="36"/>
      <c r="PR114" s="38"/>
      <c r="PS114" s="38"/>
      <c r="PY114" s="36"/>
      <c r="PZ114" s="38"/>
      <c r="QA114" s="38"/>
      <c r="QG114" s="36"/>
      <c r="QH114" s="38"/>
      <c r="QI114" s="38"/>
      <c r="QO114" s="36"/>
      <c r="QP114" s="38"/>
      <c r="QQ114" s="38"/>
      <c r="QW114" s="36"/>
      <c r="QX114" s="38"/>
      <c r="QY114" s="38"/>
      <c r="RE114" s="36"/>
      <c r="RF114" s="38"/>
      <c r="RG114" s="38"/>
      <c r="RM114" s="36"/>
      <c r="RN114" s="38"/>
      <c r="RO114" s="38"/>
      <c r="RU114" s="36"/>
      <c r="RV114" s="38"/>
      <c r="RW114" s="38"/>
      <c r="SC114" s="36"/>
      <c r="SD114" s="38"/>
      <c r="SE114" s="38"/>
      <c r="SK114" s="36"/>
      <c r="SL114" s="38"/>
      <c r="SM114" s="38"/>
      <c r="SS114" s="36"/>
      <c r="ST114" s="38"/>
      <c r="SU114" s="38"/>
      <c r="TA114" s="36"/>
      <c r="TB114" s="38"/>
      <c r="TC114" s="38"/>
      <c r="TI114" s="36"/>
      <c r="TJ114" s="38"/>
      <c r="TK114" s="38"/>
      <c r="TQ114" s="36"/>
      <c r="TR114" s="38"/>
      <c r="TS114" s="38"/>
      <c r="TY114" s="36"/>
      <c r="TZ114" s="38"/>
      <c r="UA114" s="38"/>
      <c r="UG114" s="36"/>
      <c r="UH114" s="38"/>
      <c r="UI114" s="38"/>
      <c r="UO114" s="36"/>
      <c r="UP114" s="38"/>
      <c r="UQ114" s="38"/>
      <c r="UW114" s="36"/>
      <c r="UX114" s="38"/>
      <c r="UY114" s="38"/>
      <c r="VE114" s="36"/>
      <c r="VF114" s="38"/>
      <c r="VG114" s="38"/>
      <c r="VM114" s="36"/>
      <c r="VN114" s="38"/>
      <c r="VO114" s="38"/>
      <c r="VU114" s="36"/>
      <c r="VV114" s="38"/>
      <c r="VW114" s="38"/>
      <c r="WC114" s="36"/>
      <c r="WD114" s="38"/>
      <c r="WE114" s="38"/>
      <c r="WK114" s="36"/>
      <c r="WL114" s="38"/>
      <c r="WM114" s="38"/>
      <c r="WS114" s="36"/>
      <c r="WT114" s="38"/>
      <c r="WU114" s="38"/>
      <c r="XA114" s="36"/>
      <c r="XB114" s="38"/>
      <c r="XC114" s="38"/>
      <c r="XI114" s="36"/>
      <c r="XJ114" s="38"/>
      <c r="XK114" s="38"/>
      <c r="XQ114" s="36"/>
      <c r="XR114" s="38"/>
      <c r="XS114" s="38"/>
      <c r="XY114" s="36"/>
      <c r="XZ114" s="38"/>
      <c r="YA114" s="38"/>
      <c r="YG114" s="36"/>
      <c r="YH114" s="38"/>
      <c r="YI114" s="38"/>
      <c r="YO114" s="36"/>
      <c r="YP114" s="38"/>
      <c r="YQ114" s="38"/>
      <c r="YW114" s="36"/>
      <c r="YX114" s="38"/>
      <c r="YY114" s="38"/>
      <c r="ZE114" s="36"/>
      <c r="ZF114" s="38"/>
      <c r="ZG114" s="38"/>
      <c r="ZM114" s="36"/>
      <c r="ZN114" s="38"/>
      <c r="ZO114" s="38"/>
      <c r="ZU114" s="36"/>
      <c r="ZV114" s="38"/>
      <c r="ZW114" s="38"/>
      <c r="AAC114" s="36"/>
      <c r="AAD114" s="38"/>
      <c r="AAE114" s="38"/>
      <c r="AAK114" s="36"/>
      <c r="AAL114" s="38"/>
      <c r="AAM114" s="38"/>
      <c r="AAS114" s="36"/>
      <c r="AAT114" s="38"/>
      <c r="AAU114" s="38"/>
      <c r="ABA114" s="36"/>
      <c r="ABB114" s="38"/>
      <c r="ABC114" s="38"/>
      <c r="ABI114" s="36"/>
      <c r="ABJ114" s="38"/>
      <c r="ABK114" s="38"/>
      <c r="ABQ114" s="36"/>
      <c r="ABR114" s="38"/>
      <c r="ABS114" s="38"/>
      <c r="ABY114" s="36"/>
      <c r="ABZ114" s="38"/>
      <c r="ACA114" s="38"/>
      <c r="ACG114" s="36"/>
      <c r="ACH114" s="38"/>
      <c r="ACI114" s="38"/>
      <c r="ACO114" s="36"/>
      <c r="ACP114" s="38"/>
      <c r="ACQ114" s="38"/>
      <c r="ACW114" s="36"/>
      <c r="ACX114" s="38"/>
      <c r="ACY114" s="38"/>
      <c r="ADE114" s="36"/>
      <c r="ADF114" s="38"/>
      <c r="ADG114" s="38"/>
      <c r="ADM114" s="36"/>
      <c r="ADN114" s="38"/>
      <c r="ADO114" s="38"/>
      <c r="ADU114" s="36"/>
      <c r="ADV114" s="38"/>
      <c r="ADW114" s="38"/>
      <c r="AEC114" s="36"/>
      <c r="AED114" s="38"/>
      <c r="AEE114" s="38"/>
      <c r="AEK114" s="36"/>
      <c r="AEL114" s="38"/>
      <c r="AEM114" s="38"/>
      <c r="AES114" s="36"/>
      <c r="AET114" s="38"/>
      <c r="AEU114" s="38"/>
      <c r="AFA114" s="36"/>
      <c r="AFB114" s="38"/>
      <c r="AFC114" s="38"/>
      <c r="AFI114" s="36"/>
      <c r="AFJ114" s="38"/>
      <c r="AFK114" s="38"/>
      <c r="AFQ114" s="36"/>
      <c r="AFR114" s="38"/>
      <c r="AFS114" s="38"/>
      <c r="AFY114" s="36"/>
      <c r="AFZ114" s="38"/>
      <c r="AGA114" s="38"/>
      <c r="AGG114" s="36"/>
      <c r="AGH114" s="38"/>
      <c r="AGI114" s="38"/>
      <c r="AGO114" s="36"/>
      <c r="AGP114" s="38"/>
      <c r="AGQ114" s="38"/>
      <c r="AGW114" s="36"/>
      <c r="AGX114" s="38"/>
      <c r="AGY114" s="38"/>
      <c r="AHE114" s="36"/>
      <c r="AHF114" s="38"/>
      <c r="AHG114" s="38"/>
      <c r="AHM114" s="36"/>
      <c r="AHN114" s="38"/>
      <c r="AHO114" s="38"/>
      <c r="AHU114" s="36"/>
      <c r="AHV114" s="38"/>
      <c r="AHW114" s="38"/>
      <c r="AIC114" s="36"/>
      <c r="AID114" s="38"/>
      <c r="AIE114" s="38"/>
      <c r="AIK114" s="36"/>
      <c r="AIL114" s="38"/>
      <c r="AIM114" s="38"/>
      <c r="AIS114" s="36"/>
      <c r="AIT114" s="38"/>
      <c r="AIU114" s="38"/>
      <c r="AJA114" s="36"/>
      <c r="AJB114" s="38"/>
      <c r="AJC114" s="38"/>
      <c r="AJI114" s="36"/>
      <c r="AJJ114" s="38"/>
      <c r="AJK114" s="38"/>
      <c r="AJQ114" s="36"/>
      <c r="AJR114" s="38"/>
      <c r="AJS114" s="38"/>
      <c r="AJY114" s="36"/>
      <c r="AJZ114" s="38"/>
      <c r="AKA114" s="38"/>
      <c r="AKG114" s="36"/>
      <c r="AKH114" s="38"/>
      <c r="AKI114" s="38"/>
      <c r="AKO114" s="36"/>
      <c r="AKP114" s="38"/>
      <c r="AKQ114" s="38"/>
      <c r="AKW114" s="36"/>
      <c r="AKX114" s="38"/>
      <c r="AKY114" s="38"/>
      <c r="ALE114" s="36"/>
      <c r="ALF114" s="38"/>
      <c r="ALG114" s="38"/>
      <c r="ALM114" s="36"/>
      <c r="ALN114" s="38"/>
      <c r="ALO114" s="38"/>
      <c r="ALU114" s="36"/>
      <c r="ALV114" s="38"/>
      <c r="ALW114" s="38"/>
      <c r="AMC114" s="36"/>
      <c r="AMD114" s="38"/>
      <c r="AME114" s="38"/>
      <c r="AMK114" s="36"/>
      <c r="AML114" s="38"/>
      <c r="AMM114" s="38"/>
      <c r="AMS114" s="36"/>
      <c r="AMT114" s="38"/>
      <c r="AMU114" s="38"/>
      <c r="ANA114" s="36"/>
      <c r="ANB114" s="38"/>
      <c r="ANC114" s="38"/>
      <c r="ANI114" s="36"/>
      <c r="ANJ114" s="38"/>
      <c r="ANK114" s="38"/>
      <c r="ANQ114" s="36"/>
      <c r="ANR114" s="38"/>
      <c r="ANS114" s="38"/>
      <c r="ANY114" s="36"/>
      <c r="ANZ114" s="38"/>
      <c r="AOA114" s="38"/>
      <c r="AOG114" s="36"/>
      <c r="AOH114" s="38"/>
      <c r="AOI114" s="38"/>
      <c r="AOO114" s="36"/>
      <c r="AOP114" s="38"/>
      <c r="AOQ114" s="38"/>
      <c r="AOW114" s="36"/>
      <c r="AOX114" s="38"/>
      <c r="AOY114" s="38"/>
      <c r="APE114" s="36"/>
      <c r="APF114" s="38"/>
      <c r="APG114" s="38"/>
      <c r="APM114" s="36"/>
      <c r="APN114" s="38"/>
      <c r="APO114" s="38"/>
      <c r="APU114" s="36"/>
      <c r="APV114" s="38"/>
      <c r="APW114" s="38"/>
      <c r="AQC114" s="36"/>
      <c r="AQD114" s="38"/>
      <c r="AQE114" s="38"/>
      <c r="AQK114" s="36"/>
      <c r="AQL114" s="38"/>
      <c r="AQM114" s="38"/>
      <c r="AQS114" s="36"/>
      <c r="AQT114" s="38"/>
      <c r="AQU114" s="38"/>
      <c r="ARA114" s="36"/>
      <c r="ARB114" s="38"/>
      <c r="ARC114" s="38"/>
      <c r="ARI114" s="36"/>
      <c r="ARJ114" s="38"/>
      <c r="ARK114" s="38"/>
      <c r="ARQ114" s="36"/>
      <c r="ARR114" s="38"/>
      <c r="ARS114" s="38"/>
      <c r="ARY114" s="36"/>
      <c r="ARZ114" s="38"/>
      <c r="ASA114" s="38"/>
      <c r="ASG114" s="36"/>
      <c r="ASH114" s="38"/>
      <c r="ASI114" s="38"/>
      <c r="ASO114" s="36"/>
      <c r="ASP114" s="38"/>
      <c r="ASQ114" s="38"/>
      <c r="ASW114" s="36"/>
      <c r="ASX114" s="38"/>
      <c r="ASY114" s="38"/>
      <c r="ATE114" s="36"/>
      <c r="ATF114" s="38"/>
      <c r="ATG114" s="38"/>
      <c r="ATM114" s="36"/>
      <c r="ATN114" s="38"/>
      <c r="ATO114" s="38"/>
      <c r="ATU114" s="36"/>
      <c r="ATV114" s="38"/>
      <c r="ATW114" s="38"/>
      <c r="AUC114" s="36"/>
      <c r="AUD114" s="38"/>
      <c r="AUE114" s="38"/>
      <c r="AUK114" s="36"/>
      <c r="AUL114" s="38"/>
      <c r="AUM114" s="38"/>
      <c r="AUS114" s="36"/>
      <c r="AUT114" s="38"/>
      <c r="AUU114" s="38"/>
      <c r="AVA114" s="36"/>
      <c r="AVB114" s="38"/>
      <c r="AVC114" s="38"/>
      <c r="AVI114" s="36"/>
      <c r="AVJ114" s="38"/>
      <c r="AVK114" s="38"/>
      <c r="AVQ114" s="36"/>
      <c r="AVR114" s="38"/>
      <c r="AVS114" s="38"/>
      <c r="AVY114" s="36"/>
      <c r="AVZ114" s="38"/>
      <c r="AWA114" s="38"/>
      <c r="AWG114" s="36"/>
      <c r="AWH114" s="38"/>
      <c r="AWI114" s="38"/>
      <c r="AWO114" s="36"/>
      <c r="AWP114" s="38"/>
      <c r="AWQ114" s="38"/>
      <c r="AWW114" s="36"/>
      <c r="AWX114" s="38"/>
      <c r="AWY114" s="38"/>
      <c r="AXE114" s="36"/>
      <c r="AXF114" s="38"/>
      <c r="AXG114" s="38"/>
      <c r="AXM114" s="36"/>
      <c r="AXN114" s="38"/>
      <c r="AXO114" s="38"/>
      <c r="AXU114" s="36"/>
      <c r="AXV114" s="38"/>
      <c r="AXW114" s="38"/>
      <c r="AYC114" s="36"/>
      <c r="AYD114" s="38"/>
      <c r="AYE114" s="38"/>
      <c r="AYK114" s="36"/>
      <c r="AYL114" s="38"/>
      <c r="AYM114" s="38"/>
      <c r="AYS114" s="36"/>
      <c r="AYT114" s="38"/>
      <c r="AYU114" s="38"/>
      <c r="AZA114" s="36"/>
      <c r="AZB114" s="38"/>
      <c r="AZC114" s="38"/>
      <c r="AZI114" s="36"/>
      <c r="AZJ114" s="38"/>
      <c r="AZK114" s="38"/>
      <c r="AZQ114" s="36"/>
      <c r="AZR114" s="38"/>
      <c r="AZS114" s="38"/>
      <c r="AZY114" s="36"/>
      <c r="AZZ114" s="38"/>
      <c r="BAA114" s="38"/>
      <c r="BAG114" s="36"/>
      <c r="BAH114" s="38"/>
      <c r="BAI114" s="38"/>
      <c r="BAO114" s="36"/>
      <c r="BAP114" s="38"/>
      <c r="BAQ114" s="38"/>
      <c r="BAW114" s="36"/>
      <c r="BAX114" s="38"/>
      <c r="BAY114" s="38"/>
      <c r="BBE114" s="36"/>
      <c r="BBF114" s="38"/>
      <c r="BBG114" s="38"/>
      <c r="BBM114" s="36"/>
      <c r="BBN114" s="38"/>
      <c r="BBO114" s="38"/>
      <c r="BBU114" s="36"/>
      <c r="BBV114" s="38"/>
      <c r="BBW114" s="38"/>
      <c r="BCC114" s="36"/>
      <c r="BCD114" s="38"/>
      <c r="BCE114" s="38"/>
      <c r="BCK114" s="36"/>
      <c r="BCL114" s="38"/>
      <c r="BCM114" s="38"/>
      <c r="BCS114" s="36"/>
      <c r="BCT114" s="38"/>
      <c r="BCU114" s="38"/>
      <c r="BDA114" s="36"/>
      <c r="BDB114" s="38"/>
      <c r="BDC114" s="38"/>
      <c r="BDI114" s="36"/>
      <c r="BDJ114" s="38"/>
      <c r="BDK114" s="38"/>
      <c r="BDQ114" s="36"/>
      <c r="BDR114" s="38"/>
      <c r="BDS114" s="38"/>
      <c r="BDY114" s="36"/>
      <c r="BDZ114" s="38"/>
      <c r="BEA114" s="38"/>
      <c r="BEG114" s="36"/>
      <c r="BEH114" s="38"/>
      <c r="BEI114" s="38"/>
      <c r="BEO114" s="36"/>
      <c r="BEP114" s="38"/>
      <c r="BEQ114" s="38"/>
      <c r="BEW114" s="36"/>
      <c r="BEX114" s="38"/>
      <c r="BEY114" s="38"/>
      <c r="BFE114" s="36"/>
      <c r="BFF114" s="38"/>
      <c r="BFG114" s="38"/>
      <c r="BFM114" s="36"/>
      <c r="BFN114" s="38"/>
      <c r="BFO114" s="38"/>
      <c r="BFU114" s="36"/>
      <c r="BFV114" s="38"/>
      <c r="BFW114" s="38"/>
      <c r="BGC114" s="36"/>
      <c r="BGD114" s="38"/>
      <c r="BGE114" s="38"/>
      <c r="BGK114" s="36"/>
      <c r="BGL114" s="38"/>
      <c r="BGM114" s="38"/>
      <c r="BGS114" s="36"/>
      <c r="BGT114" s="38"/>
      <c r="BGU114" s="38"/>
      <c r="BHA114" s="36"/>
      <c r="BHB114" s="38"/>
      <c r="BHC114" s="38"/>
      <c r="BHI114" s="36"/>
      <c r="BHJ114" s="38"/>
      <c r="BHK114" s="38"/>
      <c r="BHQ114" s="36"/>
      <c r="BHR114" s="38"/>
      <c r="BHS114" s="38"/>
      <c r="BHY114" s="36"/>
      <c r="BHZ114" s="38"/>
      <c r="BIA114" s="38"/>
      <c r="BIG114" s="36"/>
      <c r="BIH114" s="38"/>
      <c r="BII114" s="38"/>
      <c r="BIO114" s="36"/>
      <c r="BIP114" s="38"/>
      <c r="BIQ114" s="38"/>
      <c r="BIW114" s="36"/>
      <c r="BIX114" s="38"/>
      <c r="BIY114" s="38"/>
      <c r="BJE114" s="36"/>
      <c r="BJF114" s="38"/>
      <c r="BJG114" s="38"/>
      <c r="BJM114" s="36"/>
      <c r="BJN114" s="38"/>
      <c r="BJO114" s="38"/>
      <c r="BJU114" s="36"/>
      <c r="BJV114" s="38"/>
      <c r="BJW114" s="38"/>
      <c r="BKC114" s="36"/>
      <c r="BKD114" s="38"/>
      <c r="BKE114" s="38"/>
      <c r="BKK114" s="36"/>
      <c r="BKL114" s="38"/>
      <c r="BKM114" s="38"/>
      <c r="BKS114" s="36"/>
      <c r="BKT114" s="38"/>
      <c r="BKU114" s="38"/>
      <c r="BLA114" s="36"/>
      <c r="BLB114" s="38"/>
      <c r="BLC114" s="38"/>
      <c r="BLI114" s="36"/>
      <c r="BLJ114" s="38"/>
      <c r="BLK114" s="38"/>
      <c r="BLQ114" s="36"/>
      <c r="BLR114" s="38"/>
      <c r="BLS114" s="38"/>
      <c r="BLY114" s="36"/>
      <c r="BLZ114" s="38"/>
      <c r="BMA114" s="38"/>
      <c r="BMG114" s="36"/>
      <c r="BMH114" s="38"/>
      <c r="BMI114" s="38"/>
      <c r="BMO114" s="36"/>
      <c r="BMP114" s="38"/>
      <c r="BMQ114" s="38"/>
      <c r="BMW114" s="36"/>
      <c r="BMX114" s="38"/>
      <c r="BMY114" s="38"/>
      <c r="BNE114" s="36"/>
      <c r="BNF114" s="38"/>
      <c r="BNG114" s="38"/>
      <c r="BNM114" s="36"/>
      <c r="BNN114" s="38"/>
      <c r="BNO114" s="38"/>
      <c r="BNU114" s="36"/>
      <c r="BNV114" s="38"/>
      <c r="BNW114" s="38"/>
      <c r="BOC114" s="36"/>
      <c r="BOD114" s="38"/>
      <c r="BOE114" s="38"/>
      <c r="BOK114" s="36"/>
      <c r="BOL114" s="38"/>
      <c r="BOM114" s="38"/>
      <c r="BOS114" s="36"/>
      <c r="BOT114" s="38"/>
      <c r="BOU114" s="38"/>
      <c r="BPA114" s="36"/>
      <c r="BPB114" s="38"/>
      <c r="BPC114" s="38"/>
      <c r="BPI114" s="36"/>
      <c r="BPJ114" s="38"/>
      <c r="BPK114" s="38"/>
      <c r="BPQ114" s="36"/>
      <c r="BPR114" s="38"/>
      <c r="BPS114" s="38"/>
      <c r="BPY114" s="36"/>
      <c r="BPZ114" s="38"/>
      <c r="BQA114" s="38"/>
      <c r="BQG114" s="36"/>
      <c r="BQH114" s="38"/>
      <c r="BQI114" s="38"/>
      <c r="BQO114" s="36"/>
      <c r="BQP114" s="38"/>
      <c r="BQQ114" s="38"/>
      <c r="BQW114" s="36"/>
      <c r="BQX114" s="38"/>
      <c r="BQY114" s="38"/>
      <c r="BRE114" s="36"/>
      <c r="BRF114" s="38"/>
      <c r="BRG114" s="38"/>
      <c r="BRM114" s="36"/>
      <c r="BRN114" s="38"/>
      <c r="BRO114" s="38"/>
      <c r="BRU114" s="36"/>
      <c r="BRV114" s="38"/>
      <c r="BRW114" s="38"/>
      <c r="BSC114" s="36"/>
      <c r="BSD114" s="38"/>
      <c r="BSE114" s="38"/>
      <c r="BSK114" s="36"/>
      <c r="BSL114" s="38"/>
      <c r="BSM114" s="38"/>
      <c r="BSS114" s="36"/>
      <c r="BST114" s="38"/>
      <c r="BSU114" s="38"/>
      <c r="BTA114" s="36"/>
      <c r="BTB114" s="38"/>
      <c r="BTC114" s="38"/>
      <c r="BTI114" s="36"/>
      <c r="BTJ114" s="38"/>
      <c r="BTK114" s="38"/>
      <c r="BTQ114" s="36"/>
      <c r="BTR114" s="38"/>
      <c r="BTS114" s="38"/>
      <c r="BTY114" s="36"/>
      <c r="BTZ114" s="38"/>
      <c r="BUA114" s="38"/>
      <c r="BUG114" s="36"/>
      <c r="BUH114" s="38"/>
      <c r="BUI114" s="38"/>
      <c r="BUO114" s="36"/>
      <c r="BUP114" s="38"/>
      <c r="BUQ114" s="38"/>
      <c r="BUW114" s="36"/>
      <c r="BUX114" s="38"/>
      <c r="BUY114" s="38"/>
      <c r="BVE114" s="36"/>
      <c r="BVF114" s="38"/>
      <c r="BVG114" s="38"/>
      <c r="BVM114" s="36"/>
      <c r="BVN114" s="38"/>
      <c r="BVO114" s="38"/>
      <c r="BVU114" s="36"/>
      <c r="BVV114" s="38"/>
      <c r="BVW114" s="38"/>
      <c r="BWC114" s="36"/>
      <c r="BWD114" s="38"/>
      <c r="BWE114" s="38"/>
      <c r="BWK114" s="36"/>
      <c r="BWL114" s="38"/>
      <c r="BWM114" s="38"/>
      <c r="BWS114" s="36"/>
      <c r="BWT114" s="38"/>
      <c r="BWU114" s="38"/>
      <c r="BXA114" s="36"/>
      <c r="BXB114" s="38"/>
      <c r="BXC114" s="38"/>
      <c r="BXI114" s="36"/>
      <c r="BXJ114" s="38"/>
      <c r="BXK114" s="38"/>
      <c r="BXQ114" s="36"/>
      <c r="BXR114" s="38"/>
      <c r="BXS114" s="38"/>
      <c r="BXY114" s="36"/>
      <c r="BXZ114" s="38"/>
      <c r="BYA114" s="38"/>
      <c r="BYG114" s="36"/>
      <c r="BYH114" s="38"/>
      <c r="BYI114" s="38"/>
      <c r="BYO114" s="36"/>
      <c r="BYP114" s="38"/>
      <c r="BYQ114" s="38"/>
      <c r="BYW114" s="36"/>
      <c r="BYX114" s="38"/>
      <c r="BYY114" s="38"/>
      <c r="BZE114" s="36"/>
      <c r="BZF114" s="38"/>
      <c r="BZG114" s="38"/>
      <c r="BZM114" s="36"/>
      <c r="BZN114" s="38"/>
      <c r="BZO114" s="38"/>
      <c r="BZU114" s="36"/>
      <c r="BZV114" s="38"/>
      <c r="BZW114" s="38"/>
      <c r="CAC114" s="36"/>
      <c r="CAD114" s="38"/>
      <c r="CAE114" s="38"/>
      <c r="CAK114" s="36"/>
      <c r="CAL114" s="38"/>
      <c r="CAM114" s="38"/>
      <c r="CAS114" s="36"/>
      <c r="CAT114" s="38"/>
      <c r="CAU114" s="38"/>
      <c r="CBA114" s="36"/>
      <c r="CBB114" s="38"/>
      <c r="CBC114" s="38"/>
      <c r="CBI114" s="36"/>
      <c r="CBJ114" s="38"/>
      <c r="CBK114" s="38"/>
      <c r="CBQ114" s="36"/>
      <c r="CBR114" s="38"/>
      <c r="CBS114" s="38"/>
      <c r="CBY114" s="36"/>
      <c r="CBZ114" s="38"/>
      <c r="CCA114" s="38"/>
      <c r="CCG114" s="36"/>
      <c r="CCH114" s="38"/>
      <c r="CCI114" s="38"/>
      <c r="CCO114" s="36"/>
      <c r="CCP114" s="38"/>
      <c r="CCQ114" s="38"/>
      <c r="CCW114" s="36"/>
      <c r="CCX114" s="38"/>
      <c r="CCY114" s="38"/>
      <c r="CDE114" s="36"/>
      <c r="CDF114" s="38"/>
      <c r="CDG114" s="38"/>
      <c r="CDM114" s="36"/>
      <c r="CDN114" s="38"/>
      <c r="CDO114" s="38"/>
      <c r="CDU114" s="36"/>
      <c r="CDV114" s="38"/>
      <c r="CDW114" s="38"/>
      <c r="CEC114" s="36"/>
      <c r="CED114" s="38"/>
      <c r="CEE114" s="38"/>
      <c r="CEK114" s="36"/>
      <c r="CEL114" s="38"/>
      <c r="CEM114" s="38"/>
      <c r="CES114" s="36"/>
      <c r="CET114" s="38"/>
      <c r="CEU114" s="38"/>
      <c r="CFA114" s="36"/>
      <c r="CFB114" s="38"/>
      <c r="CFC114" s="38"/>
      <c r="CFI114" s="36"/>
      <c r="CFJ114" s="38"/>
      <c r="CFK114" s="38"/>
      <c r="CFQ114" s="36"/>
      <c r="CFR114" s="38"/>
      <c r="CFS114" s="38"/>
      <c r="CFY114" s="36"/>
      <c r="CFZ114" s="38"/>
      <c r="CGA114" s="38"/>
      <c r="CGG114" s="36"/>
      <c r="CGH114" s="38"/>
      <c r="CGI114" s="38"/>
      <c r="CGO114" s="36"/>
      <c r="CGP114" s="38"/>
      <c r="CGQ114" s="38"/>
      <c r="CGW114" s="36"/>
      <c r="CGX114" s="38"/>
      <c r="CGY114" s="38"/>
      <c r="CHE114" s="36"/>
      <c r="CHF114" s="38"/>
      <c r="CHG114" s="38"/>
      <c r="CHM114" s="36"/>
      <c r="CHN114" s="38"/>
      <c r="CHO114" s="38"/>
      <c r="CHU114" s="36"/>
      <c r="CHV114" s="38"/>
      <c r="CHW114" s="38"/>
      <c r="CIC114" s="36"/>
      <c r="CID114" s="38"/>
      <c r="CIE114" s="38"/>
      <c r="CIK114" s="36"/>
      <c r="CIL114" s="38"/>
      <c r="CIM114" s="38"/>
      <c r="CIS114" s="36"/>
      <c r="CIT114" s="38"/>
      <c r="CIU114" s="38"/>
      <c r="CJA114" s="36"/>
      <c r="CJB114" s="38"/>
      <c r="CJC114" s="38"/>
      <c r="CJI114" s="36"/>
      <c r="CJJ114" s="38"/>
      <c r="CJK114" s="38"/>
      <c r="CJQ114" s="36"/>
      <c r="CJR114" s="38"/>
      <c r="CJS114" s="38"/>
      <c r="CJY114" s="36"/>
      <c r="CJZ114" s="38"/>
      <c r="CKA114" s="38"/>
      <c r="CKG114" s="36"/>
      <c r="CKH114" s="38"/>
      <c r="CKI114" s="38"/>
      <c r="CKO114" s="36"/>
      <c r="CKP114" s="38"/>
      <c r="CKQ114" s="38"/>
      <c r="CKW114" s="36"/>
      <c r="CKX114" s="38"/>
      <c r="CKY114" s="38"/>
      <c r="CLE114" s="36"/>
      <c r="CLF114" s="38"/>
      <c r="CLG114" s="38"/>
      <c r="CLM114" s="36"/>
      <c r="CLN114" s="38"/>
      <c r="CLO114" s="38"/>
      <c r="CLU114" s="36"/>
      <c r="CLV114" s="38"/>
      <c r="CLW114" s="38"/>
      <c r="CMC114" s="36"/>
      <c r="CMD114" s="38"/>
      <c r="CME114" s="38"/>
      <c r="CMK114" s="36"/>
      <c r="CML114" s="38"/>
      <c r="CMM114" s="38"/>
      <c r="CMS114" s="36"/>
      <c r="CMT114" s="38"/>
      <c r="CMU114" s="38"/>
      <c r="CNA114" s="36"/>
      <c r="CNB114" s="38"/>
      <c r="CNC114" s="38"/>
      <c r="CNI114" s="36"/>
      <c r="CNJ114" s="38"/>
      <c r="CNK114" s="38"/>
      <c r="CNQ114" s="36"/>
      <c r="CNR114" s="38"/>
      <c r="CNS114" s="38"/>
      <c r="CNY114" s="36"/>
      <c r="CNZ114" s="38"/>
      <c r="COA114" s="38"/>
      <c r="COG114" s="36"/>
      <c r="COH114" s="38"/>
      <c r="COI114" s="38"/>
      <c r="COO114" s="36"/>
      <c r="COP114" s="38"/>
      <c r="COQ114" s="38"/>
      <c r="COW114" s="36"/>
      <c r="COX114" s="38"/>
      <c r="COY114" s="38"/>
      <c r="CPE114" s="36"/>
      <c r="CPF114" s="38"/>
      <c r="CPG114" s="38"/>
      <c r="CPM114" s="36"/>
      <c r="CPN114" s="38"/>
      <c r="CPO114" s="38"/>
      <c r="CPU114" s="36"/>
      <c r="CPV114" s="38"/>
      <c r="CPW114" s="38"/>
      <c r="CQC114" s="36"/>
      <c r="CQD114" s="38"/>
      <c r="CQE114" s="38"/>
      <c r="CQK114" s="36"/>
      <c r="CQL114" s="38"/>
      <c r="CQM114" s="38"/>
      <c r="CQS114" s="36"/>
      <c r="CQT114" s="38"/>
      <c r="CQU114" s="38"/>
      <c r="CRA114" s="36"/>
      <c r="CRB114" s="38"/>
      <c r="CRC114" s="38"/>
      <c r="CRI114" s="36"/>
      <c r="CRJ114" s="38"/>
      <c r="CRK114" s="38"/>
      <c r="CRQ114" s="36"/>
      <c r="CRR114" s="38"/>
      <c r="CRS114" s="38"/>
      <c r="CRY114" s="36"/>
      <c r="CRZ114" s="38"/>
      <c r="CSA114" s="38"/>
      <c r="CSG114" s="36"/>
      <c r="CSH114" s="38"/>
      <c r="CSI114" s="38"/>
      <c r="CSO114" s="36"/>
      <c r="CSP114" s="38"/>
      <c r="CSQ114" s="38"/>
      <c r="CSW114" s="36"/>
      <c r="CSX114" s="38"/>
      <c r="CSY114" s="38"/>
      <c r="CTE114" s="36"/>
      <c r="CTF114" s="38"/>
      <c r="CTG114" s="38"/>
      <c r="CTM114" s="36"/>
      <c r="CTN114" s="38"/>
      <c r="CTO114" s="38"/>
      <c r="CTU114" s="36"/>
      <c r="CTV114" s="38"/>
      <c r="CTW114" s="38"/>
      <c r="CUC114" s="36"/>
      <c r="CUD114" s="38"/>
      <c r="CUE114" s="38"/>
      <c r="CUK114" s="36"/>
      <c r="CUL114" s="38"/>
      <c r="CUM114" s="38"/>
      <c r="CUS114" s="36"/>
      <c r="CUT114" s="38"/>
      <c r="CUU114" s="38"/>
      <c r="CVA114" s="36"/>
      <c r="CVB114" s="38"/>
      <c r="CVC114" s="38"/>
      <c r="CVI114" s="36"/>
      <c r="CVJ114" s="38"/>
      <c r="CVK114" s="38"/>
      <c r="CVQ114" s="36"/>
      <c r="CVR114" s="38"/>
      <c r="CVS114" s="38"/>
      <c r="CVY114" s="36"/>
      <c r="CVZ114" s="38"/>
      <c r="CWA114" s="38"/>
      <c r="CWG114" s="36"/>
      <c r="CWH114" s="38"/>
      <c r="CWI114" s="38"/>
      <c r="CWO114" s="36"/>
      <c r="CWP114" s="38"/>
      <c r="CWQ114" s="38"/>
      <c r="CWW114" s="36"/>
      <c r="CWX114" s="38"/>
      <c r="CWY114" s="38"/>
      <c r="CXE114" s="36"/>
      <c r="CXF114" s="38"/>
      <c r="CXG114" s="38"/>
      <c r="CXM114" s="36"/>
      <c r="CXN114" s="38"/>
      <c r="CXO114" s="38"/>
      <c r="CXU114" s="36"/>
      <c r="CXV114" s="38"/>
      <c r="CXW114" s="38"/>
      <c r="CYC114" s="36"/>
      <c r="CYD114" s="38"/>
      <c r="CYE114" s="38"/>
      <c r="CYK114" s="36"/>
      <c r="CYL114" s="38"/>
      <c r="CYM114" s="38"/>
      <c r="CYS114" s="36"/>
      <c r="CYT114" s="38"/>
      <c r="CYU114" s="38"/>
      <c r="CZA114" s="36"/>
      <c r="CZB114" s="38"/>
      <c r="CZC114" s="38"/>
      <c r="CZI114" s="36"/>
      <c r="CZJ114" s="38"/>
      <c r="CZK114" s="38"/>
      <c r="CZQ114" s="36"/>
      <c r="CZR114" s="38"/>
      <c r="CZS114" s="38"/>
      <c r="CZY114" s="36"/>
      <c r="CZZ114" s="38"/>
      <c r="DAA114" s="38"/>
      <c r="DAG114" s="36"/>
      <c r="DAH114" s="38"/>
      <c r="DAI114" s="38"/>
      <c r="DAO114" s="36"/>
      <c r="DAP114" s="38"/>
      <c r="DAQ114" s="38"/>
      <c r="DAW114" s="36"/>
      <c r="DAX114" s="38"/>
      <c r="DAY114" s="38"/>
      <c r="DBE114" s="36"/>
      <c r="DBF114" s="38"/>
      <c r="DBG114" s="38"/>
      <c r="DBM114" s="36"/>
      <c r="DBN114" s="38"/>
      <c r="DBO114" s="38"/>
      <c r="DBU114" s="36"/>
      <c r="DBV114" s="38"/>
      <c r="DBW114" s="38"/>
      <c r="DCC114" s="36"/>
      <c r="DCD114" s="38"/>
      <c r="DCE114" s="38"/>
      <c r="DCK114" s="36"/>
      <c r="DCL114" s="38"/>
      <c r="DCM114" s="38"/>
      <c r="DCS114" s="36"/>
      <c r="DCT114" s="38"/>
      <c r="DCU114" s="38"/>
      <c r="DDA114" s="36"/>
      <c r="DDB114" s="38"/>
      <c r="DDC114" s="38"/>
      <c r="DDI114" s="36"/>
      <c r="DDJ114" s="38"/>
      <c r="DDK114" s="38"/>
      <c r="DDQ114" s="36"/>
      <c r="DDR114" s="38"/>
      <c r="DDS114" s="38"/>
      <c r="DDY114" s="36"/>
      <c r="DDZ114" s="38"/>
      <c r="DEA114" s="38"/>
      <c r="DEG114" s="36"/>
      <c r="DEH114" s="38"/>
      <c r="DEI114" s="38"/>
      <c r="DEO114" s="36"/>
      <c r="DEP114" s="38"/>
      <c r="DEQ114" s="38"/>
      <c r="DEW114" s="36"/>
      <c r="DEX114" s="38"/>
      <c r="DEY114" s="38"/>
      <c r="DFE114" s="36"/>
      <c r="DFF114" s="38"/>
      <c r="DFG114" s="38"/>
      <c r="DFM114" s="36"/>
      <c r="DFN114" s="38"/>
      <c r="DFO114" s="38"/>
      <c r="DFU114" s="36"/>
      <c r="DFV114" s="38"/>
      <c r="DFW114" s="38"/>
      <c r="DGC114" s="36"/>
      <c r="DGD114" s="38"/>
      <c r="DGE114" s="38"/>
      <c r="DGK114" s="36"/>
      <c r="DGL114" s="38"/>
      <c r="DGM114" s="38"/>
      <c r="DGS114" s="36"/>
      <c r="DGT114" s="38"/>
      <c r="DGU114" s="38"/>
      <c r="DHA114" s="36"/>
      <c r="DHB114" s="38"/>
      <c r="DHC114" s="38"/>
      <c r="DHI114" s="36"/>
      <c r="DHJ114" s="38"/>
      <c r="DHK114" s="38"/>
      <c r="DHQ114" s="36"/>
      <c r="DHR114" s="38"/>
      <c r="DHS114" s="38"/>
      <c r="DHY114" s="36"/>
      <c r="DHZ114" s="38"/>
      <c r="DIA114" s="38"/>
      <c r="DIG114" s="36"/>
      <c r="DIH114" s="38"/>
      <c r="DII114" s="38"/>
      <c r="DIO114" s="36"/>
      <c r="DIP114" s="38"/>
      <c r="DIQ114" s="38"/>
      <c r="DIW114" s="36"/>
      <c r="DIX114" s="38"/>
      <c r="DIY114" s="38"/>
      <c r="DJE114" s="36"/>
      <c r="DJF114" s="38"/>
      <c r="DJG114" s="38"/>
      <c r="DJM114" s="36"/>
      <c r="DJN114" s="38"/>
      <c r="DJO114" s="38"/>
      <c r="DJU114" s="36"/>
      <c r="DJV114" s="38"/>
      <c r="DJW114" s="38"/>
      <c r="DKC114" s="36"/>
      <c r="DKD114" s="38"/>
      <c r="DKE114" s="38"/>
      <c r="DKK114" s="36"/>
      <c r="DKL114" s="38"/>
      <c r="DKM114" s="38"/>
      <c r="DKS114" s="36"/>
      <c r="DKT114" s="38"/>
      <c r="DKU114" s="38"/>
      <c r="DLA114" s="36"/>
      <c r="DLB114" s="38"/>
      <c r="DLC114" s="38"/>
      <c r="DLI114" s="36"/>
      <c r="DLJ114" s="38"/>
      <c r="DLK114" s="38"/>
      <c r="DLQ114" s="36"/>
      <c r="DLR114" s="38"/>
      <c r="DLS114" s="38"/>
      <c r="DLY114" s="36"/>
      <c r="DLZ114" s="38"/>
      <c r="DMA114" s="38"/>
      <c r="DMG114" s="36"/>
      <c r="DMH114" s="38"/>
      <c r="DMI114" s="38"/>
      <c r="DMO114" s="36"/>
      <c r="DMP114" s="38"/>
      <c r="DMQ114" s="38"/>
      <c r="DMW114" s="36"/>
      <c r="DMX114" s="38"/>
      <c r="DMY114" s="38"/>
      <c r="DNE114" s="36"/>
      <c r="DNF114" s="38"/>
      <c r="DNG114" s="38"/>
      <c r="DNM114" s="36"/>
      <c r="DNN114" s="38"/>
      <c r="DNO114" s="38"/>
      <c r="DNU114" s="36"/>
      <c r="DNV114" s="38"/>
      <c r="DNW114" s="38"/>
      <c r="DOC114" s="36"/>
      <c r="DOD114" s="38"/>
      <c r="DOE114" s="38"/>
      <c r="DOK114" s="36"/>
      <c r="DOL114" s="38"/>
      <c r="DOM114" s="38"/>
      <c r="DOS114" s="36"/>
      <c r="DOT114" s="38"/>
      <c r="DOU114" s="38"/>
      <c r="DPA114" s="36"/>
      <c r="DPB114" s="38"/>
      <c r="DPC114" s="38"/>
      <c r="DPI114" s="36"/>
      <c r="DPJ114" s="38"/>
      <c r="DPK114" s="38"/>
      <c r="DPQ114" s="36"/>
      <c r="DPR114" s="38"/>
      <c r="DPS114" s="38"/>
      <c r="DPY114" s="36"/>
      <c r="DPZ114" s="38"/>
      <c r="DQA114" s="38"/>
      <c r="DQG114" s="36"/>
      <c r="DQH114" s="38"/>
      <c r="DQI114" s="38"/>
      <c r="DQO114" s="36"/>
      <c r="DQP114" s="38"/>
      <c r="DQQ114" s="38"/>
      <c r="DQW114" s="36"/>
      <c r="DQX114" s="38"/>
      <c r="DQY114" s="38"/>
      <c r="DRE114" s="36"/>
      <c r="DRF114" s="38"/>
      <c r="DRG114" s="38"/>
      <c r="DRM114" s="36"/>
      <c r="DRN114" s="38"/>
      <c r="DRO114" s="38"/>
      <c r="DRU114" s="36"/>
      <c r="DRV114" s="38"/>
      <c r="DRW114" s="38"/>
      <c r="DSC114" s="36"/>
      <c r="DSD114" s="38"/>
      <c r="DSE114" s="38"/>
      <c r="DSK114" s="36"/>
      <c r="DSL114" s="38"/>
      <c r="DSM114" s="38"/>
      <c r="DSS114" s="36"/>
      <c r="DST114" s="38"/>
      <c r="DSU114" s="38"/>
      <c r="DTA114" s="36"/>
      <c r="DTB114" s="38"/>
      <c r="DTC114" s="38"/>
      <c r="DTI114" s="36"/>
      <c r="DTJ114" s="38"/>
      <c r="DTK114" s="38"/>
      <c r="DTQ114" s="36"/>
      <c r="DTR114" s="38"/>
      <c r="DTS114" s="38"/>
      <c r="DTY114" s="36"/>
      <c r="DTZ114" s="38"/>
      <c r="DUA114" s="38"/>
      <c r="DUG114" s="36"/>
      <c r="DUH114" s="38"/>
      <c r="DUI114" s="38"/>
      <c r="DUO114" s="36"/>
      <c r="DUP114" s="38"/>
      <c r="DUQ114" s="38"/>
      <c r="DUW114" s="36"/>
      <c r="DUX114" s="38"/>
      <c r="DUY114" s="38"/>
      <c r="DVE114" s="36"/>
      <c r="DVF114" s="38"/>
      <c r="DVG114" s="38"/>
      <c r="DVM114" s="36"/>
      <c r="DVN114" s="38"/>
      <c r="DVO114" s="38"/>
      <c r="DVU114" s="36"/>
      <c r="DVV114" s="38"/>
      <c r="DVW114" s="38"/>
      <c r="DWC114" s="36"/>
      <c r="DWD114" s="38"/>
      <c r="DWE114" s="38"/>
      <c r="DWK114" s="36"/>
      <c r="DWL114" s="38"/>
      <c r="DWM114" s="38"/>
      <c r="DWS114" s="36"/>
      <c r="DWT114" s="38"/>
      <c r="DWU114" s="38"/>
      <c r="DXA114" s="36"/>
      <c r="DXB114" s="38"/>
      <c r="DXC114" s="38"/>
      <c r="DXI114" s="36"/>
      <c r="DXJ114" s="38"/>
      <c r="DXK114" s="38"/>
      <c r="DXQ114" s="36"/>
      <c r="DXR114" s="38"/>
      <c r="DXS114" s="38"/>
      <c r="DXY114" s="36"/>
      <c r="DXZ114" s="38"/>
      <c r="DYA114" s="38"/>
      <c r="DYG114" s="36"/>
      <c r="DYH114" s="38"/>
      <c r="DYI114" s="38"/>
      <c r="DYO114" s="36"/>
      <c r="DYP114" s="38"/>
      <c r="DYQ114" s="38"/>
      <c r="DYW114" s="36"/>
      <c r="DYX114" s="38"/>
      <c r="DYY114" s="38"/>
      <c r="DZE114" s="36"/>
      <c r="DZF114" s="38"/>
      <c r="DZG114" s="38"/>
      <c r="DZM114" s="36"/>
      <c r="DZN114" s="38"/>
      <c r="DZO114" s="38"/>
      <c r="DZU114" s="36"/>
      <c r="DZV114" s="38"/>
      <c r="DZW114" s="38"/>
      <c r="EAC114" s="36"/>
      <c r="EAD114" s="38"/>
      <c r="EAE114" s="38"/>
      <c r="EAK114" s="36"/>
      <c r="EAL114" s="38"/>
      <c r="EAM114" s="38"/>
      <c r="EAS114" s="36"/>
      <c r="EAT114" s="38"/>
      <c r="EAU114" s="38"/>
      <c r="EBA114" s="36"/>
      <c r="EBB114" s="38"/>
      <c r="EBC114" s="38"/>
      <c r="EBI114" s="36"/>
      <c r="EBJ114" s="38"/>
      <c r="EBK114" s="38"/>
      <c r="EBQ114" s="36"/>
      <c r="EBR114" s="38"/>
      <c r="EBS114" s="38"/>
      <c r="EBY114" s="36"/>
      <c r="EBZ114" s="38"/>
      <c r="ECA114" s="38"/>
      <c r="ECG114" s="36"/>
      <c r="ECH114" s="38"/>
      <c r="ECI114" s="38"/>
      <c r="ECO114" s="36"/>
      <c r="ECP114" s="38"/>
      <c r="ECQ114" s="38"/>
      <c r="ECW114" s="36"/>
      <c r="ECX114" s="38"/>
      <c r="ECY114" s="38"/>
      <c r="EDE114" s="36"/>
      <c r="EDF114" s="38"/>
      <c r="EDG114" s="38"/>
      <c r="EDM114" s="36"/>
      <c r="EDN114" s="38"/>
      <c r="EDO114" s="38"/>
      <c r="EDU114" s="36"/>
      <c r="EDV114" s="38"/>
      <c r="EDW114" s="38"/>
      <c r="EEC114" s="36"/>
      <c r="EED114" s="38"/>
      <c r="EEE114" s="38"/>
      <c r="EEK114" s="36"/>
      <c r="EEL114" s="38"/>
      <c r="EEM114" s="38"/>
      <c r="EES114" s="36"/>
      <c r="EET114" s="38"/>
      <c r="EEU114" s="38"/>
      <c r="EFA114" s="36"/>
      <c r="EFB114" s="38"/>
      <c r="EFC114" s="38"/>
      <c r="EFI114" s="36"/>
      <c r="EFJ114" s="38"/>
      <c r="EFK114" s="38"/>
      <c r="EFQ114" s="36"/>
      <c r="EFR114" s="38"/>
      <c r="EFS114" s="38"/>
      <c r="EFY114" s="36"/>
      <c r="EFZ114" s="38"/>
      <c r="EGA114" s="38"/>
      <c r="EGG114" s="36"/>
      <c r="EGH114" s="38"/>
      <c r="EGI114" s="38"/>
      <c r="EGO114" s="36"/>
      <c r="EGP114" s="38"/>
      <c r="EGQ114" s="38"/>
      <c r="EGW114" s="36"/>
      <c r="EGX114" s="38"/>
      <c r="EGY114" s="38"/>
      <c r="EHE114" s="36"/>
      <c r="EHF114" s="38"/>
      <c r="EHG114" s="38"/>
      <c r="EHM114" s="36"/>
      <c r="EHN114" s="38"/>
      <c r="EHO114" s="38"/>
      <c r="EHU114" s="36"/>
      <c r="EHV114" s="38"/>
      <c r="EHW114" s="38"/>
      <c r="EIC114" s="36"/>
      <c r="EID114" s="38"/>
      <c r="EIE114" s="38"/>
      <c r="EIK114" s="36"/>
      <c r="EIL114" s="38"/>
      <c r="EIM114" s="38"/>
      <c r="EIS114" s="36"/>
      <c r="EIT114" s="38"/>
      <c r="EIU114" s="38"/>
      <c r="EJA114" s="36"/>
      <c r="EJB114" s="38"/>
      <c r="EJC114" s="38"/>
      <c r="EJI114" s="36"/>
      <c r="EJJ114" s="38"/>
      <c r="EJK114" s="38"/>
      <c r="EJQ114" s="36"/>
      <c r="EJR114" s="38"/>
      <c r="EJS114" s="38"/>
      <c r="EJY114" s="36"/>
      <c r="EJZ114" s="38"/>
      <c r="EKA114" s="38"/>
      <c r="EKG114" s="36"/>
      <c r="EKH114" s="38"/>
      <c r="EKI114" s="38"/>
      <c r="EKO114" s="36"/>
      <c r="EKP114" s="38"/>
      <c r="EKQ114" s="38"/>
      <c r="EKW114" s="36"/>
      <c r="EKX114" s="38"/>
      <c r="EKY114" s="38"/>
      <c r="ELE114" s="36"/>
      <c r="ELF114" s="38"/>
      <c r="ELG114" s="38"/>
      <c r="ELM114" s="36"/>
      <c r="ELN114" s="38"/>
      <c r="ELO114" s="38"/>
      <c r="ELU114" s="36"/>
      <c r="ELV114" s="38"/>
      <c r="ELW114" s="38"/>
      <c r="EMC114" s="36"/>
      <c r="EMD114" s="38"/>
      <c r="EME114" s="38"/>
      <c r="EMK114" s="36"/>
      <c r="EML114" s="38"/>
      <c r="EMM114" s="38"/>
      <c r="EMS114" s="36"/>
      <c r="EMT114" s="38"/>
      <c r="EMU114" s="38"/>
      <c r="ENA114" s="36"/>
      <c r="ENB114" s="38"/>
      <c r="ENC114" s="38"/>
      <c r="ENI114" s="36"/>
      <c r="ENJ114" s="38"/>
      <c r="ENK114" s="38"/>
      <c r="ENQ114" s="36"/>
      <c r="ENR114" s="38"/>
      <c r="ENS114" s="38"/>
      <c r="ENY114" s="36"/>
      <c r="ENZ114" s="38"/>
      <c r="EOA114" s="38"/>
      <c r="EOG114" s="36"/>
      <c r="EOH114" s="38"/>
      <c r="EOI114" s="38"/>
      <c r="EOO114" s="36"/>
      <c r="EOP114" s="38"/>
      <c r="EOQ114" s="38"/>
      <c r="EOW114" s="36"/>
      <c r="EOX114" s="38"/>
      <c r="EOY114" s="38"/>
      <c r="EPE114" s="36"/>
      <c r="EPF114" s="38"/>
      <c r="EPG114" s="38"/>
      <c r="EPM114" s="36"/>
      <c r="EPN114" s="38"/>
      <c r="EPO114" s="38"/>
      <c r="EPU114" s="36"/>
      <c r="EPV114" s="38"/>
      <c r="EPW114" s="38"/>
      <c r="EQC114" s="36"/>
      <c r="EQD114" s="38"/>
      <c r="EQE114" s="38"/>
      <c r="EQK114" s="36"/>
      <c r="EQL114" s="38"/>
      <c r="EQM114" s="38"/>
      <c r="EQS114" s="36"/>
      <c r="EQT114" s="38"/>
      <c r="EQU114" s="38"/>
      <c r="ERA114" s="36"/>
      <c r="ERB114" s="38"/>
      <c r="ERC114" s="38"/>
      <c r="ERI114" s="36"/>
      <c r="ERJ114" s="38"/>
      <c r="ERK114" s="38"/>
      <c r="ERQ114" s="36"/>
      <c r="ERR114" s="38"/>
      <c r="ERS114" s="38"/>
      <c r="ERY114" s="36"/>
      <c r="ERZ114" s="38"/>
      <c r="ESA114" s="38"/>
      <c r="ESG114" s="36"/>
      <c r="ESH114" s="38"/>
      <c r="ESI114" s="38"/>
      <c r="ESO114" s="36"/>
      <c r="ESP114" s="38"/>
      <c r="ESQ114" s="38"/>
      <c r="ESW114" s="36"/>
      <c r="ESX114" s="38"/>
      <c r="ESY114" s="38"/>
      <c r="ETE114" s="36"/>
      <c r="ETF114" s="38"/>
      <c r="ETG114" s="38"/>
      <c r="ETM114" s="36"/>
      <c r="ETN114" s="38"/>
      <c r="ETO114" s="38"/>
      <c r="ETU114" s="36"/>
      <c r="ETV114" s="38"/>
      <c r="ETW114" s="38"/>
      <c r="EUC114" s="36"/>
      <c r="EUD114" s="38"/>
      <c r="EUE114" s="38"/>
      <c r="EUK114" s="36"/>
      <c r="EUL114" s="38"/>
      <c r="EUM114" s="38"/>
      <c r="EUS114" s="36"/>
      <c r="EUT114" s="38"/>
      <c r="EUU114" s="38"/>
      <c r="EVA114" s="36"/>
      <c r="EVB114" s="38"/>
      <c r="EVC114" s="38"/>
      <c r="EVI114" s="36"/>
      <c r="EVJ114" s="38"/>
      <c r="EVK114" s="38"/>
      <c r="EVQ114" s="36"/>
      <c r="EVR114" s="38"/>
      <c r="EVS114" s="38"/>
      <c r="EVY114" s="36"/>
      <c r="EVZ114" s="38"/>
      <c r="EWA114" s="38"/>
      <c r="EWG114" s="36"/>
      <c r="EWH114" s="38"/>
      <c r="EWI114" s="38"/>
      <c r="EWO114" s="36"/>
      <c r="EWP114" s="38"/>
      <c r="EWQ114" s="38"/>
      <c r="EWW114" s="36"/>
      <c r="EWX114" s="38"/>
      <c r="EWY114" s="38"/>
      <c r="EXE114" s="36"/>
      <c r="EXF114" s="38"/>
      <c r="EXG114" s="38"/>
      <c r="EXM114" s="36"/>
      <c r="EXN114" s="38"/>
      <c r="EXO114" s="38"/>
      <c r="EXU114" s="36"/>
      <c r="EXV114" s="38"/>
      <c r="EXW114" s="38"/>
      <c r="EYC114" s="36"/>
      <c r="EYD114" s="38"/>
      <c r="EYE114" s="38"/>
      <c r="EYK114" s="36"/>
      <c r="EYL114" s="38"/>
      <c r="EYM114" s="38"/>
      <c r="EYS114" s="36"/>
      <c r="EYT114" s="38"/>
      <c r="EYU114" s="38"/>
      <c r="EZA114" s="36"/>
      <c r="EZB114" s="38"/>
      <c r="EZC114" s="38"/>
      <c r="EZI114" s="36"/>
      <c r="EZJ114" s="38"/>
      <c r="EZK114" s="38"/>
      <c r="EZQ114" s="36"/>
      <c r="EZR114" s="38"/>
      <c r="EZS114" s="38"/>
      <c r="EZY114" s="36"/>
      <c r="EZZ114" s="38"/>
      <c r="FAA114" s="38"/>
      <c r="FAG114" s="36"/>
      <c r="FAH114" s="38"/>
      <c r="FAI114" s="38"/>
      <c r="FAO114" s="36"/>
      <c r="FAP114" s="38"/>
      <c r="FAQ114" s="38"/>
      <c r="FAW114" s="36"/>
      <c r="FAX114" s="38"/>
      <c r="FAY114" s="38"/>
      <c r="FBE114" s="36"/>
      <c r="FBF114" s="38"/>
      <c r="FBG114" s="38"/>
      <c r="FBM114" s="36"/>
      <c r="FBN114" s="38"/>
      <c r="FBO114" s="38"/>
      <c r="FBU114" s="36"/>
      <c r="FBV114" s="38"/>
      <c r="FBW114" s="38"/>
      <c r="FCC114" s="36"/>
      <c r="FCD114" s="38"/>
      <c r="FCE114" s="38"/>
      <c r="FCK114" s="36"/>
      <c r="FCL114" s="38"/>
      <c r="FCM114" s="38"/>
      <c r="FCS114" s="36"/>
      <c r="FCT114" s="38"/>
      <c r="FCU114" s="38"/>
      <c r="FDA114" s="36"/>
      <c r="FDB114" s="38"/>
      <c r="FDC114" s="38"/>
      <c r="FDI114" s="36"/>
      <c r="FDJ114" s="38"/>
      <c r="FDK114" s="38"/>
      <c r="FDQ114" s="36"/>
      <c r="FDR114" s="38"/>
      <c r="FDS114" s="38"/>
      <c r="FDY114" s="36"/>
      <c r="FDZ114" s="38"/>
      <c r="FEA114" s="38"/>
      <c r="FEG114" s="36"/>
      <c r="FEH114" s="38"/>
      <c r="FEI114" s="38"/>
      <c r="FEO114" s="36"/>
      <c r="FEP114" s="38"/>
      <c r="FEQ114" s="38"/>
      <c r="FEW114" s="36"/>
      <c r="FEX114" s="38"/>
      <c r="FEY114" s="38"/>
      <c r="FFE114" s="36"/>
      <c r="FFF114" s="38"/>
      <c r="FFG114" s="38"/>
      <c r="FFM114" s="36"/>
      <c r="FFN114" s="38"/>
      <c r="FFO114" s="38"/>
      <c r="FFU114" s="36"/>
      <c r="FFV114" s="38"/>
      <c r="FFW114" s="38"/>
      <c r="FGC114" s="36"/>
      <c r="FGD114" s="38"/>
      <c r="FGE114" s="38"/>
      <c r="FGK114" s="36"/>
      <c r="FGL114" s="38"/>
      <c r="FGM114" s="38"/>
      <c r="FGS114" s="36"/>
      <c r="FGT114" s="38"/>
      <c r="FGU114" s="38"/>
      <c r="FHA114" s="36"/>
      <c r="FHB114" s="38"/>
      <c r="FHC114" s="38"/>
      <c r="FHI114" s="36"/>
      <c r="FHJ114" s="38"/>
      <c r="FHK114" s="38"/>
      <c r="FHQ114" s="36"/>
      <c r="FHR114" s="38"/>
      <c r="FHS114" s="38"/>
      <c r="FHY114" s="36"/>
      <c r="FHZ114" s="38"/>
      <c r="FIA114" s="38"/>
      <c r="FIG114" s="36"/>
      <c r="FIH114" s="38"/>
      <c r="FII114" s="38"/>
      <c r="FIO114" s="36"/>
      <c r="FIP114" s="38"/>
      <c r="FIQ114" s="38"/>
      <c r="FIW114" s="36"/>
      <c r="FIX114" s="38"/>
      <c r="FIY114" s="38"/>
      <c r="FJE114" s="36"/>
      <c r="FJF114" s="38"/>
      <c r="FJG114" s="38"/>
      <c r="FJM114" s="36"/>
      <c r="FJN114" s="38"/>
      <c r="FJO114" s="38"/>
      <c r="FJU114" s="36"/>
      <c r="FJV114" s="38"/>
      <c r="FJW114" s="38"/>
      <c r="FKC114" s="36"/>
      <c r="FKD114" s="38"/>
      <c r="FKE114" s="38"/>
      <c r="FKK114" s="36"/>
      <c r="FKL114" s="38"/>
      <c r="FKM114" s="38"/>
      <c r="FKS114" s="36"/>
      <c r="FKT114" s="38"/>
      <c r="FKU114" s="38"/>
      <c r="FLA114" s="36"/>
      <c r="FLB114" s="38"/>
      <c r="FLC114" s="38"/>
      <c r="FLI114" s="36"/>
      <c r="FLJ114" s="38"/>
      <c r="FLK114" s="38"/>
      <c r="FLQ114" s="36"/>
      <c r="FLR114" s="38"/>
      <c r="FLS114" s="38"/>
      <c r="FLY114" s="36"/>
      <c r="FLZ114" s="38"/>
      <c r="FMA114" s="38"/>
      <c r="FMG114" s="36"/>
      <c r="FMH114" s="38"/>
      <c r="FMI114" s="38"/>
      <c r="FMO114" s="36"/>
      <c r="FMP114" s="38"/>
      <c r="FMQ114" s="38"/>
      <c r="FMW114" s="36"/>
      <c r="FMX114" s="38"/>
      <c r="FMY114" s="38"/>
      <c r="FNE114" s="36"/>
      <c r="FNF114" s="38"/>
      <c r="FNG114" s="38"/>
      <c r="FNM114" s="36"/>
      <c r="FNN114" s="38"/>
      <c r="FNO114" s="38"/>
      <c r="FNU114" s="36"/>
      <c r="FNV114" s="38"/>
      <c r="FNW114" s="38"/>
      <c r="FOC114" s="36"/>
      <c r="FOD114" s="38"/>
      <c r="FOE114" s="38"/>
      <c r="FOK114" s="36"/>
      <c r="FOL114" s="38"/>
      <c r="FOM114" s="38"/>
      <c r="FOS114" s="36"/>
      <c r="FOT114" s="38"/>
      <c r="FOU114" s="38"/>
      <c r="FPA114" s="36"/>
      <c r="FPB114" s="38"/>
      <c r="FPC114" s="38"/>
      <c r="FPI114" s="36"/>
      <c r="FPJ114" s="38"/>
      <c r="FPK114" s="38"/>
      <c r="FPQ114" s="36"/>
      <c r="FPR114" s="38"/>
      <c r="FPS114" s="38"/>
      <c r="FPY114" s="36"/>
      <c r="FPZ114" s="38"/>
      <c r="FQA114" s="38"/>
      <c r="FQG114" s="36"/>
      <c r="FQH114" s="38"/>
      <c r="FQI114" s="38"/>
      <c r="FQO114" s="36"/>
      <c r="FQP114" s="38"/>
      <c r="FQQ114" s="38"/>
      <c r="FQW114" s="36"/>
      <c r="FQX114" s="38"/>
      <c r="FQY114" s="38"/>
      <c r="FRE114" s="36"/>
      <c r="FRF114" s="38"/>
      <c r="FRG114" s="38"/>
      <c r="FRM114" s="36"/>
      <c r="FRN114" s="38"/>
      <c r="FRO114" s="38"/>
      <c r="FRU114" s="36"/>
      <c r="FRV114" s="38"/>
      <c r="FRW114" s="38"/>
      <c r="FSC114" s="36"/>
      <c r="FSD114" s="38"/>
      <c r="FSE114" s="38"/>
      <c r="FSK114" s="36"/>
      <c r="FSL114" s="38"/>
      <c r="FSM114" s="38"/>
      <c r="FSS114" s="36"/>
      <c r="FST114" s="38"/>
      <c r="FSU114" s="38"/>
      <c r="FTA114" s="36"/>
      <c r="FTB114" s="38"/>
      <c r="FTC114" s="38"/>
      <c r="FTI114" s="36"/>
      <c r="FTJ114" s="38"/>
      <c r="FTK114" s="38"/>
      <c r="FTQ114" s="36"/>
      <c r="FTR114" s="38"/>
      <c r="FTS114" s="38"/>
      <c r="FTY114" s="36"/>
      <c r="FTZ114" s="38"/>
      <c r="FUA114" s="38"/>
      <c r="FUG114" s="36"/>
      <c r="FUH114" s="38"/>
      <c r="FUI114" s="38"/>
      <c r="FUO114" s="36"/>
      <c r="FUP114" s="38"/>
      <c r="FUQ114" s="38"/>
      <c r="FUW114" s="36"/>
      <c r="FUX114" s="38"/>
      <c r="FUY114" s="38"/>
      <c r="FVE114" s="36"/>
      <c r="FVF114" s="38"/>
      <c r="FVG114" s="38"/>
      <c r="FVM114" s="36"/>
      <c r="FVN114" s="38"/>
      <c r="FVO114" s="38"/>
      <c r="FVU114" s="36"/>
      <c r="FVV114" s="38"/>
      <c r="FVW114" s="38"/>
      <c r="FWC114" s="36"/>
      <c r="FWD114" s="38"/>
      <c r="FWE114" s="38"/>
      <c r="FWK114" s="36"/>
      <c r="FWL114" s="38"/>
      <c r="FWM114" s="38"/>
      <c r="FWS114" s="36"/>
      <c r="FWT114" s="38"/>
      <c r="FWU114" s="38"/>
      <c r="FXA114" s="36"/>
      <c r="FXB114" s="38"/>
      <c r="FXC114" s="38"/>
      <c r="FXI114" s="36"/>
      <c r="FXJ114" s="38"/>
      <c r="FXK114" s="38"/>
      <c r="FXQ114" s="36"/>
      <c r="FXR114" s="38"/>
      <c r="FXS114" s="38"/>
      <c r="FXY114" s="36"/>
      <c r="FXZ114" s="38"/>
      <c r="FYA114" s="38"/>
      <c r="FYG114" s="36"/>
      <c r="FYH114" s="38"/>
      <c r="FYI114" s="38"/>
      <c r="FYO114" s="36"/>
      <c r="FYP114" s="38"/>
      <c r="FYQ114" s="38"/>
      <c r="FYW114" s="36"/>
      <c r="FYX114" s="38"/>
      <c r="FYY114" s="38"/>
      <c r="FZE114" s="36"/>
      <c r="FZF114" s="38"/>
      <c r="FZG114" s="38"/>
      <c r="FZM114" s="36"/>
      <c r="FZN114" s="38"/>
      <c r="FZO114" s="38"/>
      <c r="FZU114" s="36"/>
      <c r="FZV114" s="38"/>
      <c r="FZW114" s="38"/>
      <c r="GAC114" s="36"/>
      <c r="GAD114" s="38"/>
      <c r="GAE114" s="38"/>
      <c r="GAK114" s="36"/>
      <c r="GAL114" s="38"/>
      <c r="GAM114" s="38"/>
      <c r="GAS114" s="36"/>
      <c r="GAT114" s="38"/>
      <c r="GAU114" s="38"/>
      <c r="GBA114" s="36"/>
      <c r="GBB114" s="38"/>
      <c r="GBC114" s="38"/>
      <c r="GBI114" s="36"/>
      <c r="GBJ114" s="38"/>
      <c r="GBK114" s="38"/>
      <c r="GBQ114" s="36"/>
      <c r="GBR114" s="38"/>
      <c r="GBS114" s="38"/>
      <c r="GBY114" s="36"/>
      <c r="GBZ114" s="38"/>
      <c r="GCA114" s="38"/>
      <c r="GCG114" s="36"/>
      <c r="GCH114" s="38"/>
      <c r="GCI114" s="38"/>
      <c r="GCO114" s="36"/>
      <c r="GCP114" s="38"/>
      <c r="GCQ114" s="38"/>
      <c r="GCW114" s="36"/>
      <c r="GCX114" s="38"/>
      <c r="GCY114" s="38"/>
      <c r="GDE114" s="36"/>
      <c r="GDF114" s="38"/>
      <c r="GDG114" s="38"/>
      <c r="GDM114" s="36"/>
      <c r="GDN114" s="38"/>
      <c r="GDO114" s="38"/>
      <c r="GDU114" s="36"/>
      <c r="GDV114" s="38"/>
      <c r="GDW114" s="38"/>
      <c r="GEC114" s="36"/>
      <c r="GED114" s="38"/>
      <c r="GEE114" s="38"/>
      <c r="GEK114" s="36"/>
      <c r="GEL114" s="38"/>
      <c r="GEM114" s="38"/>
      <c r="GES114" s="36"/>
      <c r="GET114" s="38"/>
      <c r="GEU114" s="38"/>
      <c r="GFA114" s="36"/>
      <c r="GFB114" s="38"/>
      <c r="GFC114" s="38"/>
      <c r="GFI114" s="36"/>
      <c r="GFJ114" s="38"/>
      <c r="GFK114" s="38"/>
      <c r="GFQ114" s="36"/>
      <c r="GFR114" s="38"/>
      <c r="GFS114" s="38"/>
      <c r="GFY114" s="36"/>
      <c r="GFZ114" s="38"/>
      <c r="GGA114" s="38"/>
      <c r="GGG114" s="36"/>
      <c r="GGH114" s="38"/>
      <c r="GGI114" s="38"/>
      <c r="GGO114" s="36"/>
      <c r="GGP114" s="38"/>
      <c r="GGQ114" s="38"/>
      <c r="GGW114" s="36"/>
      <c r="GGX114" s="38"/>
      <c r="GGY114" s="38"/>
      <c r="GHE114" s="36"/>
      <c r="GHF114" s="38"/>
      <c r="GHG114" s="38"/>
      <c r="GHM114" s="36"/>
      <c r="GHN114" s="38"/>
      <c r="GHO114" s="38"/>
      <c r="GHU114" s="36"/>
      <c r="GHV114" s="38"/>
      <c r="GHW114" s="38"/>
      <c r="GIC114" s="36"/>
      <c r="GID114" s="38"/>
      <c r="GIE114" s="38"/>
      <c r="GIK114" s="36"/>
      <c r="GIL114" s="38"/>
      <c r="GIM114" s="38"/>
      <c r="GIS114" s="36"/>
      <c r="GIT114" s="38"/>
      <c r="GIU114" s="38"/>
      <c r="GJA114" s="36"/>
      <c r="GJB114" s="38"/>
      <c r="GJC114" s="38"/>
      <c r="GJI114" s="36"/>
      <c r="GJJ114" s="38"/>
      <c r="GJK114" s="38"/>
      <c r="GJQ114" s="36"/>
      <c r="GJR114" s="38"/>
      <c r="GJS114" s="38"/>
      <c r="GJY114" s="36"/>
      <c r="GJZ114" s="38"/>
      <c r="GKA114" s="38"/>
      <c r="GKG114" s="36"/>
      <c r="GKH114" s="38"/>
      <c r="GKI114" s="38"/>
      <c r="GKO114" s="36"/>
      <c r="GKP114" s="38"/>
      <c r="GKQ114" s="38"/>
      <c r="GKW114" s="36"/>
      <c r="GKX114" s="38"/>
      <c r="GKY114" s="38"/>
      <c r="GLE114" s="36"/>
      <c r="GLF114" s="38"/>
      <c r="GLG114" s="38"/>
      <c r="GLM114" s="36"/>
      <c r="GLN114" s="38"/>
      <c r="GLO114" s="38"/>
      <c r="GLU114" s="36"/>
      <c r="GLV114" s="38"/>
      <c r="GLW114" s="38"/>
      <c r="GMC114" s="36"/>
      <c r="GMD114" s="38"/>
      <c r="GME114" s="38"/>
      <c r="GMK114" s="36"/>
      <c r="GML114" s="38"/>
      <c r="GMM114" s="38"/>
      <c r="GMS114" s="36"/>
      <c r="GMT114" s="38"/>
      <c r="GMU114" s="38"/>
      <c r="GNA114" s="36"/>
      <c r="GNB114" s="38"/>
      <c r="GNC114" s="38"/>
      <c r="GNI114" s="36"/>
      <c r="GNJ114" s="38"/>
      <c r="GNK114" s="38"/>
      <c r="GNQ114" s="36"/>
      <c r="GNR114" s="38"/>
      <c r="GNS114" s="38"/>
      <c r="GNY114" s="36"/>
      <c r="GNZ114" s="38"/>
      <c r="GOA114" s="38"/>
      <c r="GOG114" s="36"/>
      <c r="GOH114" s="38"/>
      <c r="GOI114" s="38"/>
      <c r="GOO114" s="36"/>
      <c r="GOP114" s="38"/>
      <c r="GOQ114" s="38"/>
      <c r="GOW114" s="36"/>
      <c r="GOX114" s="38"/>
      <c r="GOY114" s="38"/>
      <c r="GPE114" s="36"/>
      <c r="GPF114" s="38"/>
      <c r="GPG114" s="38"/>
      <c r="GPM114" s="36"/>
      <c r="GPN114" s="38"/>
      <c r="GPO114" s="38"/>
      <c r="GPU114" s="36"/>
      <c r="GPV114" s="38"/>
      <c r="GPW114" s="38"/>
      <c r="GQC114" s="36"/>
      <c r="GQD114" s="38"/>
      <c r="GQE114" s="38"/>
      <c r="GQK114" s="36"/>
      <c r="GQL114" s="38"/>
      <c r="GQM114" s="38"/>
      <c r="GQS114" s="36"/>
      <c r="GQT114" s="38"/>
      <c r="GQU114" s="38"/>
      <c r="GRA114" s="36"/>
      <c r="GRB114" s="38"/>
      <c r="GRC114" s="38"/>
      <c r="GRI114" s="36"/>
      <c r="GRJ114" s="38"/>
      <c r="GRK114" s="38"/>
      <c r="GRQ114" s="36"/>
      <c r="GRR114" s="38"/>
      <c r="GRS114" s="38"/>
      <c r="GRY114" s="36"/>
      <c r="GRZ114" s="38"/>
      <c r="GSA114" s="38"/>
      <c r="GSG114" s="36"/>
      <c r="GSH114" s="38"/>
      <c r="GSI114" s="38"/>
      <c r="GSO114" s="36"/>
      <c r="GSP114" s="38"/>
      <c r="GSQ114" s="38"/>
      <c r="GSW114" s="36"/>
      <c r="GSX114" s="38"/>
      <c r="GSY114" s="38"/>
      <c r="GTE114" s="36"/>
      <c r="GTF114" s="38"/>
      <c r="GTG114" s="38"/>
      <c r="GTM114" s="36"/>
      <c r="GTN114" s="38"/>
      <c r="GTO114" s="38"/>
      <c r="GTU114" s="36"/>
      <c r="GTV114" s="38"/>
      <c r="GTW114" s="38"/>
      <c r="GUC114" s="36"/>
      <c r="GUD114" s="38"/>
      <c r="GUE114" s="38"/>
      <c r="GUK114" s="36"/>
      <c r="GUL114" s="38"/>
      <c r="GUM114" s="38"/>
      <c r="GUS114" s="36"/>
      <c r="GUT114" s="38"/>
      <c r="GUU114" s="38"/>
      <c r="GVA114" s="36"/>
      <c r="GVB114" s="38"/>
      <c r="GVC114" s="38"/>
      <c r="GVI114" s="36"/>
      <c r="GVJ114" s="38"/>
      <c r="GVK114" s="38"/>
      <c r="GVQ114" s="36"/>
      <c r="GVR114" s="38"/>
      <c r="GVS114" s="38"/>
      <c r="GVY114" s="36"/>
      <c r="GVZ114" s="38"/>
      <c r="GWA114" s="38"/>
      <c r="GWG114" s="36"/>
      <c r="GWH114" s="38"/>
      <c r="GWI114" s="38"/>
      <c r="GWO114" s="36"/>
      <c r="GWP114" s="38"/>
      <c r="GWQ114" s="38"/>
      <c r="GWW114" s="36"/>
      <c r="GWX114" s="38"/>
      <c r="GWY114" s="38"/>
      <c r="GXE114" s="36"/>
      <c r="GXF114" s="38"/>
      <c r="GXG114" s="38"/>
      <c r="GXM114" s="36"/>
      <c r="GXN114" s="38"/>
      <c r="GXO114" s="38"/>
      <c r="GXU114" s="36"/>
      <c r="GXV114" s="38"/>
      <c r="GXW114" s="38"/>
      <c r="GYC114" s="36"/>
      <c r="GYD114" s="38"/>
      <c r="GYE114" s="38"/>
      <c r="GYK114" s="36"/>
      <c r="GYL114" s="38"/>
      <c r="GYM114" s="38"/>
      <c r="GYS114" s="36"/>
      <c r="GYT114" s="38"/>
      <c r="GYU114" s="38"/>
      <c r="GZA114" s="36"/>
      <c r="GZB114" s="38"/>
      <c r="GZC114" s="38"/>
      <c r="GZI114" s="36"/>
      <c r="GZJ114" s="38"/>
      <c r="GZK114" s="38"/>
      <c r="GZQ114" s="36"/>
      <c r="GZR114" s="38"/>
      <c r="GZS114" s="38"/>
      <c r="GZY114" s="36"/>
      <c r="GZZ114" s="38"/>
      <c r="HAA114" s="38"/>
      <c r="HAG114" s="36"/>
      <c r="HAH114" s="38"/>
      <c r="HAI114" s="38"/>
      <c r="HAO114" s="36"/>
      <c r="HAP114" s="38"/>
      <c r="HAQ114" s="38"/>
      <c r="HAW114" s="36"/>
      <c r="HAX114" s="38"/>
      <c r="HAY114" s="38"/>
      <c r="HBE114" s="36"/>
      <c r="HBF114" s="38"/>
      <c r="HBG114" s="38"/>
      <c r="HBM114" s="36"/>
      <c r="HBN114" s="38"/>
      <c r="HBO114" s="38"/>
      <c r="HBU114" s="36"/>
      <c r="HBV114" s="38"/>
      <c r="HBW114" s="38"/>
      <c r="HCC114" s="36"/>
      <c r="HCD114" s="38"/>
      <c r="HCE114" s="38"/>
      <c r="HCK114" s="36"/>
      <c r="HCL114" s="38"/>
      <c r="HCM114" s="38"/>
      <c r="HCS114" s="36"/>
      <c r="HCT114" s="38"/>
      <c r="HCU114" s="38"/>
      <c r="HDA114" s="36"/>
      <c r="HDB114" s="38"/>
      <c r="HDC114" s="38"/>
      <c r="HDI114" s="36"/>
      <c r="HDJ114" s="38"/>
      <c r="HDK114" s="38"/>
      <c r="HDQ114" s="36"/>
      <c r="HDR114" s="38"/>
      <c r="HDS114" s="38"/>
      <c r="HDY114" s="36"/>
      <c r="HDZ114" s="38"/>
      <c r="HEA114" s="38"/>
      <c r="HEG114" s="36"/>
      <c r="HEH114" s="38"/>
      <c r="HEI114" s="38"/>
      <c r="HEO114" s="36"/>
      <c r="HEP114" s="38"/>
      <c r="HEQ114" s="38"/>
      <c r="HEW114" s="36"/>
      <c r="HEX114" s="38"/>
      <c r="HEY114" s="38"/>
      <c r="HFE114" s="36"/>
      <c r="HFF114" s="38"/>
      <c r="HFG114" s="38"/>
      <c r="HFM114" s="36"/>
      <c r="HFN114" s="38"/>
      <c r="HFO114" s="38"/>
      <c r="HFU114" s="36"/>
      <c r="HFV114" s="38"/>
      <c r="HFW114" s="38"/>
      <c r="HGC114" s="36"/>
      <c r="HGD114" s="38"/>
      <c r="HGE114" s="38"/>
      <c r="HGK114" s="36"/>
      <c r="HGL114" s="38"/>
      <c r="HGM114" s="38"/>
      <c r="HGS114" s="36"/>
      <c r="HGT114" s="38"/>
      <c r="HGU114" s="38"/>
      <c r="HHA114" s="36"/>
      <c r="HHB114" s="38"/>
      <c r="HHC114" s="38"/>
      <c r="HHI114" s="36"/>
      <c r="HHJ114" s="38"/>
      <c r="HHK114" s="38"/>
      <c r="HHQ114" s="36"/>
      <c r="HHR114" s="38"/>
      <c r="HHS114" s="38"/>
      <c r="HHY114" s="36"/>
      <c r="HHZ114" s="38"/>
      <c r="HIA114" s="38"/>
      <c r="HIG114" s="36"/>
      <c r="HIH114" s="38"/>
      <c r="HII114" s="38"/>
      <c r="HIO114" s="36"/>
      <c r="HIP114" s="38"/>
      <c r="HIQ114" s="38"/>
      <c r="HIW114" s="36"/>
      <c r="HIX114" s="38"/>
      <c r="HIY114" s="38"/>
      <c r="HJE114" s="36"/>
      <c r="HJF114" s="38"/>
      <c r="HJG114" s="38"/>
      <c r="HJM114" s="36"/>
      <c r="HJN114" s="38"/>
      <c r="HJO114" s="38"/>
      <c r="HJU114" s="36"/>
      <c r="HJV114" s="38"/>
      <c r="HJW114" s="38"/>
      <c r="HKC114" s="36"/>
      <c r="HKD114" s="38"/>
      <c r="HKE114" s="38"/>
      <c r="HKK114" s="36"/>
      <c r="HKL114" s="38"/>
      <c r="HKM114" s="38"/>
      <c r="HKS114" s="36"/>
      <c r="HKT114" s="38"/>
      <c r="HKU114" s="38"/>
      <c r="HLA114" s="36"/>
      <c r="HLB114" s="38"/>
      <c r="HLC114" s="38"/>
      <c r="HLI114" s="36"/>
      <c r="HLJ114" s="38"/>
      <c r="HLK114" s="38"/>
      <c r="HLQ114" s="36"/>
      <c r="HLR114" s="38"/>
      <c r="HLS114" s="38"/>
      <c r="HLY114" s="36"/>
      <c r="HLZ114" s="38"/>
      <c r="HMA114" s="38"/>
      <c r="HMG114" s="36"/>
      <c r="HMH114" s="38"/>
      <c r="HMI114" s="38"/>
      <c r="HMO114" s="36"/>
      <c r="HMP114" s="38"/>
      <c r="HMQ114" s="38"/>
      <c r="HMW114" s="36"/>
      <c r="HMX114" s="38"/>
      <c r="HMY114" s="38"/>
      <c r="HNE114" s="36"/>
      <c r="HNF114" s="38"/>
      <c r="HNG114" s="38"/>
      <c r="HNM114" s="36"/>
      <c r="HNN114" s="38"/>
      <c r="HNO114" s="38"/>
      <c r="HNU114" s="36"/>
      <c r="HNV114" s="38"/>
      <c r="HNW114" s="38"/>
      <c r="HOC114" s="36"/>
      <c r="HOD114" s="38"/>
      <c r="HOE114" s="38"/>
      <c r="HOK114" s="36"/>
      <c r="HOL114" s="38"/>
      <c r="HOM114" s="38"/>
      <c r="HOS114" s="36"/>
      <c r="HOT114" s="38"/>
      <c r="HOU114" s="38"/>
      <c r="HPA114" s="36"/>
      <c r="HPB114" s="38"/>
      <c r="HPC114" s="38"/>
      <c r="HPI114" s="36"/>
      <c r="HPJ114" s="38"/>
      <c r="HPK114" s="38"/>
      <c r="HPQ114" s="36"/>
      <c r="HPR114" s="38"/>
      <c r="HPS114" s="38"/>
      <c r="HPY114" s="36"/>
      <c r="HPZ114" s="38"/>
      <c r="HQA114" s="38"/>
      <c r="HQG114" s="36"/>
      <c r="HQH114" s="38"/>
      <c r="HQI114" s="38"/>
      <c r="HQO114" s="36"/>
      <c r="HQP114" s="38"/>
      <c r="HQQ114" s="38"/>
      <c r="HQW114" s="36"/>
      <c r="HQX114" s="38"/>
      <c r="HQY114" s="38"/>
      <c r="HRE114" s="36"/>
      <c r="HRF114" s="38"/>
      <c r="HRG114" s="38"/>
      <c r="HRM114" s="36"/>
      <c r="HRN114" s="38"/>
      <c r="HRO114" s="38"/>
      <c r="HRU114" s="36"/>
      <c r="HRV114" s="38"/>
      <c r="HRW114" s="38"/>
      <c r="HSC114" s="36"/>
      <c r="HSD114" s="38"/>
      <c r="HSE114" s="38"/>
      <c r="HSK114" s="36"/>
      <c r="HSL114" s="38"/>
      <c r="HSM114" s="38"/>
      <c r="HSS114" s="36"/>
      <c r="HST114" s="38"/>
      <c r="HSU114" s="38"/>
      <c r="HTA114" s="36"/>
      <c r="HTB114" s="38"/>
      <c r="HTC114" s="38"/>
      <c r="HTI114" s="36"/>
      <c r="HTJ114" s="38"/>
      <c r="HTK114" s="38"/>
      <c r="HTQ114" s="36"/>
      <c r="HTR114" s="38"/>
      <c r="HTS114" s="38"/>
      <c r="HTY114" s="36"/>
      <c r="HTZ114" s="38"/>
      <c r="HUA114" s="38"/>
      <c r="HUG114" s="36"/>
      <c r="HUH114" s="38"/>
      <c r="HUI114" s="38"/>
      <c r="HUO114" s="36"/>
      <c r="HUP114" s="38"/>
      <c r="HUQ114" s="38"/>
      <c r="HUW114" s="36"/>
      <c r="HUX114" s="38"/>
      <c r="HUY114" s="38"/>
      <c r="HVE114" s="36"/>
      <c r="HVF114" s="38"/>
      <c r="HVG114" s="38"/>
      <c r="HVM114" s="36"/>
      <c r="HVN114" s="38"/>
      <c r="HVO114" s="38"/>
      <c r="HVU114" s="36"/>
      <c r="HVV114" s="38"/>
      <c r="HVW114" s="38"/>
      <c r="HWC114" s="36"/>
      <c r="HWD114" s="38"/>
      <c r="HWE114" s="38"/>
      <c r="HWK114" s="36"/>
      <c r="HWL114" s="38"/>
      <c r="HWM114" s="38"/>
      <c r="HWS114" s="36"/>
      <c r="HWT114" s="38"/>
      <c r="HWU114" s="38"/>
      <c r="HXA114" s="36"/>
      <c r="HXB114" s="38"/>
      <c r="HXC114" s="38"/>
      <c r="HXI114" s="36"/>
      <c r="HXJ114" s="38"/>
      <c r="HXK114" s="38"/>
      <c r="HXQ114" s="36"/>
      <c r="HXR114" s="38"/>
      <c r="HXS114" s="38"/>
      <c r="HXY114" s="36"/>
      <c r="HXZ114" s="38"/>
      <c r="HYA114" s="38"/>
      <c r="HYG114" s="36"/>
      <c r="HYH114" s="38"/>
      <c r="HYI114" s="38"/>
      <c r="HYO114" s="36"/>
      <c r="HYP114" s="38"/>
      <c r="HYQ114" s="38"/>
      <c r="HYW114" s="36"/>
      <c r="HYX114" s="38"/>
      <c r="HYY114" s="38"/>
      <c r="HZE114" s="36"/>
      <c r="HZF114" s="38"/>
      <c r="HZG114" s="38"/>
      <c r="HZM114" s="36"/>
      <c r="HZN114" s="38"/>
      <c r="HZO114" s="38"/>
      <c r="HZU114" s="36"/>
      <c r="HZV114" s="38"/>
      <c r="HZW114" s="38"/>
      <c r="IAC114" s="36"/>
      <c r="IAD114" s="38"/>
      <c r="IAE114" s="38"/>
      <c r="IAK114" s="36"/>
      <c r="IAL114" s="38"/>
      <c r="IAM114" s="38"/>
      <c r="IAS114" s="36"/>
      <c r="IAT114" s="38"/>
      <c r="IAU114" s="38"/>
      <c r="IBA114" s="36"/>
      <c r="IBB114" s="38"/>
      <c r="IBC114" s="38"/>
      <c r="IBI114" s="36"/>
      <c r="IBJ114" s="38"/>
      <c r="IBK114" s="38"/>
      <c r="IBQ114" s="36"/>
      <c r="IBR114" s="38"/>
      <c r="IBS114" s="38"/>
      <c r="IBY114" s="36"/>
      <c r="IBZ114" s="38"/>
      <c r="ICA114" s="38"/>
      <c r="ICG114" s="36"/>
      <c r="ICH114" s="38"/>
      <c r="ICI114" s="38"/>
      <c r="ICO114" s="36"/>
      <c r="ICP114" s="38"/>
      <c r="ICQ114" s="38"/>
      <c r="ICW114" s="36"/>
      <c r="ICX114" s="38"/>
      <c r="ICY114" s="38"/>
      <c r="IDE114" s="36"/>
      <c r="IDF114" s="38"/>
      <c r="IDG114" s="38"/>
      <c r="IDM114" s="36"/>
      <c r="IDN114" s="38"/>
      <c r="IDO114" s="38"/>
      <c r="IDU114" s="36"/>
      <c r="IDV114" s="38"/>
      <c r="IDW114" s="38"/>
      <c r="IEC114" s="36"/>
      <c r="IED114" s="38"/>
      <c r="IEE114" s="38"/>
      <c r="IEK114" s="36"/>
      <c r="IEL114" s="38"/>
      <c r="IEM114" s="38"/>
      <c r="IES114" s="36"/>
      <c r="IET114" s="38"/>
      <c r="IEU114" s="38"/>
      <c r="IFA114" s="36"/>
      <c r="IFB114" s="38"/>
      <c r="IFC114" s="38"/>
      <c r="IFI114" s="36"/>
      <c r="IFJ114" s="38"/>
      <c r="IFK114" s="38"/>
      <c r="IFQ114" s="36"/>
      <c r="IFR114" s="38"/>
      <c r="IFS114" s="38"/>
      <c r="IFY114" s="36"/>
      <c r="IFZ114" s="38"/>
      <c r="IGA114" s="38"/>
      <c r="IGG114" s="36"/>
      <c r="IGH114" s="38"/>
      <c r="IGI114" s="38"/>
      <c r="IGO114" s="36"/>
      <c r="IGP114" s="38"/>
      <c r="IGQ114" s="38"/>
      <c r="IGW114" s="36"/>
      <c r="IGX114" s="38"/>
      <c r="IGY114" s="38"/>
      <c r="IHE114" s="36"/>
      <c r="IHF114" s="38"/>
      <c r="IHG114" s="38"/>
      <c r="IHM114" s="36"/>
      <c r="IHN114" s="38"/>
      <c r="IHO114" s="38"/>
      <c r="IHU114" s="36"/>
      <c r="IHV114" s="38"/>
      <c r="IHW114" s="38"/>
      <c r="IIC114" s="36"/>
      <c r="IID114" s="38"/>
      <c r="IIE114" s="38"/>
      <c r="IIK114" s="36"/>
      <c r="IIL114" s="38"/>
      <c r="IIM114" s="38"/>
      <c r="IIS114" s="36"/>
      <c r="IIT114" s="38"/>
      <c r="IIU114" s="38"/>
      <c r="IJA114" s="36"/>
      <c r="IJB114" s="38"/>
      <c r="IJC114" s="38"/>
      <c r="IJI114" s="36"/>
      <c r="IJJ114" s="38"/>
      <c r="IJK114" s="38"/>
      <c r="IJQ114" s="36"/>
      <c r="IJR114" s="38"/>
      <c r="IJS114" s="38"/>
      <c r="IJY114" s="36"/>
      <c r="IJZ114" s="38"/>
      <c r="IKA114" s="38"/>
      <c r="IKG114" s="36"/>
      <c r="IKH114" s="38"/>
      <c r="IKI114" s="38"/>
      <c r="IKO114" s="36"/>
      <c r="IKP114" s="38"/>
      <c r="IKQ114" s="38"/>
      <c r="IKW114" s="36"/>
      <c r="IKX114" s="38"/>
      <c r="IKY114" s="38"/>
      <c r="ILE114" s="36"/>
      <c r="ILF114" s="38"/>
      <c r="ILG114" s="38"/>
      <c r="ILM114" s="36"/>
      <c r="ILN114" s="38"/>
      <c r="ILO114" s="38"/>
      <c r="ILU114" s="36"/>
      <c r="ILV114" s="38"/>
      <c r="ILW114" s="38"/>
      <c r="IMC114" s="36"/>
      <c r="IMD114" s="38"/>
      <c r="IME114" s="38"/>
      <c r="IMK114" s="36"/>
      <c r="IML114" s="38"/>
      <c r="IMM114" s="38"/>
      <c r="IMS114" s="36"/>
      <c r="IMT114" s="38"/>
      <c r="IMU114" s="38"/>
      <c r="INA114" s="36"/>
      <c r="INB114" s="38"/>
      <c r="INC114" s="38"/>
      <c r="INI114" s="36"/>
      <c r="INJ114" s="38"/>
      <c r="INK114" s="38"/>
      <c r="INQ114" s="36"/>
      <c r="INR114" s="38"/>
      <c r="INS114" s="38"/>
      <c r="INY114" s="36"/>
      <c r="INZ114" s="38"/>
      <c r="IOA114" s="38"/>
      <c r="IOG114" s="36"/>
      <c r="IOH114" s="38"/>
      <c r="IOI114" s="38"/>
      <c r="IOO114" s="36"/>
      <c r="IOP114" s="38"/>
      <c r="IOQ114" s="38"/>
      <c r="IOW114" s="36"/>
      <c r="IOX114" s="38"/>
      <c r="IOY114" s="38"/>
      <c r="IPE114" s="36"/>
      <c r="IPF114" s="38"/>
      <c r="IPG114" s="38"/>
      <c r="IPM114" s="36"/>
      <c r="IPN114" s="38"/>
      <c r="IPO114" s="38"/>
      <c r="IPU114" s="36"/>
      <c r="IPV114" s="38"/>
      <c r="IPW114" s="38"/>
      <c r="IQC114" s="36"/>
      <c r="IQD114" s="38"/>
      <c r="IQE114" s="38"/>
      <c r="IQK114" s="36"/>
      <c r="IQL114" s="38"/>
      <c r="IQM114" s="38"/>
      <c r="IQS114" s="36"/>
      <c r="IQT114" s="38"/>
      <c r="IQU114" s="38"/>
      <c r="IRA114" s="36"/>
      <c r="IRB114" s="38"/>
      <c r="IRC114" s="38"/>
      <c r="IRI114" s="36"/>
      <c r="IRJ114" s="38"/>
      <c r="IRK114" s="38"/>
      <c r="IRQ114" s="36"/>
      <c r="IRR114" s="38"/>
      <c r="IRS114" s="38"/>
      <c r="IRY114" s="36"/>
      <c r="IRZ114" s="38"/>
      <c r="ISA114" s="38"/>
      <c r="ISG114" s="36"/>
      <c r="ISH114" s="38"/>
      <c r="ISI114" s="38"/>
      <c r="ISO114" s="36"/>
      <c r="ISP114" s="38"/>
      <c r="ISQ114" s="38"/>
      <c r="ISW114" s="36"/>
      <c r="ISX114" s="38"/>
      <c r="ISY114" s="38"/>
      <c r="ITE114" s="36"/>
      <c r="ITF114" s="38"/>
      <c r="ITG114" s="38"/>
      <c r="ITM114" s="36"/>
      <c r="ITN114" s="38"/>
      <c r="ITO114" s="38"/>
      <c r="ITU114" s="36"/>
      <c r="ITV114" s="38"/>
      <c r="ITW114" s="38"/>
      <c r="IUC114" s="36"/>
      <c r="IUD114" s="38"/>
      <c r="IUE114" s="38"/>
      <c r="IUK114" s="36"/>
      <c r="IUL114" s="38"/>
      <c r="IUM114" s="38"/>
      <c r="IUS114" s="36"/>
      <c r="IUT114" s="38"/>
      <c r="IUU114" s="38"/>
      <c r="IVA114" s="36"/>
      <c r="IVB114" s="38"/>
      <c r="IVC114" s="38"/>
      <c r="IVI114" s="36"/>
      <c r="IVJ114" s="38"/>
      <c r="IVK114" s="38"/>
      <c r="IVQ114" s="36"/>
      <c r="IVR114" s="38"/>
      <c r="IVS114" s="38"/>
      <c r="IVY114" s="36"/>
      <c r="IVZ114" s="38"/>
      <c r="IWA114" s="38"/>
      <c r="IWG114" s="36"/>
      <c r="IWH114" s="38"/>
      <c r="IWI114" s="38"/>
      <c r="IWO114" s="36"/>
      <c r="IWP114" s="38"/>
      <c r="IWQ114" s="38"/>
      <c r="IWW114" s="36"/>
      <c r="IWX114" s="38"/>
      <c r="IWY114" s="38"/>
      <c r="IXE114" s="36"/>
      <c r="IXF114" s="38"/>
      <c r="IXG114" s="38"/>
      <c r="IXM114" s="36"/>
      <c r="IXN114" s="38"/>
      <c r="IXO114" s="38"/>
      <c r="IXU114" s="36"/>
      <c r="IXV114" s="38"/>
      <c r="IXW114" s="38"/>
      <c r="IYC114" s="36"/>
      <c r="IYD114" s="38"/>
      <c r="IYE114" s="38"/>
      <c r="IYK114" s="36"/>
      <c r="IYL114" s="38"/>
      <c r="IYM114" s="38"/>
      <c r="IYS114" s="36"/>
      <c r="IYT114" s="38"/>
      <c r="IYU114" s="38"/>
      <c r="IZA114" s="36"/>
      <c r="IZB114" s="38"/>
      <c r="IZC114" s="38"/>
      <c r="IZI114" s="36"/>
      <c r="IZJ114" s="38"/>
      <c r="IZK114" s="38"/>
      <c r="IZQ114" s="36"/>
      <c r="IZR114" s="38"/>
      <c r="IZS114" s="38"/>
      <c r="IZY114" s="36"/>
      <c r="IZZ114" s="38"/>
      <c r="JAA114" s="38"/>
      <c r="JAG114" s="36"/>
      <c r="JAH114" s="38"/>
      <c r="JAI114" s="38"/>
      <c r="JAO114" s="36"/>
      <c r="JAP114" s="38"/>
      <c r="JAQ114" s="38"/>
      <c r="JAW114" s="36"/>
      <c r="JAX114" s="38"/>
      <c r="JAY114" s="38"/>
      <c r="JBE114" s="36"/>
      <c r="JBF114" s="38"/>
      <c r="JBG114" s="38"/>
      <c r="JBM114" s="36"/>
      <c r="JBN114" s="38"/>
      <c r="JBO114" s="38"/>
      <c r="JBU114" s="36"/>
      <c r="JBV114" s="38"/>
      <c r="JBW114" s="38"/>
      <c r="JCC114" s="36"/>
      <c r="JCD114" s="38"/>
      <c r="JCE114" s="38"/>
      <c r="JCK114" s="36"/>
      <c r="JCL114" s="38"/>
      <c r="JCM114" s="38"/>
      <c r="JCS114" s="36"/>
      <c r="JCT114" s="38"/>
      <c r="JCU114" s="38"/>
      <c r="JDA114" s="36"/>
      <c r="JDB114" s="38"/>
      <c r="JDC114" s="38"/>
      <c r="JDI114" s="36"/>
      <c r="JDJ114" s="38"/>
      <c r="JDK114" s="38"/>
      <c r="JDQ114" s="36"/>
      <c r="JDR114" s="38"/>
      <c r="JDS114" s="38"/>
      <c r="JDY114" s="36"/>
      <c r="JDZ114" s="38"/>
      <c r="JEA114" s="38"/>
      <c r="JEG114" s="36"/>
      <c r="JEH114" s="38"/>
      <c r="JEI114" s="38"/>
      <c r="JEO114" s="36"/>
      <c r="JEP114" s="38"/>
      <c r="JEQ114" s="38"/>
      <c r="JEW114" s="36"/>
      <c r="JEX114" s="38"/>
      <c r="JEY114" s="38"/>
      <c r="JFE114" s="36"/>
      <c r="JFF114" s="38"/>
      <c r="JFG114" s="38"/>
      <c r="JFM114" s="36"/>
      <c r="JFN114" s="38"/>
      <c r="JFO114" s="38"/>
      <c r="JFU114" s="36"/>
      <c r="JFV114" s="38"/>
      <c r="JFW114" s="38"/>
      <c r="JGC114" s="36"/>
      <c r="JGD114" s="38"/>
      <c r="JGE114" s="38"/>
      <c r="JGK114" s="36"/>
      <c r="JGL114" s="38"/>
      <c r="JGM114" s="38"/>
      <c r="JGS114" s="36"/>
      <c r="JGT114" s="38"/>
      <c r="JGU114" s="38"/>
      <c r="JHA114" s="36"/>
      <c r="JHB114" s="38"/>
      <c r="JHC114" s="38"/>
      <c r="JHI114" s="36"/>
      <c r="JHJ114" s="38"/>
      <c r="JHK114" s="38"/>
      <c r="JHQ114" s="36"/>
      <c r="JHR114" s="38"/>
      <c r="JHS114" s="38"/>
      <c r="JHY114" s="36"/>
      <c r="JHZ114" s="38"/>
      <c r="JIA114" s="38"/>
      <c r="JIG114" s="36"/>
      <c r="JIH114" s="38"/>
      <c r="JII114" s="38"/>
      <c r="JIO114" s="36"/>
      <c r="JIP114" s="38"/>
      <c r="JIQ114" s="38"/>
      <c r="JIW114" s="36"/>
      <c r="JIX114" s="38"/>
      <c r="JIY114" s="38"/>
      <c r="JJE114" s="36"/>
      <c r="JJF114" s="38"/>
      <c r="JJG114" s="38"/>
      <c r="JJM114" s="36"/>
      <c r="JJN114" s="38"/>
      <c r="JJO114" s="38"/>
      <c r="JJU114" s="36"/>
      <c r="JJV114" s="38"/>
      <c r="JJW114" s="38"/>
      <c r="JKC114" s="36"/>
      <c r="JKD114" s="38"/>
      <c r="JKE114" s="38"/>
      <c r="JKK114" s="36"/>
      <c r="JKL114" s="38"/>
      <c r="JKM114" s="38"/>
      <c r="JKS114" s="36"/>
      <c r="JKT114" s="38"/>
      <c r="JKU114" s="38"/>
      <c r="JLA114" s="36"/>
      <c r="JLB114" s="38"/>
      <c r="JLC114" s="38"/>
      <c r="JLI114" s="36"/>
      <c r="JLJ114" s="38"/>
      <c r="JLK114" s="38"/>
      <c r="JLQ114" s="36"/>
      <c r="JLR114" s="38"/>
      <c r="JLS114" s="38"/>
      <c r="JLY114" s="36"/>
      <c r="JLZ114" s="38"/>
      <c r="JMA114" s="38"/>
      <c r="JMG114" s="36"/>
      <c r="JMH114" s="38"/>
      <c r="JMI114" s="38"/>
      <c r="JMO114" s="36"/>
      <c r="JMP114" s="38"/>
      <c r="JMQ114" s="38"/>
      <c r="JMW114" s="36"/>
      <c r="JMX114" s="38"/>
      <c r="JMY114" s="38"/>
      <c r="JNE114" s="36"/>
      <c r="JNF114" s="38"/>
      <c r="JNG114" s="38"/>
      <c r="JNM114" s="36"/>
      <c r="JNN114" s="38"/>
      <c r="JNO114" s="38"/>
      <c r="JNU114" s="36"/>
      <c r="JNV114" s="38"/>
      <c r="JNW114" s="38"/>
      <c r="JOC114" s="36"/>
      <c r="JOD114" s="38"/>
      <c r="JOE114" s="38"/>
      <c r="JOK114" s="36"/>
      <c r="JOL114" s="38"/>
      <c r="JOM114" s="38"/>
      <c r="JOS114" s="36"/>
      <c r="JOT114" s="38"/>
      <c r="JOU114" s="38"/>
      <c r="JPA114" s="36"/>
      <c r="JPB114" s="38"/>
      <c r="JPC114" s="38"/>
      <c r="JPI114" s="36"/>
      <c r="JPJ114" s="38"/>
      <c r="JPK114" s="38"/>
      <c r="JPQ114" s="36"/>
      <c r="JPR114" s="38"/>
      <c r="JPS114" s="38"/>
      <c r="JPY114" s="36"/>
      <c r="JPZ114" s="38"/>
      <c r="JQA114" s="38"/>
      <c r="JQG114" s="36"/>
      <c r="JQH114" s="38"/>
      <c r="JQI114" s="38"/>
      <c r="JQO114" s="36"/>
      <c r="JQP114" s="38"/>
      <c r="JQQ114" s="38"/>
      <c r="JQW114" s="36"/>
      <c r="JQX114" s="38"/>
      <c r="JQY114" s="38"/>
      <c r="JRE114" s="36"/>
      <c r="JRF114" s="38"/>
      <c r="JRG114" s="38"/>
      <c r="JRM114" s="36"/>
      <c r="JRN114" s="38"/>
      <c r="JRO114" s="38"/>
      <c r="JRU114" s="36"/>
      <c r="JRV114" s="38"/>
      <c r="JRW114" s="38"/>
      <c r="JSC114" s="36"/>
      <c r="JSD114" s="38"/>
      <c r="JSE114" s="38"/>
      <c r="JSK114" s="36"/>
      <c r="JSL114" s="38"/>
      <c r="JSM114" s="38"/>
      <c r="JSS114" s="36"/>
      <c r="JST114" s="38"/>
      <c r="JSU114" s="38"/>
      <c r="JTA114" s="36"/>
      <c r="JTB114" s="38"/>
      <c r="JTC114" s="38"/>
      <c r="JTI114" s="36"/>
      <c r="JTJ114" s="38"/>
      <c r="JTK114" s="38"/>
      <c r="JTQ114" s="36"/>
      <c r="JTR114" s="38"/>
      <c r="JTS114" s="38"/>
      <c r="JTY114" s="36"/>
      <c r="JTZ114" s="38"/>
      <c r="JUA114" s="38"/>
      <c r="JUG114" s="36"/>
      <c r="JUH114" s="38"/>
      <c r="JUI114" s="38"/>
      <c r="JUO114" s="36"/>
      <c r="JUP114" s="38"/>
      <c r="JUQ114" s="38"/>
      <c r="JUW114" s="36"/>
      <c r="JUX114" s="38"/>
      <c r="JUY114" s="38"/>
      <c r="JVE114" s="36"/>
      <c r="JVF114" s="38"/>
      <c r="JVG114" s="38"/>
      <c r="JVM114" s="36"/>
      <c r="JVN114" s="38"/>
      <c r="JVO114" s="38"/>
      <c r="JVU114" s="36"/>
      <c r="JVV114" s="38"/>
      <c r="JVW114" s="38"/>
      <c r="JWC114" s="36"/>
      <c r="JWD114" s="38"/>
      <c r="JWE114" s="38"/>
      <c r="JWK114" s="36"/>
      <c r="JWL114" s="38"/>
      <c r="JWM114" s="38"/>
      <c r="JWS114" s="36"/>
      <c r="JWT114" s="38"/>
      <c r="JWU114" s="38"/>
      <c r="JXA114" s="36"/>
      <c r="JXB114" s="38"/>
      <c r="JXC114" s="38"/>
      <c r="JXI114" s="36"/>
      <c r="JXJ114" s="38"/>
      <c r="JXK114" s="38"/>
      <c r="JXQ114" s="36"/>
      <c r="JXR114" s="38"/>
      <c r="JXS114" s="38"/>
      <c r="JXY114" s="36"/>
      <c r="JXZ114" s="38"/>
      <c r="JYA114" s="38"/>
      <c r="JYG114" s="36"/>
      <c r="JYH114" s="38"/>
      <c r="JYI114" s="38"/>
      <c r="JYO114" s="36"/>
      <c r="JYP114" s="38"/>
      <c r="JYQ114" s="38"/>
      <c r="JYW114" s="36"/>
      <c r="JYX114" s="38"/>
      <c r="JYY114" s="38"/>
      <c r="JZE114" s="36"/>
      <c r="JZF114" s="38"/>
      <c r="JZG114" s="38"/>
      <c r="JZM114" s="36"/>
      <c r="JZN114" s="38"/>
      <c r="JZO114" s="38"/>
      <c r="JZU114" s="36"/>
      <c r="JZV114" s="38"/>
      <c r="JZW114" s="38"/>
      <c r="KAC114" s="36"/>
      <c r="KAD114" s="38"/>
      <c r="KAE114" s="38"/>
      <c r="KAK114" s="36"/>
      <c r="KAL114" s="38"/>
      <c r="KAM114" s="38"/>
      <c r="KAS114" s="36"/>
      <c r="KAT114" s="38"/>
      <c r="KAU114" s="38"/>
      <c r="KBA114" s="36"/>
      <c r="KBB114" s="38"/>
      <c r="KBC114" s="38"/>
      <c r="KBI114" s="36"/>
      <c r="KBJ114" s="38"/>
      <c r="KBK114" s="38"/>
      <c r="KBQ114" s="36"/>
      <c r="KBR114" s="38"/>
      <c r="KBS114" s="38"/>
      <c r="KBY114" s="36"/>
      <c r="KBZ114" s="38"/>
      <c r="KCA114" s="38"/>
      <c r="KCG114" s="36"/>
      <c r="KCH114" s="38"/>
      <c r="KCI114" s="38"/>
      <c r="KCO114" s="36"/>
      <c r="KCP114" s="38"/>
      <c r="KCQ114" s="38"/>
      <c r="KCW114" s="36"/>
      <c r="KCX114" s="38"/>
      <c r="KCY114" s="38"/>
      <c r="KDE114" s="36"/>
      <c r="KDF114" s="38"/>
      <c r="KDG114" s="38"/>
      <c r="KDM114" s="36"/>
      <c r="KDN114" s="38"/>
      <c r="KDO114" s="38"/>
      <c r="KDU114" s="36"/>
      <c r="KDV114" s="38"/>
      <c r="KDW114" s="38"/>
      <c r="KEC114" s="36"/>
      <c r="KED114" s="38"/>
      <c r="KEE114" s="38"/>
      <c r="KEK114" s="36"/>
      <c r="KEL114" s="38"/>
      <c r="KEM114" s="38"/>
      <c r="KES114" s="36"/>
      <c r="KET114" s="38"/>
      <c r="KEU114" s="38"/>
      <c r="KFA114" s="36"/>
      <c r="KFB114" s="38"/>
      <c r="KFC114" s="38"/>
      <c r="KFI114" s="36"/>
      <c r="KFJ114" s="38"/>
      <c r="KFK114" s="38"/>
      <c r="KFQ114" s="36"/>
      <c r="KFR114" s="38"/>
      <c r="KFS114" s="38"/>
      <c r="KFY114" s="36"/>
      <c r="KFZ114" s="38"/>
      <c r="KGA114" s="38"/>
      <c r="KGG114" s="36"/>
      <c r="KGH114" s="38"/>
      <c r="KGI114" s="38"/>
      <c r="KGO114" s="36"/>
      <c r="KGP114" s="38"/>
      <c r="KGQ114" s="38"/>
      <c r="KGW114" s="36"/>
      <c r="KGX114" s="38"/>
      <c r="KGY114" s="38"/>
      <c r="KHE114" s="36"/>
      <c r="KHF114" s="38"/>
      <c r="KHG114" s="38"/>
      <c r="KHM114" s="36"/>
      <c r="KHN114" s="38"/>
      <c r="KHO114" s="38"/>
      <c r="KHU114" s="36"/>
      <c r="KHV114" s="38"/>
      <c r="KHW114" s="38"/>
      <c r="KIC114" s="36"/>
      <c r="KID114" s="38"/>
      <c r="KIE114" s="38"/>
      <c r="KIK114" s="36"/>
      <c r="KIL114" s="38"/>
      <c r="KIM114" s="38"/>
      <c r="KIS114" s="36"/>
      <c r="KIT114" s="38"/>
      <c r="KIU114" s="38"/>
      <c r="KJA114" s="36"/>
      <c r="KJB114" s="38"/>
      <c r="KJC114" s="38"/>
      <c r="KJI114" s="36"/>
      <c r="KJJ114" s="38"/>
      <c r="KJK114" s="38"/>
      <c r="KJQ114" s="36"/>
      <c r="KJR114" s="38"/>
      <c r="KJS114" s="38"/>
      <c r="KJY114" s="36"/>
      <c r="KJZ114" s="38"/>
      <c r="KKA114" s="38"/>
      <c r="KKG114" s="36"/>
      <c r="KKH114" s="38"/>
      <c r="KKI114" s="38"/>
      <c r="KKO114" s="36"/>
      <c r="KKP114" s="38"/>
      <c r="KKQ114" s="38"/>
      <c r="KKW114" s="36"/>
      <c r="KKX114" s="38"/>
      <c r="KKY114" s="38"/>
      <c r="KLE114" s="36"/>
      <c r="KLF114" s="38"/>
      <c r="KLG114" s="38"/>
      <c r="KLM114" s="36"/>
      <c r="KLN114" s="38"/>
      <c r="KLO114" s="38"/>
      <c r="KLU114" s="36"/>
      <c r="KLV114" s="38"/>
      <c r="KLW114" s="38"/>
      <c r="KMC114" s="36"/>
      <c r="KMD114" s="38"/>
      <c r="KME114" s="38"/>
      <c r="KMK114" s="36"/>
      <c r="KML114" s="38"/>
      <c r="KMM114" s="38"/>
      <c r="KMS114" s="36"/>
      <c r="KMT114" s="38"/>
      <c r="KMU114" s="38"/>
      <c r="KNA114" s="36"/>
      <c r="KNB114" s="38"/>
      <c r="KNC114" s="38"/>
      <c r="KNI114" s="36"/>
      <c r="KNJ114" s="38"/>
      <c r="KNK114" s="38"/>
      <c r="KNQ114" s="36"/>
      <c r="KNR114" s="38"/>
      <c r="KNS114" s="38"/>
      <c r="KNY114" s="36"/>
      <c r="KNZ114" s="38"/>
      <c r="KOA114" s="38"/>
      <c r="KOG114" s="36"/>
      <c r="KOH114" s="38"/>
      <c r="KOI114" s="38"/>
      <c r="KOO114" s="36"/>
      <c r="KOP114" s="38"/>
      <c r="KOQ114" s="38"/>
      <c r="KOW114" s="36"/>
      <c r="KOX114" s="38"/>
      <c r="KOY114" s="38"/>
      <c r="KPE114" s="36"/>
      <c r="KPF114" s="38"/>
      <c r="KPG114" s="38"/>
      <c r="KPM114" s="36"/>
      <c r="KPN114" s="38"/>
      <c r="KPO114" s="38"/>
      <c r="KPU114" s="36"/>
      <c r="KPV114" s="38"/>
      <c r="KPW114" s="38"/>
      <c r="KQC114" s="36"/>
      <c r="KQD114" s="38"/>
      <c r="KQE114" s="38"/>
      <c r="KQK114" s="36"/>
      <c r="KQL114" s="38"/>
      <c r="KQM114" s="38"/>
      <c r="KQS114" s="36"/>
      <c r="KQT114" s="38"/>
      <c r="KQU114" s="38"/>
      <c r="KRA114" s="36"/>
      <c r="KRB114" s="38"/>
      <c r="KRC114" s="38"/>
      <c r="KRI114" s="36"/>
      <c r="KRJ114" s="38"/>
      <c r="KRK114" s="38"/>
      <c r="KRQ114" s="36"/>
      <c r="KRR114" s="38"/>
      <c r="KRS114" s="38"/>
      <c r="KRY114" s="36"/>
      <c r="KRZ114" s="38"/>
      <c r="KSA114" s="38"/>
      <c r="KSG114" s="36"/>
      <c r="KSH114" s="38"/>
      <c r="KSI114" s="38"/>
      <c r="KSO114" s="36"/>
      <c r="KSP114" s="38"/>
      <c r="KSQ114" s="38"/>
      <c r="KSW114" s="36"/>
      <c r="KSX114" s="38"/>
      <c r="KSY114" s="38"/>
      <c r="KTE114" s="36"/>
      <c r="KTF114" s="38"/>
      <c r="KTG114" s="38"/>
      <c r="KTM114" s="36"/>
      <c r="KTN114" s="38"/>
      <c r="KTO114" s="38"/>
      <c r="KTU114" s="36"/>
      <c r="KTV114" s="38"/>
      <c r="KTW114" s="38"/>
      <c r="KUC114" s="36"/>
      <c r="KUD114" s="38"/>
      <c r="KUE114" s="38"/>
      <c r="KUK114" s="36"/>
      <c r="KUL114" s="38"/>
      <c r="KUM114" s="38"/>
      <c r="KUS114" s="36"/>
      <c r="KUT114" s="38"/>
      <c r="KUU114" s="38"/>
      <c r="KVA114" s="36"/>
      <c r="KVB114" s="38"/>
      <c r="KVC114" s="38"/>
      <c r="KVI114" s="36"/>
      <c r="KVJ114" s="38"/>
      <c r="KVK114" s="38"/>
      <c r="KVQ114" s="36"/>
      <c r="KVR114" s="38"/>
      <c r="KVS114" s="38"/>
      <c r="KVY114" s="36"/>
      <c r="KVZ114" s="38"/>
      <c r="KWA114" s="38"/>
      <c r="KWG114" s="36"/>
      <c r="KWH114" s="38"/>
      <c r="KWI114" s="38"/>
      <c r="KWO114" s="36"/>
      <c r="KWP114" s="38"/>
      <c r="KWQ114" s="38"/>
      <c r="KWW114" s="36"/>
      <c r="KWX114" s="38"/>
      <c r="KWY114" s="38"/>
      <c r="KXE114" s="36"/>
      <c r="KXF114" s="38"/>
      <c r="KXG114" s="38"/>
      <c r="KXM114" s="36"/>
      <c r="KXN114" s="38"/>
      <c r="KXO114" s="38"/>
      <c r="KXU114" s="36"/>
      <c r="KXV114" s="38"/>
      <c r="KXW114" s="38"/>
      <c r="KYC114" s="36"/>
      <c r="KYD114" s="38"/>
      <c r="KYE114" s="38"/>
      <c r="KYK114" s="36"/>
      <c r="KYL114" s="38"/>
      <c r="KYM114" s="38"/>
      <c r="KYS114" s="36"/>
      <c r="KYT114" s="38"/>
      <c r="KYU114" s="38"/>
      <c r="KZA114" s="36"/>
      <c r="KZB114" s="38"/>
      <c r="KZC114" s="38"/>
      <c r="KZI114" s="36"/>
      <c r="KZJ114" s="38"/>
      <c r="KZK114" s="38"/>
      <c r="KZQ114" s="36"/>
      <c r="KZR114" s="38"/>
      <c r="KZS114" s="38"/>
      <c r="KZY114" s="36"/>
      <c r="KZZ114" s="38"/>
      <c r="LAA114" s="38"/>
      <c r="LAG114" s="36"/>
      <c r="LAH114" s="38"/>
      <c r="LAI114" s="38"/>
      <c r="LAO114" s="36"/>
      <c r="LAP114" s="38"/>
      <c r="LAQ114" s="38"/>
      <c r="LAW114" s="36"/>
      <c r="LAX114" s="38"/>
      <c r="LAY114" s="38"/>
      <c r="LBE114" s="36"/>
      <c r="LBF114" s="38"/>
      <c r="LBG114" s="38"/>
      <c r="LBM114" s="36"/>
      <c r="LBN114" s="38"/>
      <c r="LBO114" s="38"/>
      <c r="LBU114" s="36"/>
      <c r="LBV114" s="38"/>
      <c r="LBW114" s="38"/>
      <c r="LCC114" s="36"/>
      <c r="LCD114" s="38"/>
      <c r="LCE114" s="38"/>
      <c r="LCK114" s="36"/>
      <c r="LCL114" s="38"/>
      <c r="LCM114" s="38"/>
      <c r="LCS114" s="36"/>
      <c r="LCT114" s="38"/>
      <c r="LCU114" s="38"/>
      <c r="LDA114" s="36"/>
      <c r="LDB114" s="38"/>
      <c r="LDC114" s="38"/>
      <c r="LDI114" s="36"/>
      <c r="LDJ114" s="38"/>
      <c r="LDK114" s="38"/>
      <c r="LDQ114" s="36"/>
      <c r="LDR114" s="38"/>
      <c r="LDS114" s="38"/>
      <c r="LDY114" s="36"/>
      <c r="LDZ114" s="38"/>
      <c r="LEA114" s="38"/>
      <c r="LEG114" s="36"/>
      <c r="LEH114" s="38"/>
      <c r="LEI114" s="38"/>
      <c r="LEO114" s="36"/>
      <c r="LEP114" s="38"/>
      <c r="LEQ114" s="38"/>
      <c r="LEW114" s="36"/>
      <c r="LEX114" s="38"/>
      <c r="LEY114" s="38"/>
      <c r="LFE114" s="36"/>
      <c r="LFF114" s="38"/>
      <c r="LFG114" s="38"/>
      <c r="LFM114" s="36"/>
      <c r="LFN114" s="38"/>
      <c r="LFO114" s="38"/>
      <c r="LFU114" s="36"/>
      <c r="LFV114" s="38"/>
      <c r="LFW114" s="38"/>
      <c r="LGC114" s="36"/>
      <c r="LGD114" s="38"/>
      <c r="LGE114" s="38"/>
      <c r="LGK114" s="36"/>
      <c r="LGL114" s="38"/>
      <c r="LGM114" s="38"/>
      <c r="LGS114" s="36"/>
      <c r="LGT114" s="38"/>
      <c r="LGU114" s="38"/>
      <c r="LHA114" s="36"/>
      <c r="LHB114" s="38"/>
      <c r="LHC114" s="38"/>
      <c r="LHI114" s="36"/>
      <c r="LHJ114" s="38"/>
      <c r="LHK114" s="38"/>
      <c r="LHQ114" s="36"/>
      <c r="LHR114" s="38"/>
      <c r="LHS114" s="38"/>
      <c r="LHY114" s="36"/>
      <c r="LHZ114" s="38"/>
      <c r="LIA114" s="38"/>
      <c r="LIG114" s="36"/>
      <c r="LIH114" s="38"/>
      <c r="LII114" s="38"/>
      <c r="LIO114" s="36"/>
      <c r="LIP114" s="38"/>
      <c r="LIQ114" s="38"/>
      <c r="LIW114" s="36"/>
      <c r="LIX114" s="38"/>
      <c r="LIY114" s="38"/>
      <c r="LJE114" s="36"/>
      <c r="LJF114" s="38"/>
      <c r="LJG114" s="38"/>
      <c r="LJM114" s="36"/>
      <c r="LJN114" s="38"/>
      <c r="LJO114" s="38"/>
      <c r="LJU114" s="36"/>
      <c r="LJV114" s="38"/>
      <c r="LJW114" s="38"/>
      <c r="LKC114" s="36"/>
      <c r="LKD114" s="38"/>
      <c r="LKE114" s="38"/>
      <c r="LKK114" s="36"/>
      <c r="LKL114" s="38"/>
      <c r="LKM114" s="38"/>
      <c r="LKS114" s="36"/>
      <c r="LKT114" s="38"/>
      <c r="LKU114" s="38"/>
      <c r="LLA114" s="36"/>
      <c r="LLB114" s="38"/>
      <c r="LLC114" s="38"/>
      <c r="LLI114" s="36"/>
      <c r="LLJ114" s="38"/>
      <c r="LLK114" s="38"/>
      <c r="LLQ114" s="36"/>
      <c r="LLR114" s="38"/>
      <c r="LLS114" s="38"/>
      <c r="LLY114" s="36"/>
      <c r="LLZ114" s="38"/>
      <c r="LMA114" s="38"/>
      <c r="LMG114" s="36"/>
      <c r="LMH114" s="38"/>
      <c r="LMI114" s="38"/>
      <c r="LMO114" s="36"/>
      <c r="LMP114" s="38"/>
      <c r="LMQ114" s="38"/>
      <c r="LMW114" s="36"/>
      <c r="LMX114" s="38"/>
      <c r="LMY114" s="38"/>
      <c r="LNE114" s="36"/>
      <c r="LNF114" s="38"/>
      <c r="LNG114" s="38"/>
      <c r="LNM114" s="36"/>
      <c r="LNN114" s="38"/>
      <c r="LNO114" s="38"/>
      <c r="LNU114" s="36"/>
      <c r="LNV114" s="38"/>
      <c r="LNW114" s="38"/>
      <c r="LOC114" s="36"/>
      <c r="LOD114" s="38"/>
      <c r="LOE114" s="38"/>
      <c r="LOK114" s="36"/>
      <c r="LOL114" s="38"/>
      <c r="LOM114" s="38"/>
      <c r="LOS114" s="36"/>
      <c r="LOT114" s="38"/>
      <c r="LOU114" s="38"/>
      <c r="LPA114" s="36"/>
      <c r="LPB114" s="38"/>
      <c r="LPC114" s="38"/>
      <c r="LPI114" s="36"/>
      <c r="LPJ114" s="38"/>
      <c r="LPK114" s="38"/>
      <c r="LPQ114" s="36"/>
      <c r="LPR114" s="38"/>
      <c r="LPS114" s="38"/>
      <c r="LPY114" s="36"/>
      <c r="LPZ114" s="38"/>
      <c r="LQA114" s="38"/>
      <c r="LQG114" s="36"/>
      <c r="LQH114" s="38"/>
      <c r="LQI114" s="38"/>
      <c r="LQO114" s="36"/>
      <c r="LQP114" s="38"/>
      <c r="LQQ114" s="38"/>
      <c r="LQW114" s="36"/>
      <c r="LQX114" s="38"/>
      <c r="LQY114" s="38"/>
      <c r="LRE114" s="36"/>
      <c r="LRF114" s="38"/>
      <c r="LRG114" s="38"/>
      <c r="LRM114" s="36"/>
      <c r="LRN114" s="38"/>
      <c r="LRO114" s="38"/>
      <c r="LRU114" s="36"/>
      <c r="LRV114" s="38"/>
      <c r="LRW114" s="38"/>
      <c r="LSC114" s="36"/>
      <c r="LSD114" s="38"/>
      <c r="LSE114" s="38"/>
      <c r="LSK114" s="36"/>
      <c r="LSL114" s="38"/>
      <c r="LSM114" s="38"/>
      <c r="LSS114" s="36"/>
      <c r="LST114" s="38"/>
      <c r="LSU114" s="38"/>
      <c r="LTA114" s="36"/>
      <c r="LTB114" s="38"/>
      <c r="LTC114" s="38"/>
      <c r="LTI114" s="36"/>
      <c r="LTJ114" s="38"/>
      <c r="LTK114" s="38"/>
      <c r="LTQ114" s="36"/>
      <c r="LTR114" s="38"/>
      <c r="LTS114" s="38"/>
      <c r="LTY114" s="36"/>
      <c r="LTZ114" s="38"/>
      <c r="LUA114" s="38"/>
      <c r="LUG114" s="36"/>
      <c r="LUH114" s="38"/>
      <c r="LUI114" s="38"/>
      <c r="LUO114" s="36"/>
      <c r="LUP114" s="38"/>
      <c r="LUQ114" s="38"/>
      <c r="LUW114" s="36"/>
      <c r="LUX114" s="38"/>
      <c r="LUY114" s="38"/>
      <c r="LVE114" s="36"/>
      <c r="LVF114" s="38"/>
      <c r="LVG114" s="38"/>
      <c r="LVM114" s="36"/>
      <c r="LVN114" s="38"/>
      <c r="LVO114" s="38"/>
      <c r="LVU114" s="36"/>
      <c r="LVV114" s="38"/>
      <c r="LVW114" s="38"/>
      <c r="LWC114" s="36"/>
      <c r="LWD114" s="38"/>
      <c r="LWE114" s="38"/>
      <c r="LWK114" s="36"/>
      <c r="LWL114" s="38"/>
      <c r="LWM114" s="38"/>
      <c r="LWS114" s="36"/>
      <c r="LWT114" s="38"/>
      <c r="LWU114" s="38"/>
      <c r="LXA114" s="36"/>
      <c r="LXB114" s="38"/>
      <c r="LXC114" s="38"/>
      <c r="LXI114" s="36"/>
      <c r="LXJ114" s="38"/>
      <c r="LXK114" s="38"/>
      <c r="LXQ114" s="36"/>
      <c r="LXR114" s="38"/>
      <c r="LXS114" s="38"/>
      <c r="LXY114" s="36"/>
      <c r="LXZ114" s="38"/>
      <c r="LYA114" s="38"/>
      <c r="LYG114" s="36"/>
      <c r="LYH114" s="38"/>
      <c r="LYI114" s="38"/>
      <c r="LYO114" s="36"/>
      <c r="LYP114" s="38"/>
      <c r="LYQ114" s="38"/>
      <c r="LYW114" s="36"/>
      <c r="LYX114" s="38"/>
      <c r="LYY114" s="38"/>
      <c r="LZE114" s="36"/>
      <c r="LZF114" s="38"/>
      <c r="LZG114" s="38"/>
      <c r="LZM114" s="36"/>
      <c r="LZN114" s="38"/>
      <c r="LZO114" s="38"/>
      <c r="LZU114" s="36"/>
      <c r="LZV114" s="38"/>
      <c r="LZW114" s="38"/>
      <c r="MAC114" s="36"/>
      <c r="MAD114" s="38"/>
      <c r="MAE114" s="38"/>
      <c r="MAK114" s="36"/>
      <c r="MAL114" s="38"/>
      <c r="MAM114" s="38"/>
      <c r="MAS114" s="36"/>
      <c r="MAT114" s="38"/>
      <c r="MAU114" s="38"/>
      <c r="MBA114" s="36"/>
      <c r="MBB114" s="38"/>
      <c r="MBC114" s="38"/>
      <c r="MBI114" s="36"/>
      <c r="MBJ114" s="38"/>
      <c r="MBK114" s="38"/>
      <c r="MBQ114" s="36"/>
      <c r="MBR114" s="38"/>
      <c r="MBS114" s="38"/>
      <c r="MBY114" s="36"/>
      <c r="MBZ114" s="38"/>
      <c r="MCA114" s="38"/>
      <c r="MCG114" s="36"/>
      <c r="MCH114" s="38"/>
      <c r="MCI114" s="38"/>
      <c r="MCO114" s="36"/>
      <c r="MCP114" s="38"/>
      <c r="MCQ114" s="38"/>
      <c r="MCW114" s="36"/>
      <c r="MCX114" s="38"/>
      <c r="MCY114" s="38"/>
      <c r="MDE114" s="36"/>
      <c r="MDF114" s="38"/>
      <c r="MDG114" s="38"/>
      <c r="MDM114" s="36"/>
      <c r="MDN114" s="38"/>
      <c r="MDO114" s="38"/>
      <c r="MDU114" s="36"/>
      <c r="MDV114" s="38"/>
      <c r="MDW114" s="38"/>
      <c r="MEC114" s="36"/>
      <c r="MED114" s="38"/>
      <c r="MEE114" s="38"/>
      <c r="MEK114" s="36"/>
      <c r="MEL114" s="38"/>
      <c r="MEM114" s="38"/>
      <c r="MES114" s="36"/>
      <c r="MET114" s="38"/>
      <c r="MEU114" s="38"/>
      <c r="MFA114" s="36"/>
      <c r="MFB114" s="38"/>
      <c r="MFC114" s="38"/>
      <c r="MFI114" s="36"/>
      <c r="MFJ114" s="38"/>
      <c r="MFK114" s="38"/>
      <c r="MFQ114" s="36"/>
      <c r="MFR114" s="38"/>
      <c r="MFS114" s="38"/>
      <c r="MFY114" s="36"/>
      <c r="MFZ114" s="38"/>
      <c r="MGA114" s="38"/>
      <c r="MGG114" s="36"/>
      <c r="MGH114" s="38"/>
      <c r="MGI114" s="38"/>
      <c r="MGO114" s="36"/>
      <c r="MGP114" s="38"/>
      <c r="MGQ114" s="38"/>
      <c r="MGW114" s="36"/>
      <c r="MGX114" s="38"/>
      <c r="MGY114" s="38"/>
      <c r="MHE114" s="36"/>
      <c r="MHF114" s="38"/>
      <c r="MHG114" s="38"/>
      <c r="MHM114" s="36"/>
      <c r="MHN114" s="38"/>
      <c r="MHO114" s="38"/>
      <c r="MHU114" s="36"/>
      <c r="MHV114" s="38"/>
      <c r="MHW114" s="38"/>
      <c r="MIC114" s="36"/>
      <c r="MID114" s="38"/>
      <c r="MIE114" s="38"/>
      <c r="MIK114" s="36"/>
      <c r="MIL114" s="38"/>
      <c r="MIM114" s="38"/>
      <c r="MIS114" s="36"/>
      <c r="MIT114" s="38"/>
      <c r="MIU114" s="38"/>
      <c r="MJA114" s="36"/>
      <c r="MJB114" s="38"/>
      <c r="MJC114" s="38"/>
      <c r="MJI114" s="36"/>
      <c r="MJJ114" s="38"/>
      <c r="MJK114" s="38"/>
      <c r="MJQ114" s="36"/>
      <c r="MJR114" s="38"/>
      <c r="MJS114" s="38"/>
      <c r="MJY114" s="36"/>
      <c r="MJZ114" s="38"/>
      <c r="MKA114" s="38"/>
      <c r="MKG114" s="36"/>
      <c r="MKH114" s="38"/>
      <c r="MKI114" s="38"/>
      <c r="MKO114" s="36"/>
      <c r="MKP114" s="38"/>
      <c r="MKQ114" s="38"/>
      <c r="MKW114" s="36"/>
      <c r="MKX114" s="38"/>
      <c r="MKY114" s="38"/>
      <c r="MLE114" s="36"/>
      <c r="MLF114" s="38"/>
      <c r="MLG114" s="38"/>
      <c r="MLM114" s="36"/>
      <c r="MLN114" s="38"/>
      <c r="MLO114" s="38"/>
      <c r="MLU114" s="36"/>
      <c r="MLV114" s="38"/>
      <c r="MLW114" s="38"/>
      <c r="MMC114" s="36"/>
      <c r="MMD114" s="38"/>
      <c r="MME114" s="38"/>
      <c r="MMK114" s="36"/>
      <c r="MML114" s="38"/>
      <c r="MMM114" s="38"/>
      <c r="MMS114" s="36"/>
      <c r="MMT114" s="38"/>
      <c r="MMU114" s="38"/>
      <c r="MNA114" s="36"/>
      <c r="MNB114" s="38"/>
      <c r="MNC114" s="38"/>
      <c r="MNI114" s="36"/>
      <c r="MNJ114" s="38"/>
      <c r="MNK114" s="38"/>
      <c r="MNQ114" s="36"/>
      <c r="MNR114" s="38"/>
      <c r="MNS114" s="38"/>
      <c r="MNY114" s="36"/>
      <c r="MNZ114" s="38"/>
      <c r="MOA114" s="38"/>
      <c r="MOG114" s="36"/>
      <c r="MOH114" s="38"/>
      <c r="MOI114" s="38"/>
      <c r="MOO114" s="36"/>
      <c r="MOP114" s="38"/>
      <c r="MOQ114" s="38"/>
      <c r="MOW114" s="36"/>
      <c r="MOX114" s="38"/>
      <c r="MOY114" s="38"/>
      <c r="MPE114" s="36"/>
      <c r="MPF114" s="38"/>
      <c r="MPG114" s="38"/>
      <c r="MPM114" s="36"/>
      <c r="MPN114" s="38"/>
      <c r="MPO114" s="38"/>
      <c r="MPU114" s="36"/>
      <c r="MPV114" s="38"/>
      <c r="MPW114" s="38"/>
      <c r="MQC114" s="36"/>
      <c r="MQD114" s="38"/>
      <c r="MQE114" s="38"/>
      <c r="MQK114" s="36"/>
      <c r="MQL114" s="38"/>
      <c r="MQM114" s="38"/>
      <c r="MQS114" s="36"/>
      <c r="MQT114" s="38"/>
      <c r="MQU114" s="38"/>
      <c r="MRA114" s="36"/>
      <c r="MRB114" s="38"/>
      <c r="MRC114" s="38"/>
      <c r="MRI114" s="36"/>
      <c r="MRJ114" s="38"/>
      <c r="MRK114" s="38"/>
      <c r="MRQ114" s="36"/>
      <c r="MRR114" s="38"/>
      <c r="MRS114" s="38"/>
      <c r="MRY114" s="36"/>
      <c r="MRZ114" s="38"/>
      <c r="MSA114" s="38"/>
      <c r="MSG114" s="36"/>
      <c r="MSH114" s="38"/>
      <c r="MSI114" s="38"/>
      <c r="MSO114" s="36"/>
      <c r="MSP114" s="38"/>
      <c r="MSQ114" s="38"/>
      <c r="MSW114" s="36"/>
      <c r="MSX114" s="38"/>
      <c r="MSY114" s="38"/>
      <c r="MTE114" s="36"/>
      <c r="MTF114" s="38"/>
      <c r="MTG114" s="38"/>
      <c r="MTM114" s="36"/>
      <c r="MTN114" s="38"/>
      <c r="MTO114" s="38"/>
      <c r="MTU114" s="36"/>
      <c r="MTV114" s="38"/>
      <c r="MTW114" s="38"/>
      <c r="MUC114" s="36"/>
      <c r="MUD114" s="38"/>
      <c r="MUE114" s="38"/>
      <c r="MUK114" s="36"/>
      <c r="MUL114" s="38"/>
      <c r="MUM114" s="38"/>
      <c r="MUS114" s="36"/>
      <c r="MUT114" s="38"/>
      <c r="MUU114" s="38"/>
      <c r="MVA114" s="36"/>
      <c r="MVB114" s="38"/>
      <c r="MVC114" s="38"/>
      <c r="MVI114" s="36"/>
      <c r="MVJ114" s="38"/>
      <c r="MVK114" s="38"/>
      <c r="MVQ114" s="36"/>
      <c r="MVR114" s="38"/>
      <c r="MVS114" s="38"/>
      <c r="MVY114" s="36"/>
      <c r="MVZ114" s="38"/>
      <c r="MWA114" s="38"/>
      <c r="MWG114" s="36"/>
      <c r="MWH114" s="38"/>
      <c r="MWI114" s="38"/>
      <c r="MWO114" s="36"/>
      <c r="MWP114" s="38"/>
      <c r="MWQ114" s="38"/>
      <c r="MWW114" s="36"/>
      <c r="MWX114" s="38"/>
      <c r="MWY114" s="38"/>
      <c r="MXE114" s="36"/>
      <c r="MXF114" s="38"/>
      <c r="MXG114" s="38"/>
      <c r="MXM114" s="36"/>
      <c r="MXN114" s="38"/>
      <c r="MXO114" s="38"/>
      <c r="MXU114" s="36"/>
      <c r="MXV114" s="38"/>
      <c r="MXW114" s="38"/>
      <c r="MYC114" s="36"/>
      <c r="MYD114" s="38"/>
      <c r="MYE114" s="38"/>
      <c r="MYK114" s="36"/>
      <c r="MYL114" s="38"/>
      <c r="MYM114" s="38"/>
      <c r="MYS114" s="36"/>
      <c r="MYT114" s="38"/>
      <c r="MYU114" s="38"/>
      <c r="MZA114" s="36"/>
      <c r="MZB114" s="38"/>
      <c r="MZC114" s="38"/>
      <c r="MZI114" s="36"/>
      <c r="MZJ114" s="38"/>
      <c r="MZK114" s="38"/>
      <c r="MZQ114" s="36"/>
      <c r="MZR114" s="38"/>
      <c r="MZS114" s="38"/>
      <c r="MZY114" s="36"/>
      <c r="MZZ114" s="38"/>
      <c r="NAA114" s="38"/>
      <c r="NAG114" s="36"/>
      <c r="NAH114" s="38"/>
      <c r="NAI114" s="38"/>
      <c r="NAO114" s="36"/>
      <c r="NAP114" s="38"/>
      <c r="NAQ114" s="38"/>
      <c r="NAW114" s="36"/>
      <c r="NAX114" s="38"/>
      <c r="NAY114" s="38"/>
      <c r="NBE114" s="36"/>
      <c r="NBF114" s="38"/>
      <c r="NBG114" s="38"/>
      <c r="NBM114" s="36"/>
      <c r="NBN114" s="38"/>
      <c r="NBO114" s="38"/>
      <c r="NBU114" s="36"/>
      <c r="NBV114" s="38"/>
      <c r="NBW114" s="38"/>
      <c r="NCC114" s="36"/>
      <c r="NCD114" s="38"/>
      <c r="NCE114" s="38"/>
      <c r="NCK114" s="36"/>
      <c r="NCL114" s="38"/>
      <c r="NCM114" s="38"/>
      <c r="NCS114" s="36"/>
      <c r="NCT114" s="38"/>
      <c r="NCU114" s="38"/>
      <c r="NDA114" s="36"/>
      <c r="NDB114" s="38"/>
      <c r="NDC114" s="38"/>
      <c r="NDI114" s="36"/>
      <c r="NDJ114" s="38"/>
      <c r="NDK114" s="38"/>
      <c r="NDQ114" s="36"/>
      <c r="NDR114" s="38"/>
      <c r="NDS114" s="38"/>
      <c r="NDY114" s="36"/>
      <c r="NDZ114" s="38"/>
      <c r="NEA114" s="38"/>
      <c r="NEG114" s="36"/>
      <c r="NEH114" s="38"/>
      <c r="NEI114" s="38"/>
      <c r="NEO114" s="36"/>
      <c r="NEP114" s="38"/>
      <c r="NEQ114" s="38"/>
      <c r="NEW114" s="36"/>
      <c r="NEX114" s="38"/>
      <c r="NEY114" s="38"/>
      <c r="NFE114" s="36"/>
      <c r="NFF114" s="38"/>
      <c r="NFG114" s="38"/>
      <c r="NFM114" s="36"/>
      <c r="NFN114" s="38"/>
      <c r="NFO114" s="38"/>
      <c r="NFU114" s="36"/>
      <c r="NFV114" s="38"/>
      <c r="NFW114" s="38"/>
      <c r="NGC114" s="36"/>
      <c r="NGD114" s="38"/>
      <c r="NGE114" s="38"/>
      <c r="NGK114" s="36"/>
      <c r="NGL114" s="38"/>
      <c r="NGM114" s="38"/>
      <c r="NGS114" s="36"/>
      <c r="NGT114" s="38"/>
      <c r="NGU114" s="38"/>
      <c r="NHA114" s="36"/>
      <c r="NHB114" s="38"/>
      <c r="NHC114" s="38"/>
      <c r="NHI114" s="36"/>
      <c r="NHJ114" s="38"/>
      <c r="NHK114" s="38"/>
      <c r="NHQ114" s="36"/>
      <c r="NHR114" s="38"/>
      <c r="NHS114" s="38"/>
      <c r="NHY114" s="36"/>
      <c r="NHZ114" s="38"/>
      <c r="NIA114" s="38"/>
      <c r="NIG114" s="36"/>
      <c r="NIH114" s="38"/>
      <c r="NII114" s="38"/>
      <c r="NIO114" s="36"/>
      <c r="NIP114" s="38"/>
      <c r="NIQ114" s="38"/>
      <c r="NIW114" s="36"/>
      <c r="NIX114" s="38"/>
      <c r="NIY114" s="38"/>
      <c r="NJE114" s="36"/>
      <c r="NJF114" s="38"/>
      <c r="NJG114" s="38"/>
      <c r="NJM114" s="36"/>
      <c r="NJN114" s="38"/>
      <c r="NJO114" s="38"/>
      <c r="NJU114" s="36"/>
      <c r="NJV114" s="38"/>
      <c r="NJW114" s="38"/>
      <c r="NKC114" s="36"/>
      <c r="NKD114" s="38"/>
      <c r="NKE114" s="38"/>
      <c r="NKK114" s="36"/>
      <c r="NKL114" s="38"/>
      <c r="NKM114" s="38"/>
      <c r="NKS114" s="36"/>
      <c r="NKT114" s="38"/>
      <c r="NKU114" s="38"/>
      <c r="NLA114" s="36"/>
      <c r="NLB114" s="38"/>
      <c r="NLC114" s="38"/>
      <c r="NLI114" s="36"/>
      <c r="NLJ114" s="38"/>
      <c r="NLK114" s="38"/>
      <c r="NLQ114" s="36"/>
      <c r="NLR114" s="38"/>
      <c r="NLS114" s="38"/>
      <c r="NLY114" s="36"/>
      <c r="NLZ114" s="38"/>
      <c r="NMA114" s="38"/>
      <c r="NMG114" s="36"/>
      <c r="NMH114" s="38"/>
      <c r="NMI114" s="38"/>
      <c r="NMO114" s="36"/>
      <c r="NMP114" s="38"/>
      <c r="NMQ114" s="38"/>
      <c r="NMW114" s="36"/>
      <c r="NMX114" s="38"/>
      <c r="NMY114" s="38"/>
      <c r="NNE114" s="36"/>
      <c r="NNF114" s="38"/>
      <c r="NNG114" s="38"/>
      <c r="NNM114" s="36"/>
      <c r="NNN114" s="38"/>
      <c r="NNO114" s="38"/>
      <c r="NNU114" s="36"/>
      <c r="NNV114" s="38"/>
      <c r="NNW114" s="38"/>
      <c r="NOC114" s="36"/>
      <c r="NOD114" s="38"/>
      <c r="NOE114" s="38"/>
      <c r="NOK114" s="36"/>
      <c r="NOL114" s="38"/>
      <c r="NOM114" s="38"/>
      <c r="NOS114" s="36"/>
      <c r="NOT114" s="38"/>
      <c r="NOU114" s="38"/>
      <c r="NPA114" s="36"/>
      <c r="NPB114" s="38"/>
      <c r="NPC114" s="38"/>
      <c r="NPI114" s="36"/>
      <c r="NPJ114" s="38"/>
      <c r="NPK114" s="38"/>
      <c r="NPQ114" s="36"/>
      <c r="NPR114" s="38"/>
      <c r="NPS114" s="38"/>
      <c r="NPY114" s="36"/>
      <c r="NPZ114" s="38"/>
      <c r="NQA114" s="38"/>
      <c r="NQG114" s="36"/>
      <c r="NQH114" s="38"/>
      <c r="NQI114" s="38"/>
      <c r="NQO114" s="36"/>
      <c r="NQP114" s="38"/>
      <c r="NQQ114" s="38"/>
      <c r="NQW114" s="36"/>
      <c r="NQX114" s="38"/>
      <c r="NQY114" s="38"/>
      <c r="NRE114" s="36"/>
      <c r="NRF114" s="38"/>
      <c r="NRG114" s="38"/>
      <c r="NRM114" s="36"/>
      <c r="NRN114" s="38"/>
      <c r="NRO114" s="38"/>
      <c r="NRU114" s="36"/>
      <c r="NRV114" s="38"/>
      <c r="NRW114" s="38"/>
      <c r="NSC114" s="36"/>
      <c r="NSD114" s="38"/>
      <c r="NSE114" s="38"/>
      <c r="NSK114" s="36"/>
      <c r="NSL114" s="38"/>
      <c r="NSM114" s="38"/>
      <c r="NSS114" s="36"/>
      <c r="NST114" s="38"/>
      <c r="NSU114" s="38"/>
      <c r="NTA114" s="36"/>
      <c r="NTB114" s="38"/>
      <c r="NTC114" s="38"/>
      <c r="NTI114" s="36"/>
      <c r="NTJ114" s="38"/>
      <c r="NTK114" s="38"/>
      <c r="NTQ114" s="36"/>
      <c r="NTR114" s="38"/>
      <c r="NTS114" s="38"/>
      <c r="NTY114" s="36"/>
      <c r="NTZ114" s="38"/>
      <c r="NUA114" s="38"/>
      <c r="NUG114" s="36"/>
      <c r="NUH114" s="38"/>
      <c r="NUI114" s="38"/>
      <c r="NUO114" s="36"/>
      <c r="NUP114" s="38"/>
      <c r="NUQ114" s="38"/>
      <c r="NUW114" s="36"/>
      <c r="NUX114" s="38"/>
      <c r="NUY114" s="38"/>
      <c r="NVE114" s="36"/>
      <c r="NVF114" s="38"/>
      <c r="NVG114" s="38"/>
      <c r="NVM114" s="36"/>
      <c r="NVN114" s="38"/>
      <c r="NVO114" s="38"/>
      <c r="NVU114" s="36"/>
      <c r="NVV114" s="38"/>
      <c r="NVW114" s="38"/>
      <c r="NWC114" s="36"/>
      <c r="NWD114" s="38"/>
      <c r="NWE114" s="38"/>
      <c r="NWK114" s="36"/>
      <c r="NWL114" s="38"/>
      <c r="NWM114" s="38"/>
      <c r="NWS114" s="36"/>
      <c r="NWT114" s="38"/>
      <c r="NWU114" s="38"/>
      <c r="NXA114" s="36"/>
      <c r="NXB114" s="38"/>
      <c r="NXC114" s="38"/>
      <c r="NXI114" s="36"/>
      <c r="NXJ114" s="38"/>
      <c r="NXK114" s="38"/>
      <c r="NXQ114" s="36"/>
      <c r="NXR114" s="38"/>
      <c r="NXS114" s="38"/>
      <c r="NXY114" s="36"/>
      <c r="NXZ114" s="38"/>
      <c r="NYA114" s="38"/>
      <c r="NYG114" s="36"/>
      <c r="NYH114" s="38"/>
      <c r="NYI114" s="38"/>
      <c r="NYO114" s="36"/>
      <c r="NYP114" s="38"/>
      <c r="NYQ114" s="38"/>
      <c r="NYW114" s="36"/>
      <c r="NYX114" s="38"/>
      <c r="NYY114" s="38"/>
      <c r="NZE114" s="36"/>
      <c r="NZF114" s="38"/>
      <c r="NZG114" s="38"/>
      <c r="NZM114" s="36"/>
      <c r="NZN114" s="38"/>
      <c r="NZO114" s="38"/>
      <c r="NZU114" s="36"/>
      <c r="NZV114" s="38"/>
      <c r="NZW114" s="38"/>
      <c r="OAC114" s="36"/>
      <c r="OAD114" s="38"/>
      <c r="OAE114" s="38"/>
      <c r="OAK114" s="36"/>
      <c r="OAL114" s="38"/>
      <c r="OAM114" s="38"/>
      <c r="OAS114" s="36"/>
      <c r="OAT114" s="38"/>
      <c r="OAU114" s="38"/>
      <c r="OBA114" s="36"/>
      <c r="OBB114" s="38"/>
      <c r="OBC114" s="38"/>
      <c r="OBI114" s="36"/>
      <c r="OBJ114" s="38"/>
      <c r="OBK114" s="38"/>
      <c r="OBQ114" s="36"/>
      <c r="OBR114" s="38"/>
      <c r="OBS114" s="38"/>
      <c r="OBY114" s="36"/>
      <c r="OBZ114" s="38"/>
      <c r="OCA114" s="38"/>
      <c r="OCG114" s="36"/>
      <c r="OCH114" s="38"/>
      <c r="OCI114" s="38"/>
      <c r="OCO114" s="36"/>
      <c r="OCP114" s="38"/>
      <c r="OCQ114" s="38"/>
      <c r="OCW114" s="36"/>
      <c r="OCX114" s="38"/>
      <c r="OCY114" s="38"/>
      <c r="ODE114" s="36"/>
      <c r="ODF114" s="38"/>
      <c r="ODG114" s="38"/>
      <c r="ODM114" s="36"/>
      <c r="ODN114" s="38"/>
      <c r="ODO114" s="38"/>
      <c r="ODU114" s="36"/>
      <c r="ODV114" s="38"/>
      <c r="ODW114" s="38"/>
      <c r="OEC114" s="36"/>
      <c r="OED114" s="38"/>
      <c r="OEE114" s="38"/>
      <c r="OEK114" s="36"/>
      <c r="OEL114" s="38"/>
      <c r="OEM114" s="38"/>
      <c r="OES114" s="36"/>
      <c r="OET114" s="38"/>
      <c r="OEU114" s="38"/>
      <c r="OFA114" s="36"/>
      <c r="OFB114" s="38"/>
      <c r="OFC114" s="38"/>
      <c r="OFI114" s="36"/>
      <c r="OFJ114" s="38"/>
      <c r="OFK114" s="38"/>
      <c r="OFQ114" s="36"/>
      <c r="OFR114" s="38"/>
      <c r="OFS114" s="38"/>
      <c r="OFY114" s="36"/>
      <c r="OFZ114" s="38"/>
      <c r="OGA114" s="38"/>
      <c r="OGG114" s="36"/>
      <c r="OGH114" s="38"/>
      <c r="OGI114" s="38"/>
      <c r="OGO114" s="36"/>
      <c r="OGP114" s="38"/>
      <c r="OGQ114" s="38"/>
      <c r="OGW114" s="36"/>
      <c r="OGX114" s="38"/>
      <c r="OGY114" s="38"/>
      <c r="OHE114" s="36"/>
      <c r="OHF114" s="38"/>
      <c r="OHG114" s="38"/>
      <c r="OHM114" s="36"/>
      <c r="OHN114" s="38"/>
      <c r="OHO114" s="38"/>
      <c r="OHU114" s="36"/>
      <c r="OHV114" s="38"/>
      <c r="OHW114" s="38"/>
      <c r="OIC114" s="36"/>
      <c r="OID114" s="38"/>
      <c r="OIE114" s="38"/>
      <c r="OIK114" s="36"/>
      <c r="OIL114" s="38"/>
      <c r="OIM114" s="38"/>
      <c r="OIS114" s="36"/>
      <c r="OIT114" s="38"/>
      <c r="OIU114" s="38"/>
      <c r="OJA114" s="36"/>
      <c r="OJB114" s="38"/>
      <c r="OJC114" s="38"/>
      <c r="OJI114" s="36"/>
      <c r="OJJ114" s="38"/>
      <c r="OJK114" s="38"/>
      <c r="OJQ114" s="36"/>
      <c r="OJR114" s="38"/>
      <c r="OJS114" s="38"/>
      <c r="OJY114" s="36"/>
      <c r="OJZ114" s="38"/>
      <c r="OKA114" s="38"/>
      <c r="OKG114" s="36"/>
      <c r="OKH114" s="38"/>
      <c r="OKI114" s="38"/>
      <c r="OKO114" s="36"/>
      <c r="OKP114" s="38"/>
      <c r="OKQ114" s="38"/>
      <c r="OKW114" s="36"/>
      <c r="OKX114" s="38"/>
      <c r="OKY114" s="38"/>
      <c r="OLE114" s="36"/>
      <c r="OLF114" s="38"/>
      <c r="OLG114" s="38"/>
      <c r="OLM114" s="36"/>
      <c r="OLN114" s="38"/>
      <c r="OLO114" s="38"/>
      <c r="OLU114" s="36"/>
      <c r="OLV114" s="38"/>
      <c r="OLW114" s="38"/>
      <c r="OMC114" s="36"/>
      <c r="OMD114" s="38"/>
      <c r="OME114" s="38"/>
      <c r="OMK114" s="36"/>
      <c r="OML114" s="38"/>
      <c r="OMM114" s="38"/>
      <c r="OMS114" s="36"/>
      <c r="OMT114" s="38"/>
      <c r="OMU114" s="38"/>
      <c r="ONA114" s="36"/>
      <c r="ONB114" s="38"/>
      <c r="ONC114" s="38"/>
      <c r="ONI114" s="36"/>
      <c r="ONJ114" s="38"/>
      <c r="ONK114" s="38"/>
      <c r="ONQ114" s="36"/>
      <c r="ONR114" s="38"/>
      <c r="ONS114" s="38"/>
      <c r="ONY114" s="36"/>
      <c r="ONZ114" s="38"/>
      <c r="OOA114" s="38"/>
      <c r="OOG114" s="36"/>
      <c r="OOH114" s="38"/>
      <c r="OOI114" s="38"/>
      <c r="OOO114" s="36"/>
      <c r="OOP114" s="38"/>
      <c r="OOQ114" s="38"/>
      <c r="OOW114" s="36"/>
      <c r="OOX114" s="38"/>
      <c r="OOY114" s="38"/>
      <c r="OPE114" s="36"/>
      <c r="OPF114" s="38"/>
      <c r="OPG114" s="38"/>
      <c r="OPM114" s="36"/>
      <c r="OPN114" s="38"/>
      <c r="OPO114" s="38"/>
      <c r="OPU114" s="36"/>
      <c r="OPV114" s="38"/>
      <c r="OPW114" s="38"/>
      <c r="OQC114" s="36"/>
      <c r="OQD114" s="38"/>
      <c r="OQE114" s="38"/>
      <c r="OQK114" s="36"/>
      <c r="OQL114" s="38"/>
      <c r="OQM114" s="38"/>
      <c r="OQS114" s="36"/>
      <c r="OQT114" s="38"/>
      <c r="OQU114" s="38"/>
      <c r="ORA114" s="36"/>
      <c r="ORB114" s="38"/>
      <c r="ORC114" s="38"/>
      <c r="ORI114" s="36"/>
      <c r="ORJ114" s="38"/>
      <c r="ORK114" s="38"/>
      <c r="ORQ114" s="36"/>
      <c r="ORR114" s="38"/>
      <c r="ORS114" s="38"/>
      <c r="ORY114" s="36"/>
      <c r="ORZ114" s="38"/>
      <c r="OSA114" s="38"/>
      <c r="OSG114" s="36"/>
      <c r="OSH114" s="38"/>
      <c r="OSI114" s="38"/>
      <c r="OSO114" s="36"/>
      <c r="OSP114" s="38"/>
      <c r="OSQ114" s="38"/>
      <c r="OSW114" s="36"/>
      <c r="OSX114" s="38"/>
      <c r="OSY114" s="38"/>
      <c r="OTE114" s="36"/>
      <c r="OTF114" s="38"/>
      <c r="OTG114" s="38"/>
      <c r="OTM114" s="36"/>
      <c r="OTN114" s="38"/>
      <c r="OTO114" s="38"/>
      <c r="OTU114" s="36"/>
      <c r="OTV114" s="38"/>
      <c r="OTW114" s="38"/>
      <c r="OUC114" s="36"/>
      <c r="OUD114" s="38"/>
      <c r="OUE114" s="38"/>
      <c r="OUK114" s="36"/>
      <c r="OUL114" s="38"/>
      <c r="OUM114" s="38"/>
      <c r="OUS114" s="36"/>
      <c r="OUT114" s="38"/>
      <c r="OUU114" s="38"/>
      <c r="OVA114" s="36"/>
      <c r="OVB114" s="38"/>
      <c r="OVC114" s="38"/>
      <c r="OVI114" s="36"/>
      <c r="OVJ114" s="38"/>
      <c r="OVK114" s="38"/>
      <c r="OVQ114" s="36"/>
      <c r="OVR114" s="38"/>
      <c r="OVS114" s="38"/>
      <c r="OVY114" s="36"/>
      <c r="OVZ114" s="38"/>
      <c r="OWA114" s="38"/>
      <c r="OWG114" s="36"/>
      <c r="OWH114" s="38"/>
      <c r="OWI114" s="38"/>
      <c r="OWO114" s="36"/>
      <c r="OWP114" s="38"/>
      <c r="OWQ114" s="38"/>
      <c r="OWW114" s="36"/>
      <c r="OWX114" s="38"/>
      <c r="OWY114" s="38"/>
      <c r="OXE114" s="36"/>
      <c r="OXF114" s="38"/>
      <c r="OXG114" s="38"/>
      <c r="OXM114" s="36"/>
      <c r="OXN114" s="38"/>
      <c r="OXO114" s="38"/>
      <c r="OXU114" s="36"/>
      <c r="OXV114" s="38"/>
      <c r="OXW114" s="38"/>
      <c r="OYC114" s="36"/>
      <c r="OYD114" s="38"/>
      <c r="OYE114" s="38"/>
      <c r="OYK114" s="36"/>
      <c r="OYL114" s="38"/>
      <c r="OYM114" s="38"/>
      <c r="OYS114" s="36"/>
      <c r="OYT114" s="38"/>
      <c r="OYU114" s="38"/>
      <c r="OZA114" s="36"/>
      <c r="OZB114" s="38"/>
      <c r="OZC114" s="38"/>
      <c r="OZI114" s="36"/>
      <c r="OZJ114" s="38"/>
      <c r="OZK114" s="38"/>
      <c r="OZQ114" s="36"/>
      <c r="OZR114" s="38"/>
      <c r="OZS114" s="38"/>
      <c r="OZY114" s="36"/>
      <c r="OZZ114" s="38"/>
      <c r="PAA114" s="38"/>
      <c r="PAG114" s="36"/>
      <c r="PAH114" s="38"/>
      <c r="PAI114" s="38"/>
      <c r="PAO114" s="36"/>
      <c r="PAP114" s="38"/>
      <c r="PAQ114" s="38"/>
      <c r="PAW114" s="36"/>
      <c r="PAX114" s="38"/>
      <c r="PAY114" s="38"/>
      <c r="PBE114" s="36"/>
      <c r="PBF114" s="38"/>
      <c r="PBG114" s="38"/>
      <c r="PBM114" s="36"/>
      <c r="PBN114" s="38"/>
      <c r="PBO114" s="38"/>
      <c r="PBU114" s="36"/>
      <c r="PBV114" s="38"/>
      <c r="PBW114" s="38"/>
      <c r="PCC114" s="36"/>
      <c r="PCD114" s="38"/>
      <c r="PCE114" s="38"/>
      <c r="PCK114" s="36"/>
      <c r="PCL114" s="38"/>
      <c r="PCM114" s="38"/>
      <c r="PCS114" s="36"/>
      <c r="PCT114" s="38"/>
      <c r="PCU114" s="38"/>
      <c r="PDA114" s="36"/>
      <c r="PDB114" s="38"/>
      <c r="PDC114" s="38"/>
      <c r="PDI114" s="36"/>
      <c r="PDJ114" s="38"/>
      <c r="PDK114" s="38"/>
      <c r="PDQ114" s="36"/>
      <c r="PDR114" s="38"/>
      <c r="PDS114" s="38"/>
      <c r="PDY114" s="36"/>
      <c r="PDZ114" s="38"/>
      <c r="PEA114" s="38"/>
      <c r="PEG114" s="36"/>
      <c r="PEH114" s="38"/>
      <c r="PEI114" s="38"/>
      <c r="PEO114" s="36"/>
      <c r="PEP114" s="38"/>
      <c r="PEQ114" s="38"/>
      <c r="PEW114" s="36"/>
      <c r="PEX114" s="38"/>
      <c r="PEY114" s="38"/>
      <c r="PFE114" s="36"/>
      <c r="PFF114" s="38"/>
      <c r="PFG114" s="38"/>
      <c r="PFM114" s="36"/>
      <c r="PFN114" s="38"/>
      <c r="PFO114" s="38"/>
      <c r="PFU114" s="36"/>
      <c r="PFV114" s="38"/>
      <c r="PFW114" s="38"/>
      <c r="PGC114" s="36"/>
      <c r="PGD114" s="38"/>
      <c r="PGE114" s="38"/>
      <c r="PGK114" s="36"/>
      <c r="PGL114" s="38"/>
      <c r="PGM114" s="38"/>
      <c r="PGS114" s="36"/>
      <c r="PGT114" s="38"/>
      <c r="PGU114" s="38"/>
      <c r="PHA114" s="36"/>
      <c r="PHB114" s="38"/>
      <c r="PHC114" s="38"/>
      <c r="PHI114" s="36"/>
      <c r="PHJ114" s="38"/>
      <c r="PHK114" s="38"/>
      <c r="PHQ114" s="36"/>
      <c r="PHR114" s="38"/>
      <c r="PHS114" s="38"/>
      <c r="PHY114" s="36"/>
      <c r="PHZ114" s="38"/>
      <c r="PIA114" s="38"/>
      <c r="PIG114" s="36"/>
      <c r="PIH114" s="38"/>
      <c r="PII114" s="38"/>
      <c r="PIO114" s="36"/>
      <c r="PIP114" s="38"/>
      <c r="PIQ114" s="38"/>
      <c r="PIW114" s="36"/>
      <c r="PIX114" s="38"/>
      <c r="PIY114" s="38"/>
      <c r="PJE114" s="36"/>
      <c r="PJF114" s="38"/>
      <c r="PJG114" s="38"/>
      <c r="PJM114" s="36"/>
      <c r="PJN114" s="38"/>
      <c r="PJO114" s="38"/>
      <c r="PJU114" s="36"/>
      <c r="PJV114" s="38"/>
      <c r="PJW114" s="38"/>
      <c r="PKC114" s="36"/>
      <c r="PKD114" s="38"/>
      <c r="PKE114" s="38"/>
      <c r="PKK114" s="36"/>
      <c r="PKL114" s="38"/>
      <c r="PKM114" s="38"/>
      <c r="PKS114" s="36"/>
      <c r="PKT114" s="38"/>
      <c r="PKU114" s="38"/>
      <c r="PLA114" s="36"/>
      <c r="PLB114" s="38"/>
      <c r="PLC114" s="38"/>
      <c r="PLI114" s="36"/>
      <c r="PLJ114" s="38"/>
      <c r="PLK114" s="38"/>
      <c r="PLQ114" s="36"/>
      <c r="PLR114" s="38"/>
      <c r="PLS114" s="38"/>
      <c r="PLY114" s="36"/>
      <c r="PLZ114" s="38"/>
      <c r="PMA114" s="38"/>
      <c r="PMG114" s="36"/>
      <c r="PMH114" s="38"/>
      <c r="PMI114" s="38"/>
      <c r="PMO114" s="36"/>
      <c r="PMP114" s="38"/>
      <c r="PMQ114" s="38"/>
      <c r="PMW114" s="36"/>
      <c r="PMX114" s="38"/>
      <c r="PMY114" s="38"/>
      <c r="PNE114" s="36"/>
      <c r="PNF114" s="38"/>
      <c r="PNG114" s="38"/>
      <c r="PNM114" s="36"/>
      <c r="PNN114" s="38"/>
      <c r="PNO114" s="38"/>
      <c r="PNU114" s="36"/>
      <c r="PNV114" s="38"/>
      <c r="PNW114" s="38"/>
      <c r="POC114" s="36"/>
      <c r="POD114" s="38"/>
      <c r="POE114" s="38"/>
      <c r="POK114" s="36"/>
      <c r="POL114" s="38"/>
      <c r="POM114" s="38"/>
      <c r="POS114" s="36"/>
      <c r="POT114" s="38"/>
      <c r="POU114" s="38"/>
      <c r="PPA114" s="36"/>
      <c r="PPB114" s="38"/>
      <c r="PPC114" s="38"/>
      <c r="PPI114" s="36"/>
      <c r="PPJ114" s="38"/>
      <c r="PPK114" s="38"/>
      <c r="PPQ114" s="36"/>
      <c r="PPR114" s="38"/>
      <c r="PPS114" s="38"/>
      <c r="PPY114" s="36"/>
      <c r="PPZ114" s="38"/>
      <c r="PQA114" s="38"/>
      <c r="PQG114" s="36"/>
      <c r="PQH114" s="38"/>
      <c r="PQI114" s="38"/>
      <c r="PQO114" s="36"/>
      <c r="PQP114" s="38"/>
      <c r="PQQ114" s="38"/>
      <c r="PQW114" s="36"/>
      <c r="PQX114" s="38"/>
      <c r="PQY114" s="38"/>
      <c r="PRE114" s="36"/>
      <c r="PRF114" s="38"/>
      <c r="PRG114" s="38"/>
      <c r="PRM114" s="36"/>
      <c r="PRN114" s="38"/>
      <c r="PRO114" s="38"/>
      <c r="PRU114" s="36"/>
      <c r="PRV114" s="38"/>
      <c r="PRW114" s="38"/>
      <c r="PSC114" s="36"/>
      <c r="PSD114" s="38"/>
      <c r="PSE114" s="38"/>
      <c r="PSK114" s="36"/>
      <c r="PSL114" s="38"/>
      <c r="PSM114" s="38"/>
      <c r="PSS114" s="36"/>
      <c r="PST114" s="38"/>
      <c r="PSU114" s="38"/>
      <c r="PTA114" s="36"/>
      <c r="PTB114" s="38"/>
      <c r="PTC114" s="38"/>
      <c r="PTI114" s="36"/>
      <c r="PTJ114" s="38"/>
      <c r="PTK114" s="38"/>
      <c r="PTQ114" s="36"/>
      <c r="PTR114" s="38"/>
      <c r="PTS114" s="38"/>
      <c r="PTY114" s="36"/>
      <c r="PTZ114" s="38"/>
      <c r="PUA114" s="38"/>
      <c r="PUG114" s="36"/>
      <c r="PUH114" s="38"/>
      <c r="PUI114" s="38"/>
      <c r="PUO114" s="36"/>
      <c r="PUP114" s="38"/>
      <c r="PUQ114" s="38"/>
      <c r="PUW114" s="36"/>
      <c r="PUX114" s="38"/>
      <c r="PUY114" s="38"/>
      <c r="PVE114" s="36"/>
      <c r="PVF114" s="38"/>
      <c r="PVG114" s="38"/>
      <c r="PVM114" s="36"/>
      <c r="PVN114" s="38"/>
      <c r="PVO114" s="38"/>
      <c r="PVU114" s="36"/>
      <c r="PVV114" s="38"/>
      <c r="PVW114" s="38"/>
      <c r="PWC114" s="36"/>
      <c r="PWD114" s="38"/>
      <c r="PWE114" s="38"/>
      <c r="PWK114" s="36"/>
      <c r="PWL114" s="38"/>
      <c r="PWM114" s="38"/>
      <c r="PWS114" s="36"/>
      <c r="PWT114" s="38"/>
      <c r="PWU114" s="38"/>
      <c r="PXA114" s="36"/>
      <c r="PXB114" s="38"/>
      <c r="PXC114" s="38"/>
      <c r="PXI114" s="36"/>
      <c r="PXJ114" s="38"/>
      <c r="PXK114" s="38"/>
      <c r="PXQ114" s="36"/>
      <c r="PXR114" s="38"/>
      <c r="PXS114" s="38"/>
      <c r="PXY114" s="36"/>
      <c r="PXZ114" s="38"/>
      <c r="PYA114" s="38"/>
      <c r="PYG114" s="36"/>
      <c r="PYH114" s="38"/>
      <c r="PYI114" s="38"/>
      <c r="PYO114" s="36"/>
      <c r="PYP114" s="38"/>
      <c r="PYQ114" s="38"/>
      <c r="PYW114" s="36"/>
      <c r="PYX114" s="38"/>
      <c r="PYY114" s="38"/>
      <c r="PZE114" s="36"/>
      <c r="PZF114" s="38"/>
      <c r="PZG114" s="38"/>
      <c r="PZM114" s="36"/>
      <c r="PZN114" s="38"/>
      <c r="PZO114" s="38"/>
      <c r="PZU114" s="36"/>
      <c r="PZV114" s="38"/>
      <c r="PZW114" s="38"/>
      <c r="QAC114" s="36"/>
      <c r="QAD114" s="38"/>
      <c r="QAE114" s="38"/>
      <c r="QAK114" s="36"/>
      <c r="QAL114" s="38"/>
      <c r="QAM114" s="38"/>
      <c r="QAS114" s="36"/>
      <c r="QAT114" s="38"/>
      <c r="QAU114" s="38"/>
      <c r="QBA114" s="36"/>
      <c r="QBB114" s="38"/>
      <c r="QBC114" s="38"/>
      <c r="QBI114" s="36"/>
      <c r="QBJ114" s="38"/>
      <c r="QBK114" s="38"/>
      <c r="QBQ114" s="36"/>
      <c r="QBR114" s="38"/>
      <c r="QBS114" s="38"/>
      <c r="QBY114" s="36"/>
      <c r="QBZ114" s="38"/>
      <c r="QCA114" s="38"/>
      <c r="QCG114" s="36"/>
      <c r="QCH114" s="38"/>
      <c r="QCI114" s="38"/>
      <c r="QCO114" s="36"/>
      <c r="QCP114" s="38"/>
      <c r="QCQ114" s="38"/>
      <c r="QCW114" s="36"/>
      <c r="QCX114" s="38"/>
      <c r="QCY114" s="38"/>
      <c r="QDE114" s="36"/>
      <c r="QDF114" s="38"/>
      <c r="QDG114" s="38"/>
      <c r="QDM114" s="36"/>
      <c r="QDN114" s="38"/>
      <c r="QDO114" s="38"/>
      <c r="QDU114" s="36"/>
      <c r="QDV114" s="38"/>
      <c r="QDW114" s="38"/>
      <c r="QEC114" s="36"/>
      <c r="QED114" s="38"/>
      <c r="QEE114" s="38"/>
      <c r="QEK114" s="36"/>
      <c r="QEL114" s="38"/>
      <c r="QEM114" s="38"/>
      <c r="QES114" s="36"/>
      <c r="QET114" s="38"/>
      <c r="QEU114" s="38"/>
      <c r="QFA114" s="36"/>
      <c r="QFB114" s="38"/>
      <c r="QFC114" s="38"/>
      <c r="QFI114" s="36"/>
      <c r="QFJ114" s="38"/>
      <c r="QFK114" s="38"/>
      <c r="QFQ114" s="36"/>
      <c r="QFR114" s="38"/>
      <c r="QFS114" s="38"/>
      <c r="QFY114" s="36"/>
      <c r="QFZ114" s="38"/>
      <c r="QGA114" s="38"/>
      <c r="QGG114" s="36"/>
      <c r="QGH114" s="38"/>
      <c r="QGI114" s="38"/>
      <c r="QGO114" s="36"/>
      <c r="QGP114" s="38"/>
      <c r="QGQ114" s="38"/>
      <c r="QGW114" s="36"/>
      <c r="QGX114" s="38"/>
      <c r="QGY114" s="38"/>
      <c r="QHE114" s="36"/>
      <c r="QHF114" s="38"/>
      <c r="QHG114" s="38"/>
      <c r="QHM114" s="36"/>
      <c r="QHN114" s="38"/>
      <c r="QHO114" s="38"/>
      <c r="QHU114" s="36"/>
      <c r="QHV114" s="38"/>
      <c r="QHW114" s="38"/>
      <c r="QIC114" s="36"/>
      <c r="QID114" s="38"/>
      <c r="QIE114" s="38"/>
      <c r="QIK114" s="36"/>
      <c r="QIL114" s="38"/>
      <c r="QIM114" s="38"/>
      <c r="QIS114" s="36"/>
      <c r="QIT114" s="38"/>
      <c r="QIU114" s="38"/>
      <c r="QJA114" s="36"/>
      <c r="QJB114" s="38"/>
      <c r="QJC114" s="38"/>
      <c r="QJI114" s="36"/>
      <c r="QJJ114" s="38"/>
      <c r="QJK114" s="38"/>
      <c r="QJQ114" s="36"/>
      <c r="QJR114" s="38"/>
      <c r="QJS114" s="38"/>
      <c r="QJY114" s="36"/>
      <c r="QJZ114" s="38"/>
      <c r="QKA114" s="38"/>
      <c r="QKG114" s="36"/>
      <c r="QKH114" s="38"/>
      <c r="QKI114" s="38"/>
      <c r="QKO114" s="36"/>
      <c r="QKP114" s="38"/>
      <c r="QKQ114" s="38"/>
      <c r="QKW114" s="36"/>
      <c r="QKX114" s="38"/>
      <c r="QKY114" s="38"/>
      <c r="QLE114" s="36"/>
      <c r="QLF114" s="38"/>
      <c r="QLG114" s="38"/>
      <c r="QLM114" s="36"/>
      <c r="QLN114" s="38"/>
      <c r="QLO114" s="38"/>
      <c r="QLU114" s="36"/>
      <c r="QLV114" s="38"/>
      <c r="QLW114" s="38"/>
      <c r="QMC114" s="36"/>
      <c r="QMD114" s="38"/>
      <c r="QME114" s="38"/>
      <c r="QMK114" s="36"/>
      <c r="QML114" s="38"/>
      <c r="QMM114" s="38"/>
      <c r="QMS114" s="36"/>
      <c r="QMT114" s="38"/>
      <c r="QMU114" s="38"/>
      <c r="QNA114" s="36"/>
      <c r="QNB114" s="38"/>
      <c r="QNC114" s="38"/>
      <c r="QNI114" s="36"/>
      <c r="QNJ114" s="38"/>
      <c r="QNK114" s="38"/>
      <c r="QNQ114" s="36"/>
      <c r="QNR114" s="38"/>
      <c r="QNS114" s="38"/>
      <c r="QNY114" s="36"/>
      <c r="QNZ114" s="38"/>
      <c r="QOA114" s="38"/>
      <c r="QOG114" s="36"/>
      <c r="QOH114" s="38"/>
      <c r="QOI114" s="38"/>
      <c r="QOO114" s="36"/>
      <c r="QOP114" s="38"/>
      <c r="QOQ114" s="38"/>
      <c r="QOW114" s="36"/>
      <c r="QOX114" s="38"/>
      <c r="QOY114" s="38"/>
      <c r="QPE114" s="36"/>
      <c r="QPF114" s="38"/>
      <c r="QPG114" s="38"/>
      <c r="QPM114" s="36"/>
      <c r="QPN114" s="38"/>
      <c r="QPO114" s="38"/>
      <c r="QPU114" s="36"/>
      <c r="QPV114" s="38"/>
      <c r="QPW114" s="38"/>
      <c r="QQC114" s="36"/>
      <c r="QQD114" s="38"/>
      <c r="QQE114" s="38"/>
      <c r="QQK114" s="36"/>
      <c r="QQL114" s="38"/>
      <c r="QQM114" s="38"/>
      <c r="QQS114" s="36"/>
      <c r="QQT114" s="38"/>
      <c r="QQU114" s="38"/>
      <c r="QRA114" s="36"/>
      <c r="QRB114" s="38"/>
      <c r="QRC114" s="38"/>
      <c r="QRI114" s="36"/>
      <c r="QRJ114" s="38"/>
      <c r="QRK114" s="38"/>
      <c r="QRQ114" s="36"/>
      <c r="QRR114" s="38"/>
      <c r="QRS114" s="38"/>
      <c r="QRY114" s="36"/>
      <c r="QRZ114" s="38"/>
      <c r="QSA114" s="38"/>
      <c r="QSG114" s="36"/>
      <c r="QSH114" s="38"/>
      <c r="QSI114" s="38"/>
      <c r="QSO114" s="36"/>
      <c r="QSP114" s="38"/>
      <c r="QSQ114" s="38"/>
      <c r="QSW114" s="36"/>
      <c r="QSX114" s="38"/>
      <c r="QSY114" s="38"/>
      <c r="QTE114" s="36"/>
      <c r="QTF114" s="38"/>
      <c r="QTG114" s="38"/>
      <c r="QTM114" s="36"/>
      <c r="QTN114" s="38"/>
      <c r="QTO114" s="38"/>
      <c r="QTU114" s="36"/>
      <c r="QTV114" s="38"/>
      <c r="QTW114" s="38"/>
      <c r="QUC114" s="36"/>
      <c r="QUD114" s="38"/>
      <c r="QUE114" s="38"/>
      <c r="QUK114" s="36"/>
      <c r="QUL114" s="38"/>
      <c r="QUM114" s="38"/>
      <c r="QUS114" s="36"/>
      <c r="QUT114" s="38"/>
      <c r="QUU114" s="38"/>
      <c r="QVA114" s="36"/>
      <c r="QVB114" s="38"/>
      <c r="QVC114" s="38"/>
      <c r="QVI114" s="36"/>
      <c r="QVJ114" s="38"/>
      <c r="QVK114" s="38"/>
      <c r="QVQ114" s="36"/>
      <c r="QVR114" s="38"/>
      <c r="QVS114" s="38"/>
      <c r="QVY114" s="36"/>
      <c r="QVZ114" s="38"/>
      <c r="QWA114" s="38"/>
      <c r="QWG114" s="36"/>
      <c r="QWH114" s="38"/>
      <c r="QWI114" s="38"/>
      <c r="QWO114" s="36"/>
      <c r="QWP114" s="38"/>
      <c r="QWQ114" s="38"/>
      <c r="QWW114" s="36"/>
      <c r="QWX114" s="38"/>
      <c r="QWY114" s="38"/>
      <c r="QXE114" s="36"/>
      <c r="QXF114" s="38"/>
      <c r="QXG114" s="38"/>
      <c r="QXM114" s="36"/>
      <c r="QXN114" s="38"/>
      <c r="QXO114" s="38"/>
      <c r="QXU114" s="36"/>
      <c r="QXV114" s="38"/>
      <c r="QXW114" s="38"/>
      <c r="QYC114" s="36"/>
      <c r="QYD114" s="38"/>
      <c r="QYE114" s="38"/>
      <c r="QYK114" s="36"/>
      <c r="QYL114" s="38"/>
      <c r="QYM114" s="38"/>
      <c r="QYS114" s="36"/>
      <c r="QYT114" s="38"/>
      <c r="QYU114" s="38"/>
      <c r="QZA114" s="36"/>
      <c r="QZB114" s="38"/>
      <c r="QZC114" s="38"/>
      <c r="QZI114" s="36"/>
      <c r="QZJ114" s="38"/>
      <c r="QZK114" s="38"/>
      <c r="QZQ114" s="36"/>
      <c r="QZR114" s="38"/>
      <c r="QZS114" s="38"/>
      <c r="QZY114" s="36"/>
      <c r="QZZ114" s="38"/>
      <c r="RAA114" s="38"/>
      <c r="RAG114" s="36"/>
      <c r="RAH114" s="38"/>
      <c r="RAI114" s="38"/>
      <c r="RAO114" s="36"/>
      <c r="RAP114" s="38"/>
      <c r="RAQ114" s="38"/>
      <c r="RAW114" s="36"/>
      <c r="RAX114" s="38"/>
      <c r="RAY114" s="38"/>
      <c r="RBE114" s="36"/>
      <c r="RBF114" s="38"/>
      <c r="RBG114" s="38"/>
      <c r="RBM114" s="36"/>
      <c r="RBN114" s="38"/>
      <c r="RBO114" s="38"/>
      <c r="RBU114" s="36"/>
      <c r="RBV114" s="38"/>
      <c r="RBW114" s="38"/>
      <c r="RCC114" s="36"/>
      <c r="RCD114" s="38"/>
      <c r="RCE114" s="38"/>
      <c r="RCK114" s="36"/>
      <c r="RCL114" s="38"/>
      <c r="RCM114" s="38"/>
      <c r="RCS114" s="36"/>
      <c r="RCT114" s="38"/>
      <c r="RCU114" s="38"/>
      <c r="RDA114" s="36"/>
      <c r="RDB114" s="38"/>
      <c r="RDC114" s="38"/>
      <c r="RDI114" s="36"/>
      <c r="RDJ114" s="38"/>
      <c r="RDK114" s="38"/>
      <c r="RDQ114" s="36"/>
      <c r="RDR114" s="38"/>
      <c r="RDS114" s="38"/>
      <c r="RDY114" s="36"/>
      <c r="RDZ114" s="38"/>
      <c r="REA114" s="38"/>
      <c r="REG114" s="36"/>
      <c r="REH114" s="38"/>
      <c r="REI114" s="38"/>
      <c r="REO114" s="36"/>
      <c r="REP114" s="38"/>
      <c r="REQ114" s="38"/>
      <c r="REW114" s="36"/>
      <c r="REX114" s="38"/>
      <c r="REY114" s="38"/>
      <c r="RFE114" s="36"/>
      <c r="RFF114" s="38"/>
      <c r="RFG114" s="38"/>
      <c r="RFM114" s="36"/>
      <c r="RFN114" s="38"/>
      <c r="RFO114" s="38"/>
      <c r="RFU114" s="36"/>
      <c r="RFV114" s="38"/>
      <c r="RFW114" s="38"/>
      <c r="RGC114" s="36"/>
      <c r="RGD114" s="38"/>
      <c r="RGE114" s="38"/>
      <c r="RGK114" s="36"/>
      <c r="RGL114" s="38"/>
      <c r="RGM114" s="38"/>
      <c r="RGS114" s="36"/>
      <c r="RGT114" s="38"/>
      <c r="RGU114" s="38"/>
      <c r="RHA114" s="36"/>
      <c r="RHB114" s="38"/>
      <c r="RHC114" s="38"/>
      <c r="RHI114" s="36"/>
      <c r="RHJ114" s="38"/>
      <c r="RHK114" s="38"/>
      <c r="RHQ114" s="36"/>
      <c r="RHR114" s="38"/>
      <c r="RHS114" s="38"/>
      <c r="RHY114" s="36"/>
      <c r="RHZ114" s="38"/>
      <c r="RIA114" s="38"/>
      <c r="RIG114" s="36"/>
      <c r="RIH114" s="38"/>
      <c r="RII114" s="38"/>
      <c r="RIO114" s="36"/>
      <c r="RIP114" s="38"/>
      <c r="RIQ114" s="38"/>
      <c r="RIW114" s="36"/>
      <c r="RIX114" s="38"/>
      <c r="RIY114" s="38"/>
      <c r="RJE114" s="36"/>
      <c r="RJF114" s="38"/>
      <c r="RJG114" s="38"/>
      <c r="RJM114" s="36"/>
      <c r="RJN114" s="38"/>
      <c r="RJO114" s="38"/>
      <c r="RJU114" s="36"/>
      <c r="RJV114" s="38"/>
      <c r="RJW114" s="38"/>
      <c r="RKC114" s="36"/>
      <c r="RKD114" s="38"/>
      <c r="RKE114" s="38"/>
      <c r="RKK114" s="36"/>
      <c r="RKL114" s="38"/>
      <c r="RKM114" s="38"/>
      <c r="RKS114" s="36"/>
      <c r="RKT114" s="38"/>
      <c r="RKU114" s="38"/>
      <c r="RLA114" s="36"/>
      <c r="RLB114" s="38"/>
      <c r="RLC114" s="38"/>
      <c r="RLI114" s="36"/>
      <c r="RLJ114" s="38"/>
      <c r="RLK114" s="38"/>
      <c r="RLQ114" s="36"/>
      <c r="RLR114" s="38"/>
      <c r="RLS114" s="38"/>
      <c r="RLY114" s="36"/>
      <c r="RLZ114" s="38"/>
      <c r="RMA114" s="38"/>
      <c r="RMG114" s="36"/>
      <c r="RMH114" s="38"/>
      <c r="RMI114" s="38"/>
      <c r="RMO114" s="36"/>
      <c r="RMP114" s="38"/>
      <c r="RMQ114" s="38"/>
      <c r="RMW114" s="36"/>
      <c r="RMX114" s="38"/>
      <c r="RMY114" s="38"/>
      <c r="RNE114" s="36"/>
      <c r="RNF114" s="38"/>
      <c r="RNG114" s="38"/>
      <c r="RNM114" s="36"/>
      <c r="RNN114" s="38"/>
      <c r="RNO114" s="38"/>
      <c r="RNU114" s="36"/>
      <c r="RNV114" s="38"/>
      <c r="RNW114" s="38"/>
      <c r="ROC114" s="36"/>
      <c r="ROD114" s="38"/>
      <c r="ROE114" s="38"/>
      <c r="ROK114" s="36"/>
      <c r="ROL114" s="38"/>
      <c r="ROM114" s="38"/>
      <c r="ROS114" s="36"/>
      <c r="ROT114" s="38"/>
      <c r="ROU114" s="38"/>
      <c r="RPA114" s="36"/>
      <c r="RPB114" s="38"/>
      <c r="RPC114" s="38"/>
      <c r="RPI114" s="36"/>
      <c r="RPJ114" s="38"/>
      <c r="RPK114" s="38"/>
      <c r="RPQ114" s="36"/>
      <c r="RPR114" s="38"/>
      <c r="RPS114" s="38"/>
      <c r="RPY114" s="36"/>
      <c r="RPZ114" s="38"/>
      <c r="RQA114" s="38"/>
      <c r="RQG114" s="36"/>
      <c r="RQH114" s="38"/>
      <c r="RQI114" s="38"/>
      <c r="RQO114" s="36"/>
      <c r="RQP114" s="38"/>
      <c r="RQQ114" s="38"/>
      <c r="RQW114" s="36"/>
      <c r="RQX114" s="38"/>
      <c r="RQY114" s="38"/>
      <c r="RRE114" s="36"/>
      <c r="RRF114" s="38"/>
      <c r="RRG114" s="38"/>
      <c r="RRM114" s="36"/>
      <c r="RRN114" s="38"/>
      <c r="RRO114" s="38"/>
      <c r="RRU114" s="36"/>
      <c r="RRV114" s="38"/>
      <c r="RRW114" s="38"/>
      <c r="RSC114" s="36"/>
      <c r="RSD114" s="38"/>
      <c r="RSE114" s="38"/>
      <c r="RSK114" s="36"/>
      <c r="RSL114" s="38"/>
      <c r="RSM114" s="38"/>
      <c r="RSS114" s="36"/>
      <c r="RST114" s="38"/>
      <c r="RSU114" s="38"/>
      <c r="RTA114" s="36"/>
      <c r="RTB114" s="38"/>
      <c r="RTC114" s="38"/>
      <c r="RTI114" s="36"/>
      <c r="RTJ114" s="38"/>
      <c r="RTK114" s="38"/>
      <c r="RTQ114" s="36"/>
      <c r="RTR114" s="38"/>
      <c r="RTS114" s="38"/>
      <c r="RTY114" s="36"/>
      <c r="RTZ114" s="38"/>
      <c r="RUA114" s="38"/>
      <c r="RUG114" s="36"/>
      <c r="RUH114" s="38"/>
      <c r="RUI114" s="38"/>
      <c r="RUO114" s="36"/>
      <c r="RUP114" s="38"/>
      <c r="RUQ114" s="38"/>
      <c r="RUW114" s="36"/>
      <c r="RUX114" s="38"/>
      <c r="RUY114" s="38"/>
      <c r="RVE114" s="36"/>
      <c r="RVF114" s="38"/>
      <c r="RVG114" s="38"/>
      <c r="RVM114" s="36"/>
      <c r="RVN114" s="38"/>
      <c r="RVO114" s="38"/>
      <c r="RVU114" s="36"/>
      <c r="RVV114" s="38"/>
      <c r="RVW114" s="38"/>
      <c r="RWC114" s="36"/>
      <c r="RWD114" s="38"/>
      <c r="RWE114" s="38"/>
      <c r="RWK114" s="36"/>
      <c r="RWL114" s="38"/>
      <c r="RWM114" s="38"/>
      <c r="RWS114" s="36"/>
      <c r="RWT114" s="38"/>
      <c r="RWU114" s="38"/>
      <c r="RXA114" s="36"/>
      <c r="RXB114" s="38"/>
      <c r="RXC114" s="38"/>
      <c r="RXI114" s="36"/>
      <c r="RXJ114" s="38"/>
      <c r="RXK114" s="38"/>
      <c r="RXQ114" s="36"/>
      <c r="RXR114" s="38"/>
      <c r="RXS114" s="38"/>
      <c r="RXY114" s="36"/>
      <c r="RXZ114" s="38"/>
      <c r="RYA114" s="38"/>
      <c r="RYG114" s="36"/>
      <c r="RYH114" s="38"/>
      <c r="RYI114" s="38"/>
      <c r="RYO114" s="36"/>
      <c r="RYP114" s="38"/>
      <c r="RYQ114" s="38"/>
      <c r="RYW114" s="36"/>
      <c r="RYX114" s="38"/>
      <c r="RYY114" s="38"/>
      <c r="RZE114" s="36"/>
      <c r="RZF114" s="38"/>
      <c r="RZG114" s="38"/>
      <c r="RZM114" s="36"/>
      <c r="RZN114" s="38"/>
      <c r="RZO114" s="38"/>
      <c r="RZU114" s="36"/>
      <c r="RZV114" s="38"/>
      <c r="RZW114" s="38"/>
      <c r="SAC114" s="36"/>
      <c r="SAD114" s="38"/>
      <c r="SAE114" s="38"/>
      <c r="SAK114" s="36"/>
      <c r="SAL114" s="38"/>
      <c r="SAM114" s="38"/>
      <c r="SAS114" s="36"/>
      <c r="SAT114" s="38"/>
      <c r="SAU114" s="38"/>
      <c r="SBA114" s="36"/>
      <c r="SBB114" s="38"/>
      <c r="SBC114" s="38"/>
      <c r="SBI114" s="36"/>
      <c r="SBJ114" s="38"/>
      <c r="SBK114" s="38"/>
      <c r="SBQ114" s="36"/>
      <c r="SBR114" s="38"/>
      <c r="SBS114" s="38"/>
      <c r="SBY114" s="36"/>
      <c r="SBZ114" s="38"/>
      <c r="SCA114" s="38"/>
      <c r="SCG114" s="36"/>
      <c r="SCH114" s="38"/>
      <c r="SCI114" s="38"/>
      <c r="SCO114" s="36"/>
      <c r="SCP114" s="38"/>
      <c r="SCQ114" s="38"/>
      <c r="SCW114" s="36"/>
      <c r="SCX114" s="38"/>
      <c r="SCY114" s="38"/>
      <c r="SDE114" s="36"/>
      <c r="SDF114" s="38"/>
      <c r="SDG114" s="38"/>
      <c r="SDM114" s="36"/>
      <c r="SDN114" s="38"/>
      <c r="SDO114" s="38"/>
      <c r="SDU114" s="36"/>
      <c r="SDV114" s="38"/>
      <c r="SDW114" s="38"/>
      <c r="SEC114" s="36"/>
      <c r="SED114" s="38"/>
      <c r="SEE114" s="38"/>
      <c r="SEK114" s="36"/>
      <c r="SEL114" s="38"/>
      <c r="SEM114" s="38"/>
      <c r="SES114" s="36"/>
      <c r="SET114" s="38"/>
      <c r="SEU114" s="38"/>
      <c r="SFA114" s="36"/>
      <c r="SFB114" s="38"/>
      <c r="SFC114" s="38"/>
      <c r="SFI114" s="36"/>
      <c r="SFJ114" s="38"/>
      <c r="SFK114" s="38"/>
      <c r="SFQ114" s="36"/>
      <c r="SFR114" s="38"/>
      <c r="SFS114" s="38"/>
      <c r="SFY114" s="36"/>
      <c r="SFZ114" s="38"/>
      <c r="SGA114" s="38"/>
      <c r="SGG114" s="36"/>
      <c r="SGH114" s="38"/>
      <c r="SGI114" s="38"/>
      <c r="SGO114" s="36"/>
      <c r="SGP114" s="38"/>
      <c r="SGQ114" s="38"/>
      <c r="SGW114" s="36"/>
      <c r="SGX114" s="38"/>
      <c r="SGY114" s="38"/>
      <c r="SHE114" s="36"/>
      <c r="SHF114" s="38"/>
      <c r="SHG114" s="38"/>
      <c r="SHM114" s="36"/>
      <c r="SHN114" s="38"/>
      <c r="SHO114" s="38"/>
      <c r="SHU114" s="36"/>
      <c r="SHV114" s="38"/>
      <c r="SHW114" s="38"/>
      <c r="SIC114" s="36"/>
      <c r="SID114" s="38"/>
      <c r="SIE114" s="38"/>
      <c r="SIK114" s="36"/>
      <c r="SIL114" s="38"/>
      <c r="SIM114" s="38"/>
      <c r="SIS114" s="36"/>
      <c r="SIT114" s="38"/>
      <c r="SIU114" s="38"/>
      <c r="SJA114" s="36"/>
      <c r="SJB114" s="38"/>
      <c r="SJC114" s="38"/>
      <c r="SJI114" s="36"/>
      <c r="SJJ114" s="38"/>
      <c r="SJK114" s="38"/>
      <c r="SJQ114" s="36"/>
      <c r="SJR114" s="38"/>
      <c r="SJS114" s="38"/>
      <c r="SJY114" s="36"/>
      <c r="SJZ114" s="38"/>
      <c r="SKA114" s="38"/>
      <c r="SKG114" s="36"/>
      <c r="SKH114" s="38"/>
      <c r="SKI114" s="38"/>
      <c r="SKO114" s="36"/>
      <c r="SKP114" s="38"/>
      <c r="SKQ114" s="38"/>
      <c r="SKW114" s="36"/>
      <c r="SKX114" s="38"/>
      <c r="SKY114" s="38"/>
      <c r="SLE114" s="36"/>
      <c r="SLF114" s="38"/>
      <c r="SLG114" s="38"/>
      <c r="SLM114" s="36"/>
      <c r="SLN114" s="38"/>
      <c r="SLO114" s="38"/>
      <c r="SLU114" s="36"/>
      <c r="SLV114" s="38"/>
      <c r="SLW114" s="38"/>
      <c r="SMC114" s="36"/>
      <c r="SMD114" s="38"/>
      <c r="SME114" s="38"/>
      <c r="SMK114" s="36"/>
      <c r="SML114" s="38"/>
      <c r="SMM114" s="38"/>
      <c r="SMS114" s="36"/>
      <c r="SMT114" s="38"/>
      <c r="SMU114" s="38"/>
      <c r="SNA114" s="36"/>
      <c r="SNB114" s="38"/>
      <c r="SNC114" s="38"/>
      <c r="SNI114" s="36"/>
      <c r="SNJ114" s="38"/>
      <c r="SNK114" s="38"/>
      <c r="SNQ114" s="36"/>
      <c r="SNR114" s="38"/>
      <c r="SNS114" s="38"/>
      <c r="SNY114" s="36"/>
      <c r="SNZ114" s="38"/>
      <c r="SOA114" s="38"/>
      <c r="SOG114" s="36"/>
      <c r="SOH114" s="38"/>
      <c r="SOI114" s="38"/>
      <c r="SOO114" s="36"/>
      <c r="SOP114" s="38"/>
      <c r="SOQ114" s="38"/>
      <c r="SOW114" s="36"/>
      <c r="SOX114" s="38"/>
      <c r="SOY114" s="38"/>
      <c r="SPE114" s="36"/>
      <c r="SPF114" s="38"/>
      <c r="SPG114" s="38"/>
      <c r="SPM114" s="36"/>
      <c r="SPN114" s="38"/>
      <c r="SPO114" s="38"/>
      <c r="SPU114" s="36"/>
      <c r="SPV114" s="38"/>
      <c r="SPW114" s="38"/>
      <c r="SQC114" s="36"/>
      <c r="SQD114" s="38"/>
      <c r="SQE114" s="38"/>
      <c r="SQK114" s="36"/>
      <c r="SQL114" s="38"/>
      <c r="SQM114" s="38"/>
      <c r="SQS114" s="36"/>
      <c r="SQT114" s="38"/>
      <c r="SQU114" s="38"/>
      <c r="SRA114" s="36"/>
      <c r="SRB114" s="38"/>
      <c r="SRC114" s="38"/>
      <c r="SRI114" s="36"/>
      <c r="SRJ114" s="38"/>
      <c r="SRK114" s="38"/>
      <c r="SRQ114" s="36"/>
      <c r="SRR114" s="38"/>
      <c r="SRS114" s="38"/>
      <c r="SRY114" s="36"/>
      <c r="SRZ114" s="38"/>
      <c r="SSA114" s="38"/>
      <c r="SSG114" s="36"/>
      <c r="SSH114" s="38"/>
      <c r="SSI114" s="38"/>
      <c r="SSO114" s="36"/>
      <c r="SSP114" s="38"/>
      <c r="SSQ114" s="38"/>
      <c r="SSW114" s="36"/>
      <c r="SSX114" s="38"/>
      <c r="SSY114" s="38"/>
      <c r="STE114" s="36"/>
      <c r="STF114" s="38"/>
      <c r="STG114" s="38"/>
      <c r="STM114" s="36"/>
      <c r="STN114" s="38"/>
      <c r="STO114" s="38"/>
      <c r="STU114" s="36"/>
      <c r="STV114" s="38"/>
      <c r="STW114" s="38"/>
      <c r="SUC114" s="36"/>
      <c r="SUD114" s="38"/>
      <c r="SUE114" s="38"/>
      <c r="SUK114" s="36"/>
      <c r="SUL114" s="38"/>
      <c r="SUM114" s="38"/>
      <c r="SUS114" s="36"/>
      <c r="SUT114" s="38"/>
      <c r="SUU114" s="38"/>
      <c r="SVA114" s="36"/>
      <c r="SVB114" s="38"/>
      <c r="SVC114" s="38"/>
      <c r="SVI114" s="36"/>
      <c r="SVJ114" s="38"/>
      <c r="SVK114" s="38"/>
      <c r="SVQ114" s="36"/>
      <c r="SVR114" s="38"/>
      <c r="SVS114" s="38"/>
      <c r="SVY114" s="36"/>
      <c r="SVZ114" s="38"/>
      <c r="SWA114" s="38"/>
      <c r="SWG114" s="36"/>
      <c r="SWH114" s="38"/>
      <c r="SWI114" s="38"/>
      <c r="SWO114" s="36"/>
      <c r="SWP114" s="38"/>
      <c r="SWQ114" s="38"/>
      <c r="SWW114" s="36"/>
      <c r="SWX114" s="38"/>
      <c r="SWY114" s="38"/>
      <c r="SXE114" s="36"/>
      <c r="SXF114" s="38"/>
      <c r="SXG114" s="38"/>
      <c r="SXM114" s="36"/>
      <c r="SXN114" s="38"/>
      <c r="SXO114" s="38"/>
      <c r="SXU114" s="36"/>
      <c r="SXV114" s="38"/>
      <c r="SXW114" s="38"/>
      <c r="SYC114" s="36"/>
      <c r="SYD114" s="38"/>
      <c r="SYE114" s="38"/>
      <c r="SYK114" s="36"/>
      <c r="SYL114" s="38"/>
      <c r="SYM114" s="38"/>
      <c r="SYS114" s="36"/>
      <c r="SYT114" s="38"/>
      <c r="SYU114" s="38"/>
      <c r="SZA114" s="36"/>
      <c r="SZB114" s="38"/>
      <c r="SZC114" s="38"/>
      <c r="SZI114" s="36"/>
      <c r="SZJ114" s="38"/>
      <c r="SZK114" s="38"/>
      <c r="SZQ114" s="36"/>
      <c r="SZR114" s="38"/>
      <c r="SZS114" s="38"/>
      <c r="SZY114" s="36"/>
      <c r="SZZ114" s="38"/>
      <c r="TAA114" s="38"/>
      <c r="TAG114" s="36"/>
      <c r="TAH114" s="38"/>
      <c r="TAI114" s="38"/>
      <c r="TAO114" s="36"/>
      <c r="TAP114" s="38"/>
      <c r="TAQ114" s="38"/>
      <c r="TAW114" s="36"/>
      <c r="TAX114" s="38"/>
      <c r="TAY114" s="38"/>
      <c r="TBE114" s="36"/>
      <c r="TBF114" s="38"/>
      <c r="TBG114" s="38"/>
      <c r="TBM114" s="36"/>
      <c r="TBN114" s="38"/>
      <c r="TBO114" s="38"/>
      <c r="TBU114" s="36"/>
      <c r="TBV114" s="38"/>
      <c r="TBW114" s="38"/>
      <c r="TCC114" s="36"/>
      <c r="TCD114" s="38"/>
      <c r="TCE114" s="38"/>
      <c r="TCK114" s="36"/>
      <c r="TCL114" s="38"/>
      <c r="TCM114" s="38"/>
      <c r="TCS114" s="36"/>
      <c r="TCT114" s="38"/>
      <c r="TCU114" s="38"/>
      <c r="TDA114" s="36"/>
      <c r="TDB114" s="38"/>
      <c r="TDC114" s="38"/>
      <c r="TDI114" s="36"/>
      <c r="TDJ114" s="38"/>
      <c r="TDK114" s="38"/>
      <c r="TDQ114" s="36"/>
      <c r="TDR114" s="38"/>
      <c r="TDS114" s="38"/>
      <c r="TDY114" s="36"/>
      <c r="TDZ114" s="38"/>
      <c r="TEA114" s="38"/>
      <c r="TEG114" s="36"/>
      <c r="TEH114" s="38"/>
      <c r="TEI114" s="38"/>
      <c r="TEO114" s="36"/>
      <c r="TEP114" s="38"/>
      <c r="TEQ114" s="38"/>
      <c r="TEW114" s="36"/>
      <c r="TEX114" s="38"/>
      <c r="TEY114" s="38"/>
      <c r="TFE114" s="36"/>
      <c r="TFF114" s="38"/>
      <c r="TFG114" s="38"/>
      <c r="TFM114" s="36"/>
      <c r="TFN114" s="38"/>
      <c r="TFO114" s="38"/>
      <c r="TFU114" s="36"/>
      <c r="TFV114" s="38"/>
      <c r="TFW114" s="38"/>
      <c r="TGC114" s="36"/>
      <c r="TGD114" s="38"/>
      <c r="TGE114" s="38"/>
      <c r="TGK114" s="36"/>
      <c r="TGL114" s="38"/>
      <c r="TGM114" s="38"/>
      <c r="TGS114" s="36"/>
      <c r="TGT114" s="38"/>
      <c r="TGU114" s="38"/>
      <c r="THA114" s="36"/>
      <c r="THB114" s="38"/>
      <c r="THC114" s="38"/>
      <c r="THI114" s="36"/>
      <c r="THJ114" s="38"/>
      <c r="THK114" s="38"/>
      <c r="THQ114" s="36"/>
      <c r="THR114" s="38"/>
      <c r="THS114" s="38"/>
      <c r="THY114" s="36"/>
      <c r="THZ114" s="38"/>
      <c r="TIA114" s="38"/>
      <c r="TIG114" s="36"/>
      <c r="TIH114" s="38"/>
      <c r="TII114" s="38"/>
      <c r="TIO114" s="36"/>
      <c r="TIP114" s="38"/>
      <c r="TIQ114" s="38"/>
      <c r="TIW114" s="36"/>
      <c r="TIX114" s="38"/>
      <c r="TIY114" s="38"/>
      <c r="TJE114" s="36"/>
      <c r="TJF114" s="38"/>
      <c r="TJG114" s="38"/>
      <c r="TJM114" s="36"/>
      <c r="TJN114" s="38"/>
      <c r="TJO114" s="38"/>
      <c r="TJU114" s="36"/>
      <c r="TJV114" s="38"/>
      <c r="TJW114" s="38"/>
      <c r="TKC114" s="36"/>
      <c r="TKD114" s="38"/>
      <c r="TKE114" s="38"/>
      <c r="TKK114" s="36"/>
      <c r="TKL114" s="38"/>
      <c r="TKM114" s="38"/>
      <c r="TKS114" s="36"/>
      <c r="TKT114" s="38"/>
      <c r="TKU114" s="38"/>
      <c r="TLA114" s="36"/>
      <c r="TLB114" s="38"/>
      <c r="TLC114" s="38"/>
      <c r="TLI114" s="36"/>
      <c r="TLJ114" s="38"/>
      <c r="TLK114" s="38"/>
      <c r="TLQ114" s="36"/>
      <c r="TLR114" s="38"/>
      <c r="TLS114" s="38"/>
      <c r="TLY114" s="36"/>
      <c r="TLZ114" s="38"/>
      <c r="TMA114" s="38"/>
      <c r="TMG114" s="36"/>
      <c r="TMH114" s="38"/>
      <c r="TMI114" s="38"/>
      <c r="TMO114" s="36"/>
      <c r="TMP114" s="38"/>
      <c r="TMQ114" s="38"/>
      <c r="TMW114" s="36"/>
      <c r="TMX114" s="38"/>
      <c r="TMY114" s="38"/>
      <c r="TNE114" s="36"/>
      <c r="TNF114" s="38"/>
      <c r="TNG114" s="38"/>
      <c r="TNM114" s="36"/>
      <c r="TNN114" s="38"/>
      <c r="TNO114" s="38"/>
      <c r="TNU114" s="36"/>
      <c r="TNV114" s="38"/>
      <c r="TNW114" s="38"/>
      <c r="TOC114" s="36"/>
      <c r="TOD114" s="38"/>
      <c r="TOE114" s="38"/>
      <c r="TOK114" s="36"/>
      <c r="TOL114" s="38"/>
      <c r="TOM114" s="38"/>
      <c r="TOS114" s="36"/>
      <c r="TOT114" s="38"/>
      <c r="TOU114" s="38"/>
      <c r="TPA114" s="36"/>
      <c r="TPB114" s="38"/>
      <c r="TPC114" s="38"/>
      <c r="TPI114" s="36"/>
      <c r="TPJ114" s="38"/>
      <c r="TPK114" s="38"/>
      <c r="TPQ114" s="36"/>
      <c r="TPR114" s="38"/>
      <c r="TPS114" s="38"/>
      <c r="TPY114" s="36"/>
      <c r="TPZ114" s="38"/>
      <c r="TQA114" s="38"/>
      <c r="TQG114" s="36"/>
      <c r="TQH114" s="38"/>
      <c r="TQI114" s="38"/>
      <c r="TQO114" s="36"/>
      <c r="TQP114" s="38"/>
      <c r="TQQ114" s="38"/>
      <c r="TQW114" s="36"/>
      <c r="TQX114" s="38"/>
      <c r="TQY114" s="38"/>
      <c r="TRE114" s="36"/>
      <c r="TRF114" s="38"/>
      <c r="TRG114" s="38"/>
      <c r="TRM114" s="36"/>
      <c r="TRN114" s="38"/>
      <c r="TRO114" s="38"/>
      <c r="TRU114" s="36"/>
      <c r="TRV114" s="38"/>
      <c r="TRW114" s="38"/>
      <c r="TSC114" s="36"/>
      <c r="TSD114" s="38"/>
      <c r="TSE114" s="38"/>
      <c r="TSK114" s="36"/>
      <c r="TSL114" s="38"/>
      <c r="TSM114" s="38"/>
      <c r="TSS114" s="36"/>
      <c r="TST114" s="38"/>
      <c r="TSU114" s="38"/>
      <c r="TTA114" s="36"/>
      <c r="TTB114" s="38"/>
      <c r="TTC114" s="38"/>
      <c r="TTI114" s="36"/>
      <c r="TTJ114" s="38"/>
      <c r="TTK114" s="38"/>
      <c r="TTQ114" s="36"/>
      <c r="TTR114" s="38"/>
      <c r="TTS114" s="38"/>
      <c r="TTY114" s="36"/>
      <c r="TTZ114" s="38"/>
      <c r="TUA114" s="38"/>
      <c r="TUG114" s="36"/>
      <c r="TUH114" s="38"/>
      <c r="TUI114" s="38"/>
      <c r="TUO114" s="36"/>
      <c r="TUP114" s="38"/>
      <c r="TUQ114" s="38"/>
      <c r="TUW114" s="36"/>
      <c r="TUX114" s="38"/>
      <c r="TUY114" s="38"/>
      <c r="TVE114" s="36"/>
      <c r="TVF114" s="38"/>
      <c r="TVG114" s="38"/>
      <c r="TVM114" s="36"/>
      <c r="TVN114" s="38"/>
      <c r="TVO114" s="38"/>
      <c r="TVU114" s="36"/>
      <c r="TVV114" s="38"/>
      <c r="TVW114" s="38"/>
      <c r="TWC114" s="36"/>
      <c r="TWD114" s="38"/>
      <c r="TWE114" s="38"/>
      <c r="TWK114" s="36"/>
      <c r="TWL114" s="38"/>
      <c r="TWM114" s="38"/>
      <c r="TWS114" s="36"/>
      <c r="TWT114" s="38"/>
      <c r="TWU114" s="38"/>
      <c r="TXA114" s="36"/>
      <c r="TXB114" s="38"/>
      <c r="TXC114" s="38"/>
      <c r="TXI114" s="36"/>
      <c r="TXJ114" s="38"/>
      <c r="TXK114" s="38"/>
      <c r="TXQ114" s="36"/>
      <c r="TXR114" s="38"/>
      <c r="TXS114" s="38"/>
      <c r="TXY114" s="36"/>
      <c r="TXZ114" s="38"/>
      <c r="TYA114" s="38"/>
      <c r="TYG114" s="36"/>
      <c r="TYH114" s="38"/>
      <c r="TYI114" s="38"/>
      <c r="TYO114" s="36"/>
      <c r="TYP114" s="38"/>
      <c r="TYQ114" s="38"/>
      <c r="TYW114" s="36"/>
      <c r="TYX114" s="38"/>
      <c r="TYY114" s="38"/>
      <c r="TZE114" s="36"/>
      <c r="TZF114" s="38"/>
      <c r="TZG114" s="38"/>
      <c r="TZM114" s="36"/>
      <c r="TZN114" s="38"/>
      <c r="TZO114" s="38"/>
      <c r="TZU114" s="36"/>
      <c r="TZV114" s="38"/>
      <c r="TZW114" s="38"/>
      <c r="UAC114" s="36"/>
      <c r="UAD114" s="38"/>
      <c r="UAE114" s="38"/>
      <c r="UAK114" s="36"/>
      <c r="UAL114" s="38"/>
      <c r="UAM114" s="38"/>
      <c r="UAS114" s="36"/>
      <c r="UAT114" s="38"/>
      <c r="UAU114" s="38"/>
      <c r="UBA114" s="36"/>
      <c r="UBB114" s="38"/>
      <c r="UBC114" s="38"/>
      <c r="UBI114" s="36"/>
      <c r="UBJ114" s="38"/>
      <c r="UBK114" s="38"/>
      <c r="UBQ114" s="36"/>
      <c r="UBR114" s="38"/>
      <c r="UBS114" s="38"/>
      <c r="UBY114" s="36"/>
      <c r="UBZ114" s="38"/>
      <c r="UCA114" s="38"/>
      <c r="UCG114" s="36"/>
      <c r="UCH114" s="38"/>
      <c r="UCI114" s="38"/>
      <c r="UCO114" s="36"/>
      <c r="UCP114" s="38"/>
      <c r="UCQ114" s="38"/>
      <c r="UCW114" s="36"/>
      <c r="UCX114" s="38"/>
      <c r="UCY114" s="38"/>
      <c r="UDE114" s="36"/>
      <c r="UDF114" s="38"/>
      <c r="UDG114" s="38"/>
      <c r="UDM114" s="36"/>
      <c r="UDN114" s="38"/>
      <c r="UDO114" s="38"/>
      <c r="UDU114" s="36"/>
      <c r="UDV114" s="38"/>
      <c r="UDW114" s="38"/>
      <c r="UEC114" s="36"/>
      <c r="UED114" s="38"/>
      <c r="UEE114" s="38"/>
      <c r="UEK114" s="36"/>
      <c r="UEL114" s="38"/>
      <c r="UEM114" s="38"/>
      <c r="UES114" s="36"/>
      <c r="UET114" s="38"/>
      <c r="UEU114" s="38"/>
      <c r="UFA114" s="36"/>
      <c r="UFB114" s="38"/>
      <c r="UFC114" s="38"/>
      <c r="UFI114" s="36"/>
      <c r="UFJ114" s="38"/>
      <c r="UFK114" s="38"/>
      <c r="UFQ114" s="36"/>
      <c r="UFR114" s="38"/>
      <c r="UFS114" s="38"/>
      <c r="UFY114" s="36"/>
      <c r="UFZ114" s="38"/>
      <c r="UGA114" s="38"/>
      <c r="UGG114" s="36"/>
      <c r="UGH114" s="38"/>
      <c r="UGI114" s="38"/>
      <c r="UGO114" s="36"/>
      <c r="UGP114" s="38"/>
      <c r="UGQ114" s="38"/>
      <c r="UGW114" s="36"/>
      <c r="UGX114" s="38"/>
      <c r="UGY114" s="38"/>
      <c r="UHE114" s="36"/>
      <c r="UHF114" s="38"/>
      <c r="UHG114" s="38"/>
      <c r="UHM114" s="36"/>
      <c r="UHN114" s="38"/>
      <c r="UHO114" s="38"/>
      <c r="UHU114" s="36"/>
      <c r="UHV114" s="38"/>
      <c r="UHW114" s="38"/>
      <c r="UIC114" s="36"/>
      <c r="UID114" s="38"/>
      <c r="UIE114" s="38"/>
      <c r="UIK114" s="36"/>
      <c r="UIL114" s="38"/>
      <c r="UIM114" s="38"/>
      <c r="UIS114" s="36"/>
      <c r="UIT114" s="38"/>
      <c r="UIU114" s="38"/>
      <c r="UJA114" s="36"/>
      <c r="UJB114" s="38"/>
      <c r="UJC114" s="38"/>
      <c r="UJI114" s="36"/>
      <c r="UJJ114" s="38"/>
      <c r="UJK114" s="38"/>
      <c r="UJQ114" s="36"/>
      <c r="UJR114" s="38"/>
      <c r="UJS114" s="38"/>
      <c r="UJY114" s="36"/>
      <c r="UJZ114" s="38"/>
      <c r="UKA114" s="38"/>
      <c r="UKG114" s="36"/>
      <c r="UKH114" s="38"/>
      <c r="UKI114" s="38"/>
      <c r="UKO114" s="36"/>
      <c r="UKP114" s="38"/>
      <c r="UKQ114" s="38"/>
      <c r="UKW114" s="36"/>
      <c r="UKX114" s="38"/>
      <c r="UKY114" s="38"/>
      <c r="ULE114" s="36"/>
      <c r="ULF114" s="38"/>
      <c r="ULG114" s="38"/>
      <c r="ULM114" s="36"/>
      <c r="ULN114" s="38"/>
      <c r="ULO114" s="38"/>
      <c r="ULU114" s="36"/>
      <c r="ULV114" s="38"/>
      <c r="ULW114" s="38"/>
      <c r="UMC114" s="36"/>
      <c r="UMD114" s="38"/>
      <c r="UME114" s="38"/>
      <c r="UMK114" s="36"/>
      <c r="UML114" s="38"/>
      <c r="UMM114" s="38"/>
      <c r="UMS114" s="36"/>
      <c r="UMT114" s="38"/>
      <c r="UMU114" s="38"/>
      <c r="UNA114" s="36"/>
      <c r="UNB114" s="38"/>
      <c r="UNC114" s="38"/>
      <c r="UNI114" s="36"/>
      <c r="UNJ114" s="38"/>
      <c r="UNK114" s="38"/>
      <c r="UNQ114" s="36"/>
      <c r="UNR114" s="38"/>
      <c r="UNS114" s="38"/>
      <c r="UNY114" s="36"/>
      <c r="UNZ114" s="38"/>
      <c r="UOA114" s="38"/>
      <c r="UOG114" s="36"/>
      <c r="UOH114" s="38"/>
      <c r="UOI114" s="38"/>
      <c r="UOO114" s="36"/>
      <c r="UOP114" s="38"/>
      <c r="UOQ114" s="38"/>
      <c r="UOW114" s="36"/>
      <c r="UOX114" s="38"/>
      <c r="UOY114" s="38"/>
      <c r="UPE114" s="36"/>
      <c r="UPF114" s="38"/>
      <c r="UPG114" s="38"/>
      <c r="UPM114" s="36"/>
      <c r="UPN114" s="38"/>
      <c r="UPO114" s="38"/>
      <c r="UPU114" s="36"/>
      <c r="UPV114" s="38"/>
      <c r="UPW114" s="38"/>
      <c r="UQC114" s="36"/>
      <c r="UQD114" s="38"/>
      <c r="UQE114" s="38"/>
      <c r="UQK114" s="36"/>
      <c r="UQL114" s="38"/>
      <c r="UQM114" s="38"/>
      <c r="UQS114" s="36"/>
      <c r="UQT114" s="38"/>
      <c r="UQU114" s="38"/>
      <c r="URA114" s="36"/>
      <c r="URB114" s="38"/>
      <c r="URC114" s="38"/>
      <c r="URI114" s="36"/>
      <c r="URJ114" s="38"/>
      <c r="URK114" s="38"/>
      <c r="URQ114" s="36"/>
      <c r="URR114" s="38"/>
      <c r="URS114" s="38"/>
      <c r="URY114" s="36"/>
      <c r="URZ114" s="38"/>
      <c r="USA114" s="38"/>
      <c r="USG114" s="36"/>
      <c r="USH114" s="38"/>
      <c r="USI114" s="38"/>
      <c r="USO114" s="36"/>
      <c r="USP114" s="38"/>
      <c r="USQ114" s="38"/>
      <c r="USW114" s="36"/>
      <c r="USX114" s="38"/>
      <c r="USY114" s="38"/>
      <c r="UTE114" s="36"/>
      <c r="UTF114" s="38"/>
      <c r="UTG114" s="38"/>
      <c r="UTM114" s="36"/>
      <c r="UTN114" s="38"/>
      <c r="UTO114" s="38"/>
      <c r="UTU114" s="36"/>
      <c r="UTV114" s="38"/>
      <c r="UTW114" s="38"/>
      <c r="UUC114" s="36"/>
      <c r="UUD114" s="38"/>
      <c r="UUE114" s="38"/>
      <c r="UUK114" s="36"/>
      <c r="UUL114" s="38"/>
      <c r="UUM114" s="38"/>
      <c r="UUS114" s="36"/>
      <c r="UUT114" s="38"/>
      <c r="UUU114" s="38"/>
      <c r="UVA114" s="36"/>
      <c r="UVB114" s="38"/>
      <c r="UVC114" s="38"/>
      <c r="UVI114" s="36"/>
      <c r="UVJ114" s="38"/>
      <c r="UVK114" s="38"/>
      <c r="UVQ114" s="36"/>
      <c r="UVR114" s="38"/>
      <c r="UVS114" s="38"/>
      <c r="UVY114" s="36"/>
      <c r="UVZ114" s="38"/>
      <c r="UWA114" s="38"/>
      <c r="UWG114" s="36"/>
      <c r="UWH114" s="38"/>
      <c r="UWI114" s="38"/>
      <c r="UWO114" s="36"/>
      <c r="UWP114" s="38"/>
      <c r="UWQ114" s="38"/>
      <c r="UWW114" s="36"/>
      <c r="UWX114" s="38"/>
      <c r="UWY114" s="38"/>
      <c r="UXE114" s="36"/>
      <c r="UXF114" s="38"/>
      <c r="UXG114" s="38"/>
      <c r="UXM114" s="36"/>
      <c r="UXN114" s="38"/>
      <c r="UXO114" s="38"/>
      <c r="UXU114" s="36"/>
      <c r="UXV114" s="38"/>
      <c r="UXW114" s="38"/>
      <c r="UYC114" s="36"/>
      <c r="UYD114" s="38"/>
      <c r="UYE114" s="38"/>
      <c r="UYK114" s="36"/>
      <c r="UYL114" s="38"/>
      <c r="UYM114" s="38"/>
      <c r="UYS114" s="36"/>
      <c r="UYT114" s="38"/>
      <c r="UYU114" s="38"/>
      <c r="UZA114" s="36"/>
      <c r="UZB114" s="38"/>
      <c r="UZC114" s="38"/>
      <c r="UZI114" s="36"/>
      <c r="UZJ114" s="38"/>
      <c r="UZK114" s="38"/>
      <c r="UZQ114" s="36"/>
      <c r="UZR114" s="38"/>
      <c r="UZS114" s="38"/>
      <c r="UZY114" s="36"/>
      <c r="UZZ114" s="38"/>
      <c r="VAA114" s="38"/>
      <c r="VAG114" s="36"/>
      <c r="VAH114" s="38"/>
      <c r="VAI114" s="38"/>
      <c r="VAO114" s="36"/>
      <c r="VAP114" s="38"/>
      <c r="VAQ114" s="38"/>
      <c r="VAW114" s="36"/>
      <c r="VAX114" s="38"/>
      <c r="VAY114" s="38"/>
      <c r="VBE114" s="36"/>
      <c r="VBF114" s="38"/>
      <c r="VBG114" s="38"/>
      <c r="VBM114" s="36"/>
      <c r="VBN114" s="38"/>
      <c r="VBO114" s="38"/>
      <c r="VBU114" s="36"/>
      <c r="VBV114" s="38"/>
      <c r="VBW114" s="38"/>
      <c r="VCC114" s="36"/>
      <c r="VCD114" s="38"/>
      <c r="VCE114" s="38"/>
      <c r="VCK114" s="36"/>
      <c r="VCL114" s="38"/>
      <c r="VCM114" s="38"/>
      <c r="VCS114" s="36"/>
      <c r="VCT114" s="38"/>
      <c r="VCU114" s="38"/>
      <c r="VDA114" s="36"/>
      <c r="VDB114" s="38"/>
      <c r="VDC114" s="38"/>
      <c r="VDI114" s="36"/>
      <c r="VDJ114" s="38"/>
      <c r="VDK114" s="38"/>
      <c r="VDQ114" s="36"/>
      <c r="VDR114" s="38"/>
      <c r="VDS114" s="38"/>
      <c r="VDY114" s="36"/>
      <c r="VDZ114" s="38"/>
      <c r="VEA114" s="38"/>
      <c r="VEG114" s="36"/>
      <c r="VEH114" s="38"/>
      <c r="VEI114" s="38"/>
      <c r="VEO114" s="36"/>
      <c r="VEP114" s="38"/>
      <c r="VEQ114" s="38"/>
      <c r="VEW114" s="36"/>
      <c r="VEX114" s="38"/>
      <c r="VEY114" s="38"/>
      <c r="VFE114" s="36"/>
      <c r="VFF114" s="38"/>
      <c r="VFG114" s="38"/>
      <c r="VFM114" s="36"/>
      <c r="VFN114" s="38"/>
      <c r="VFO114" s="38"/>
      <c r="VFU114" s="36"/>
      <c r="VFV114" s="38"/>
      <c r="VFW114" s="38"/>
      <c r="VGC114" s="36"/>
      <c r="VGD114" s="38"/>
      <c r="VGE114" s="38"/>
      <c r="VGK114" s="36"/>
      <c r="VGL114" s="38"/>
      <c r="VGM114" s="38"/>
      <c r="VGS114" s="36"/>
      <c r="VGT114" s="38"/>
      <c r="VGU114" s="38"/>
      <c r="VHA114" s="36"/>
      <c r="VHB114" s="38"/>
      <c r="VHC114" s="38"/>
      <c r="VHI114" s="36"/>
      <c r="VHJ114" s="38"/>
      <c r="VHK114" s="38"/>
      <c r="VHQ114" s="36"/>
      <c r="VHR114" s="38"/>
      <c r="VHS114" s="38"/>
      <c r="VHY114" s="36"/>
      <c r="VHZ114" s="38"/>
      <c r="VIA114" s="38"/>
      <c r="VIG114" s="36"/>
      <c r="VIH114" s="38"/>
      <c r="VII114" s="38"/>
      <c r="VIO114" s="36"/>
      <c r="VIP114" s="38"/>
      <c r="VIQ114" s="38"/>
      <c r="VIW114" s="36"/>
      <c r="VIX114" s="38"/>
      <c r="VIY114" s="38"/>
      <c r="VJE114" s="36"/>
      <c r="VJF114" s="38"/>
      <c r="VJG114" s="38"/>
      <c r="VJM114" s="36"/>
      <c r="VJN114" s="38"/>
      <c r="VJO114" s="38"/>
      <c r="VJU114" s="36"/>
      <c r="VJV114" s="38"/>
      <c r="VJW114" s="38"/>
      <c r="VKC114" s="36"/>
      <c r="VKD114" s="38"/>
      <c r="VKE114" s="38"/>
      <c r="VKK114" s="36"/>
      <c r="VKL114" s="38"/>
      <c r="VKM114" s="38"/>
      <c r="VKS114" s="36"/>
      <c r="VKT114" s="38"/>
      <c r="VKU114" s="38"/>
      <c r="VLA114" s="36"/>
      <c r="VLB114" s="38"/>
      <c r="VLC114" s="38"/>
      <c r="VLI114" s="36"/>
      <c r="VLJ114" s="38"/>
      <c r="VLK114" s="38"/>
      <c r="VLQ114" s="36"/>
      <c r="VLR114" s="38"/>
      <c r="VLS114" s="38"/>
      <c r="VLY114" s="36"/>
      <c r="VLZ114" s="38"/>
      <c r="VMA114" s="38"/>
      <c r="VMG114" s="36"/>
      <c r="VMH114" s="38"/>
      <c r="VMI114" s="38"/>
      <c r="VMO114" s="36"/>
      <c r="VMP114" s="38"/>
      <c r="VMQ114" s="38"/>
      <c r="VMW114" s="36"/>
      <c r="VMX114" s="38"/>
      <c r="VMY114" s="38"/>
      <c r="VNE114" s="36"/>
      <c r="VNF114" s="38"/>
      <c r="VNG114" s="38"/>
      <c r="VNM114" s="36"/>
      <c r="VNN114" s="38"/>
      <c r="VNO114" s="38"/>
      <c r="VNU114" s="36"/>
      <c r="VNV114" s="38"/>
      <c r="VNW114" s="38"/>
      <c r="VOC114" s="36"/>
      <c r="VOD114" s="38"/>
      <c r="VOE114" s="38"/>
      <c r="VOK114" s="36"/>
      <c r="VOL114" s="38"/>
      <c r="VOM114" s="38"/>
      <c r="VOS114" s="36"/>
      <c r="VOT114" s="38"/>
      <c r="VOU114" s="38"/>
      <c r="VPA114" s="36"/>
      <c r="VPB114" s="38"/>
      <c r="VPC114" s="38"/>
      <c r="VPI114" s="36"/>
      <c r="VPJ114" s="38"/>
      <c r="VPK114" s="38"/>
      <c r="VPQ114" s="36"/>
      <c r="VPR114" s="38"/>
      <c r="VPS114" s="38"/>
      <c r="VPY114" s="36"/>
      <c r="VPZ114" s="38"/>
      <c r="VQA114" s="38"/>
      <c r="VQG114" s="36"/>
      <c r="VQH114" s="38"/>
      <c r="VQI114" s="38"/>
      <c r="VQO114" s="36"/>
      <c r="VQP114" s="38"/>
      <c r="VQQ114" s="38"/>
      <c r="VQW114" s="36"/>
      <c r="VQX114" s="38"/>
      <c r="VQY114" s="38"/>
      <c r="VRE114" s="36"/>
      <c r="VRF114" s="38"/>
      <c r="VRG114" s="38"/>
      <c r="VRM114" s="36"/>
      <c r="VRN114" s="38"/>
      <c r="VRO114" s="38"/>
      <c r="VRU114" s="36"/>
      <c r="VRV114" s="38"/>
      <c r="VRW114" s="38"/>
      <c r="VSC114" s="36"/>
      <c r="VSD114" s="38"/>
      <c r="VSE114" s="38"/>
      <c r="VSK114" s="36"/>
      <c r="VSL114" s="38"/>
      <c r="VSM114" s="38"/>
      <c r="VSS114" s="36"/>
      <c r="VST114" s="38"/>
      <c r="VSU114" s="38"/>
      <c r="VTA114" s="36"/>
      <c r="VTB114" s="38"/>
      <c r="VTC114" s="38"/>
      <c r="VTI114" s="36"/>
      <c r="VTJ114" s="38"/>
      <c r="VTK114" s="38"/>
      <c r="VTQ114" s="36"/>
      <c r="VTR114" s="38"/>
      <c r="VTS114" s="38"/>
      <c r="VTY114" s="36"/>
      <c r="VTZ114" s="38"/>
      <c r="VUA114" s="38"/>
      <c r="VUG114" s="36"/>
      <c r="VUH114" s="38"/>
      <c r="VUI114" s="38"/>
      <c r="VUO114" s="36"/>
      <c r="VUP114" s="38"/>
      <c r="VUQ114" s="38"/>
      <c r="VUW114" s="36"/>
      <c r="VUX114" s="38"/>
      <c r="VUY114" s="38"/>
      <c r="VVE114" s="36"/>
      <c r="VVF114" s="38"/>
      <c r="VVG114" s="38"/>
      <c r="VVM114" s="36"/>
      <c r="VVN114" s="38"/>
      <c r="VVO114" s="38"/>
      <c r="VVU114" s="36"/>
      <c r="VVV114" s="38"/>
      <c r="VVW114" s="38"/>
      <c r="VWC114" s="36"/>
      <c r="VWD114" s="38"/>
      <c r="VWE114" s="38"/>
      <c r="VWK114" s="36"/>
      <c r="VWL114" s="38"/>
      <c r="VWM114" s="38"/>
      <c r="VWS114" s="36"/>
      <c r="VWT114" s="38"/>
      <c r="VWU114" s="38"/>
      <c r="VXA114" s="36"/>
      <c r="VXB114" s="38"/>
      <c r="VXC114" s="38"/>
      <c r="VXI114" s="36"/>
      <c r="VXJ114" s="38"/>
      <c r="VXK114" s="38"/>
      <c r="VXQ114" s="36"/>
      <c r="VXR114" s="38"/>
      <c r="VXS114" s="38"/>
      <c r="VXY114" s="36"/>
      <c r="VXZ114" s="38"/>
      <c r="VYA114" s="38"/>
      <c r="VYG114" s="36"/>
      <c r="VYH114" s="38"/>
      <c r="VYI114" s="38"/>
      <c r="VYO114" s="36"/>
      <c r="VYP114" s="38"/>
      <c r="VYQ114" s="38"/>
      <c r="VYW114" s="36"/>
      <c r="VYX114" s="38"/>
      <c r="VYY114" s="38"/>
      <c r="VZE114" s="36"/>
      <c r="VZF114" s="38"/>
      <c r="VZG114" s="38"/>
      <c r="VZM114" s="36"/>
      <c r="VZN114" s="38"/>
      <c r="VZO114" s="38"/>
      <c r="VZU114" s="36"/>
      <c r="VZV114" s="38"/>
      <c r="VZW114" s="38"/>
      <c r="WAC114" s="36"/>
      <c r="WAD114" s="38"/>
      <c r="WAE114" s="38"/>
      <c r="WAK114" s="36"/>
      <c r="WAL114" s="38"/>
      <c r="WAM114" s="38"/>
      <c r="WAS114" s="36"/>
      <c r="WAT114" s="38"/>
      <c r="WAU114" s="38"/>
      <c r="WBA114" s="36"/>
      <c r="WBB114" s="38"/>
      <c r="WBC114" s="38"/>
      <c r="WBI114" s="36"/>
      <c r="WBJ114" s="38"/>
      <c r="WBK114" s="38"/>
      <c r="WBQ114" s="36"/>
      <c r="WBR114" s="38"/>
      <c r="WBS114" s="38"/>
      <c r="WBY114" s="36"/>
      <c r="WBZ114" s="38"/>
      <c r="WCA114" s="38"/>
      <c r="WCG114" s="36"/>
      <c r="WCH114" s="38"/>
      <c r="WCI114" s="38"/>
      <c r="WCO114" s="36"/>
      <c r="WCP114" s="38"/>
      <c r="WCQ114" s="38"/>
      <c r="WCW114" s="36"/>
      <c r="WCX114" s="38"/>
      <c r="WCY114" s="38"/>
      <c r="WDE114" s="36"/>
      <c r="WDF114" s="38"/>
      <c r="WDG114" s="38"/>
      <c r="WDM114" s="36"/>
      <c r="WDN114" s="38"/>
      <c r="WDO114" s="38"/>
      <c r="WDU114" s="36"/>
      <c r="WDV114" s="38"/>
      <c r="WDW114" s="38"/>
      <c r="WEC114" s="36"/>
      <c r="WED114" s="38"/>
      <c r="WEE114" s="38"/>
      <c r="WEK114" s="36"/>
      <c r="WEL114" s="38"/>
      <c r="WEM114" s="38"/>
      <c r="WES114" s="36"/>
      <c r="WET114" s="38"/>
      <c r="WEU114" s="38"/>
      <c r="WFA114" s="36"/>
      <c r="WFB114" s="38"/>
      <c r="WFC114" s="38"/>
      <c r="WFI114" s="36"/>
      <c r="WFJ114" s="38"/>
      <c r="WFK114" s="38"/>
      <c r="WFQ114" s="36"/>
      <c r="WFR114" s="38"/>
      <c r="WFS114" s="38"/>
      <c r="WFY114" s="36"/>
      <c r="WFZ114" s="38"/>
      <c r="WGA114" s="38"/>
      <c r="WGG114" s="36"/>
      <c r="WGH114" s="38"/>
      <c r="WGI114" s="38"/>
      <c r="WGO114" s="36"/>
      <c r="WGP114" s="38"/>
      <c r="WGQ114" s="38"/>
      <c r="WGW114" s="36"/>
      <c r="WGX114" s="38"/>
      <c r="WGY114" s="38"/>
      <c r="WHE114" s="36"/>
      <c r="WHF114" s="38"/>
      <c r="WHG114" s="38"/>
      <c r="WHM114" s="36"/>
      <c r="WHN114" s="38"/>
      <c r="WHO114" s="38"/>
      <c r="WHU114" s="36"/>
      <c r="WHV114" s="38"/>
      <c r="WHW114" s="38"/>
      <c r="WIC114" s="36"/>
      <c r="WID114" s="38"/>
      <c r="WIE114" s="38"/>
      <c r="WIK114" s="36"/>
      <c r="WIL114" s="38"/>
      <c r="WIM114" s="38"/>
      <c r="WIS114" s="36"/>
      <c r="WIT114" s="38"/>
      <c r="WIU114" s="38"/>
      <c r="WJA114" s="36"/>
      <c r="WJB114" s="38"/>
      <c r="WJC114" s="38"/>
      <c r="WJI114" s="36"/>
      <c r="WJJ114" s="38"/>
      <c r="WJK114" s="38"/>
      <c r="WJQ114" s="36"/>
      <c r="WJR114" s="38"/>
      <c r="WJS114" s="38"/>
      <c r="WJY114" s="36"/>
      <c r="WJZ114" s="38"/>
      <c r="WKA114" s="38"/>
      <c r="WKG114" s="36"/>
      <c r="WKH114" s="38"/>
      <c r="WKI114" s="38"/>
      <c r="WKO114" s="36"/>
      <c r="WKP114" s="38"/>
      <c r="WKQ114" s="38"/>
      <c r="WKW114" s="36"/>
      <c r="WKX114" s="38"/>
      <c r="WKY114" s="38"/>
      <c r="WLE114" s="36"/>
      <c r="WLF114" s="38"/>
      <c r="WLG114" s="38"/>
      <c r="WLM114" s="36"/>
      <c r="WLN114" s="38"/>
      <c r="WLO114" s="38"/>
      <c r="WLU114" s="36"/>
      <c r="WLV114" s="38"/>
      <c r="WLW114" s="38"/>
      <c r="WMC114" s="36"/>
      <c r="WMD114" s="38"/>
      <c r="WME114" s="38"/>
      <c r="WMK114" s="36"/>
      <c r="WML114" s="38"/>
      <c r="WMM114" s="38"/>
      <c r="WMS114" s="36"/>
      <c r="WMT114" s="38"/>
      <c r="WMU114" s="38"/>
      <c r="WNA114" s="36"/>
      <c r="WNB114" s="38"/>
      <c r="WNC114" s="38"/>
      <c r="WNI114" s="36"/>
      <c r="WNJ114" s="38"/>
      <c r="WNK114" s="38"/>
      <c r="WNQ114" s="36"/>
      <c r="WNR114" s="38"/>
      <c r="WNS114" s="38"/>
      <c r="WNY114" s="36"/>
      <c r="WNZ114" s="38"/>
      <c r="WOA114" s="38"/>
      <c r="WOG114" s="36"/>
      <c r="WOH114" s="38"/>
      <c r="WOI114" s="38"/>
      <c r="WOO114" s="36"/>
      <c r="WOP114" s="38"/>
      <c r="WOQ114" s="38"/>
      <c r="WOW114" s="36"/>
      <c r="WOX114" s="38"/>
      <c r="WOY114" s="38"/>
      <c r="WPE114" s="36"/>
      <c r="WPF114" s="38"/>
      <c r="WPG114" s="38"/>
      <c r="WPM114" s="36"/>
      <c r="WPN114" s="38"/>
      <c r="WPO114" s="38"/>
      <c r="WPU114" s="36"/>
      <c r="WPV114" s="38"/>
      <c r="WPW114" s="38"/>
      <c r="WQC114" s="36"/>
      <c r="WQD114" s="38"/>
      <c r="WQE114" s="38"/>
      <c r="WQK114" s="36"/>
      <c r="WQL114" s="38"/>
      <c r="WQM114" s="38"/>
      <c r="WQS114" s="36"/>
      <c r="WQT114" s="38"/>
      <c r="WQU114" s="38"/>
      <c r="WRA114" s="36"/>
      <c r="WRB114" s="38"/>
      <c r="WRC114" s="38"/>
      <c r="WRI114" s="36"/>
      <c r="WRJ114" s="38"/>
      <c r="WRK114" s="38"/>
      <c r="WRQ114" s="36"/>
      <c r="WRR114" s="38"/>
      <c r="WRS114" s="38"/>
      <c r="WRY114" s="36"/>
      <c r="WRZ114" s="38"/>
      <c r="WSA114" s="38"/>
      <c r="WSG114" s="36"/>
      <c r="WSH114" s="38"/>
      <c r="WSI114" s="38"/>
      <c r="WSO114" s="36"/>
      <c r="WSP114" s="38"/>
      <c r="WSQ114" s="38"/>
      <c r="WSW114" s="36"/>
      <c r="WSX114" s="38"/>
      <c r="WSY114" s="38"/>
      <c r="WTE114" s="36"/>
      <c r="WTF114" s="38"/>
      <c r="WTG114" s="38"/>
      <c r="WTM114" s="36"/>
      <c r="WTN114" s="38"/>
      <c r="WTO114" s="38"/>
      <c r="WTU114" s="36"/>
      <c r="WTV114" s="38"/>
      <c r="WTW114" s="38"/>
      <c r="WUC114" s="36"/>
      <c r="WUD114" s="38"/>
      <c r="WUE114" s="38"/>
      <c r="WUK114" s="36"/>
      <c r="WUL114" s="38"/>
      <c r="WUM114" s="38"/>
      <c r="WUS114" s="36"/>
      <c r="WUT114" s="38"/>
      <c r="WUU114" s="38"/>
      <c r="WVA114" s="36"/>
      <c r="WVB114" s="38"/>
      <c r="WVC114" s="38"/>
      <c r="WVI114" s="36"/>
      <c r="WVJ114" s="38"/>
      <c r="WVK114" s="38"/>
      <c r="WVQ114" s="36"/>
      <c r="WVR114" s="38"/>
      <c r="WVS114" s="38"/>
      <c r="WVY114" s="36"/>
      <c r="WVZ114" s="38"/>
      <c r="WWA114" s="38"/>
      <c r="WWG114" s="36"/>
      <c r="WWH114" s="38"/>
      <c r="WWI114" s="38"/>
      <c r="WWO114" s="36"/>
      <c r="WWP114" s="38"/>
      <c r="WWQ114" s="38"/>
      <c r="WWW114" s="36"/>
      <c r="WWX114" s="38"/>
      <c r="WWY114" s="38"/>
      <c r="WXE114" s="36"/>
      <c r="WXF114" s="38"/>
      <c r="WXG114" s="38"/>
      <c r="WXM114" s="36"/>
      <c r="WXN114" s="38"/>
      <c r="WXO114" s="38"/>
      <c r="WXU114" s="36"/>
      <c r="WXV114" s="38"/>
      <c r="WXW114" s="38"/>
      <c r="WYC114" s="36"/>
      <c r="WYD114" s="38"/>
      <c r="WYE114" s="38"/>
      <c r="WYK114" s="36"/>
      <c r="WYL114" s="38"/>
      <c r="WYM114" s="38"/>
      <c r="WYS114" s="36"/>
      <c r="WYT114" s="38"/>
      <c r="WYU114" s="38"/>
      <c r="WZA114" s="36"/>
      <c r="WZB114" s="38"/>
      <c r="WZC114" s="38"/>
      <c r="WZI114" s="36"/>
      <c r="WZJ114" s="38"/>
      <c r="WZK114" s="38"/>
      <c r="WZQ114" s="36"/>
      <c r="WZR114" s="38"/>
      <c r="WZS114" s="38"/>
      <c r="WZY114" s="36"/>
      <c r="WZZ114" s="38"/>
      <c r="XAA114" s="38"/>
      <c r="XAG114" s="36"/>
      <c r="XAH114" s="38"/>
      <c r="XAI114" s="38"/>
      <c r="XAO114" s="36"/>
      <c r="XAP114" s="38"/>
      <c r="XAQ114" s="38"/>
      <c r="XAW114" s="36"/>
      <c r="XAX114" s="38"/>
      <c r="XAY114" s="38"/>
      <c r="XBE114" s="36"/>
      <c r="XBF114" s="38"/>
      <c r="XBG114" s="38"/>
      <c r="XBM114" s="36"/>
      <c r="XBN114" s="38"/>
      <c r="XBO114" s="38"/>
      <c r="XBU114" s="36"/>
      <c r="XBV114" s="38"/>
      <c r="XBW114" s="38"/>
      <c r="XCC114" s="36"/>
      <c r="XCD114" s="38"/>
      <c r="XCE114" s="38"/>
      <c r="XCK114" s="36"/>
      <c r="XCL114" s="38"/>
      <c r="XCM114" s="38"/>
      <c r="XCS114" s="36"/>
      <c r="XCT114" s="38"/>
      <c r="XCU114" s="38"/>
      <c r="XDA114" s="36"/>
      <c r="XDB114" s="38"/>
      <c r="XDC114" s="38"/>
      <c r="XDI114" s="36"/>
      <c r="XDJ114" s="38"/>
      <c r="XDK114" s="38"/>
      <c r="XDQ114" s="36"/>
      <c r="XDR114" s="38"/>
      <c r="XDS114" s="38"/>
      <c r="XDY114" s="36"/>
      <c r="XDZ114" s="38"/>
      <c r="XEA114" s="38"/>
      <c r="XEG114" s="36"/>
      <c r="XEH114" s="38"/>
      <c r="XEI114" s="38"/>
      <c r="XEO114" s="36"/>
      <c r="XEP114" s="38"/>
      <c r="XEQ114" s="38"/>
      <c r="XEW114" s="36"/>
      <c r="XEX114" s="38"/>
      <c r="XEY114" s="38"/>
    </row>
    <row r="115" spans="1:1019 1025:2043 2049:3067 3073:4091 4097:5115 5121:6139 6145:7163 7169:8187 8193:9211 9217:10235 10241:11259 11265:12283 12289:13307 13313:14331 14337:15355 15361:16379" s="24" customFormat="1" ht="15" customHeight="1">
      <c r="A115" s="107">
        <v>2026</v>
      </c>
      <c r="B115" s="38" t="s">
        <v>23</v>
      </c>
      <c r="C115" s="38">
        <v>1062536.93</v>
      </c>
      <c r="D115" s="24">
        <v>240370.57</v>
      </c>
      <c r="E115" s="24">
        <v>62198.03</v>
      </c>
      <c r="F115" s="24">
        <v>562910</v>
      </c>
      <c r="G115" s="24">
        <v>194843.33</v>
      </c>
      <c r="H115" s="24">
        <v>2215</v>
      </c>
      <c r="I115" s="36"/>
      <c r="J115" s="38"/>
      <c r="K115" s="38"/>
      <c r="Q115" s="36"/>
      <c r="R115" s="38"/>
      <c r="S115" s="38"/>
      <c r="Y115" s="36"/>
      <c r="Z115" s="38"/>
      <c r="AA115" s="38"/>
      <c r="AG115" s="36"/>
      <c r="AH115" s="38"/>
      <c r="AI115" s="38"/>
      <c r="AO115" s="36"/>
      <c r="AP115" s="38"/>
      <c r="AQ115" s="38"/>
      <c r="AW115" s="36"/>
      <c r="AX115" s="38"/>
      <c r="AY115" s="38"/>
      <c r="BE115" s="36"/>
      <c r="BF115" s="38"/>
      <c r="BG115" s="38"/>
      <c r="BM115" s="36"/>
      <c r="BN115" s="38"/>
      <c r="BO115" s="38"/>
      <c r="BU115" s="36"/>
      <c r="BV115" s="38"/>
      <c r="BW115" s="38"/>
      <c r="CC115" s="36"/>
      <c r="CD115" s="38"/>
      <c r="CE115" s="38"/>
      <c r="CK115" s="36"/>
      <c r="CL115" s="38"/>
      <c r="CM115" s="38"/>
      <c r="CS115" s="36"/>
      <c r="CT115" s="38"/>
      <c r="CU115" s="38"/>
      <c r="DA115" s="36"/>
      <c r="DB115" s="38"/>
      <c r="DC115" s="38"/>
      <c r="DI115" s="36"/>
      <c r="DJ115" s="38"/>
      <c r="DK115" s="38"/>
      <c r="DQ115" s="36"/>
      <c r="DR115" s="38"/>
      <c r="DS115" s="38"/>
      <c r="DY115" s="36"/>
      <c r="DZ115" s="38"/>
      <c r="EA115" s="38"/>
      <c r="EG115" s="36"/>
      <c r="EH115" s="38"/>
      <c r="EI115" s="38"/>
      <c r="EO115" s="36"/>
      <c r="EP115" s="38"/>
      <c r="EQ115" s="38"/>
      <c r="EW115" s="36"/>
      <c r="EX115" s="38"/>
      <c r="EY115" s="38"/>
      <c r="FE115" s="36"/>
      <c r="FF115" s="38"/>
      <c r="FG115" s="38"/>
      <c r="FM115" s="36"/>
      <c r="FN115" s="38"/>
      <c r="FO115" s="38"/>
      <c r="FU115" s="36"/>
      <c r="FV115" s="38"/>
      <c r="FW115" s="38"/>
      <c r="GC115" s="36"/>
      <c r="GD115" s="38"/>
      <c r="GE115" s="38"/>
      <c r="GK115" s="36"/>
      <c r="GL115" s="38"/>
      <c r="GM115" s="38"/>
      <c r="GS115" s="36"/>
      <c r="GT115" s="38"/>
      <c r="GU115" s="38"/>
      <c r="HA115" s="36"/>
      <c r="HB115" s="38"/>
      <c r="HC115" s="38"/>
      <c r="HI115" s="36"/>
      <c r="HJ115" s="38"/>
      <c r="HK115" s="38"/>
      <c r="HQ115" s="36"/>
      <c r="HR115" s="38"/>
      <c r="HS115" s="38"/>
      <c r="HY115" s="36"/>
      <c r="HZ115" s="38"/>
      <c r="IA115" s="38"/>
      <c r="IG115" s="36"/>
      <c r="IH115" s="38"/>
      <c r="II115" s="38"/>
      <c r="IO115" s="36"/>
      <c r="IP115" s="38"/>
      <c r="IQ115" s="38"/>
      <c r="IW115" s="36"/>
      <c r="IX115" s="38"/>
      <c r="IY115" s="38"/>
      <c r="JE115" s="36"/>
      <c r="JF115" s="38"/>
      <c r="JG115" s="38"/>
      <c r="JM115" s="36"/>
      <c r="JN115" s="38"/>
      <c r="JO115" s="38"/>
      <c r="JU115" s="36"/>
      <c r="JV115" s="38"/>
      <c r="JW115" s="38"/>
      <c r="KC115" s="36"/>
      <c r="KD115" s="38"/>
      <c r="KE115" s="38"/>
      <c r="KK115" s="36"/>
      <c r="KL115" s="38"/>
      <c r="KM115" s="38"/>
      <c r="KS115" s="36"/>
      <c r="KT115" s="38"/>
      <c r="KU115" s="38"/>
      <c r="LA115" s="36"/>
      <c r="LB115" s="38"/>
      <c r="LC115" s="38"/>
      <c r="LI115" s="36"/>
      <c r="LJ115" s="38"/>
      <c r="LK115" s="38"/>
      <c r="LQ115" s="36"/>
      <c r="LR115" s="38"/>
      <c r="LS115" s="38"/>
      <c r="LY115" s="36"/>
      <c r="LZ115" s="38"/>
      <c r="MA115" s="38"/>
      <c r="MG115" s="36"/>
      <c r="MH115" s="38"/>
      <c r="MI115" s="38"/>
      <c r="MO115" s="36"/>
      <c r="MP115" s="38"/>
      <c r="MQ115" s="38"/>
      <c r="MW115" s="36"/>
      <c r="MX115" s="38"/>
      <c r="MY115" s="38"/>
      <c r="NE115" s="36"/>
      <c r="NF115" s="38"/>
      <c r="NG115" s="38"/>
      <c r="NM115" s="36"/>
      <c r="NN115" s="38"/>
      <c r="NO115" s="38"/>
      <c r="NU115" s="36"/>
      <c r="NV115" s="38"/>
      <c r="NW115" s="38"/>
      <c r="OC115" s="36"/>
      <c r="OD115" s="38"/>
      <c r="OE115" s="38"/>
      <c r="OK115" s="36"/>
      <c r="OL115" s="38"/>
      <c r="OM115" s="38"/>
      <c r="OS115" s="36"/>
      <c r="OT115" s="38"/>
      <c r="OU115" s="38"/>
      <c r="PA115" s="36"/>
      <c r="PB115" s="38"/>
      <c r="PC115" s="38"/>
      <c r="PI115" s="36"/>
      <c r="PJ115" s="38"/>
      <c r="PK115" s="38"/>
      <c r="PQ115" s="36"/>
      <c r="PR115" s="38"/>
      <c r="PS115" s="38"/>
      <c r="PY115" s="36"/>
      <c r="PZ115" s="38"/>
      <c r="QA115" s="38"/>
      <c r="QG115" s="36"/>
      <c r="QH115" s="38"/>
      <c r="QI115" s="38"/>
      <c r="QO115" s="36"/>
      <c r="QP115" s="38"/>
      <c r="QQ115" s="38"/>
      <c r="QW115" s="36"/>
      <c r="QX115" s="38"/>
      <c r="QY115" s="38"/>
      <c r="RE115" s="36"/>
      <c r="RF115" s="38"/>
      <c r="RG115" s="38"/>
      <c r="RM115" s="36"/>
      <c r="RN115" s="38"/>
      <c r="RO115" s="38"/>
      <c r="RU115" s="36"/>
      <c r="RV115" s="38"/>
      <c r="RW115" s="38"/>
      <c r="SC115" s="36"/>
      <c r="SD115" s="38"/>
      <c r="SE115" s="38"/>
      <c r="SK115" s="36"/>
      <c r="SL115" s="38"/>
      <c r="SM115" s="38"/>
      <c r="SS115" s="36"/>
      <c r="ST115" s="38"/>
      <c r="SU115" s="38"/>
      <c r="TA115" s="36"/>
      <c r="TB115" s="38"/>
      <c r="TC115" s="38"/>
      <c r="TI115" s="36"/>
      <c r="TJ115" s="38"/>
      <c r="TK115" s="38"/>
      <c r="TQ115" s="36"/>
      <c r="TR115" s="38"/>
      <c r="TS115" s="38"/>
      <c r="TY115" s="36"/>
      <c r="TZ115" s="38"/>
      <c r="UA115" s="38"/>
      <c r="UG115" s="36"/>
      <c r="UH115" s="38"/>
      <c r="UI115" s="38"/>
      <c r="UO115" s="36"/>
      <c r="UP115" s="38"/>
      <c r="UQ115" s="38"/>
      <c r="UW115" s="36"/>
      <c r="UX115" s="38"/>
      <c r="UY115" s="38"/>
      <c r="VE115" s="36"/>
      <c r="VF115" s="38"/>
      <c r="VG115" s="38"/>
      <c r="VM115" s="36"/>
      <c r="VN115" s="38"/>
      <c r="VO115" s="38"/>
      <c r="VU115" s="36"/>
      <c r="VV115" s="38"/>
      <c r="VW115" s="38"/>
      <c r="WC115" s="36"/>
      <c r="WD115" s="38"/>
      <c r="WE115" s="38"/>
      <c r="WK115" s="36"/>
      <c r="WL115" s="38"/>
      <c r="WM115" s="38"/>
      <c r="WS115" s="36"/>
      <c r="WT115" s="38"/>
      <c r="WU115" s="38"/>
      <c r="XA115" s="36"/>
      <c r="XB115" s="38"/>
      <c r="XC115" s="38"/>
      <c r="XI115" s="36"/>
      <c r="XJ115" s="38"/>
      <c r="XK115" s="38"/>
      <c r="XQ115" s="36"/>
      <c r="XR115" s="38"/>
      <c r="XS115" s="38"/>
      <c r="XY115" s="36"/>
      <c r="XZ115" s="38"/>
      <c r="YA115" s="38"/>
      <c r="YG115" s="36"/>
      <c r="YH115" s="38"/>
      <c r="YI115" s="38"/>
      <c r="YO115" s="36"/>
      <c r="YP115" s="38"/>
      <c r="YQ115" s="38"/>
      <c r="YW115" s="36"/>
      <c r="YX115" s="38"/>
      <c r="YY115" s="38"/>
      <c r="ZE115" s="36"/>
      <c r="ZF115" s="38"/>
      <c r="ZG115" s="38"/>
      <c r="ZM115" s="36"/>
      <c r="ZN115" s="38"/>
      <c r="ZO115" s="38"/>
      <c r="ZU115" s="36"/>
      <c r="ZV115" s="38"/>
      <c r="ZW115" s="38"/>
      <c r="AAC115" s="36"/>
      <c r="AAD115" s="38"/>
      <c r="AAE115" s="38"/>
      <c r="AAK115" s="36"/>
      <c r="AAL115" s="38"/>
      <c r="AAM115" s="38"/>
      <c r="AAS115" s="36"/>
      <c r="AAT115" s="38"/>
      <c r="AAU115" s="38"/>
      <c r="ABA115" s="36"/>
      <c r="ABB115" s="38"/>
      <c r="ABC115" s="38"/>
      <c r="ABI115" s="36"/>
      <c r="ABJ115" s="38"/>
      <c r="ABK115" s="38"/>
      <c r="ABQ115" s="36"/>
      <c r="ABR115" s="38"/>
      <c r="ABS115" s="38"/>
      <c r="ABY115" s="36"/>
      <c r="ABZ115" s="38"/>
      <c r="ACA115" s="38"/>
      <c r="ACG115" s="36"/>
      <c r="ACH115" s="38"/>
      <c r="ACI115" s="38"/>
      <c r="ACO115" s="36"/>
      <c r="ACP115" s="38"/>
      <c r="ACQ115" s="38"/>
      <c r="ACW115" s="36"/>
      <c r="ACX115" s="38"/>
      <c r="ACY115" s="38"/>
      <c r="ADE115" s="36"/>
      <c r="ADF115" s="38"/>
      <c r="ADG115" s="38"/>
      <c r="ADM115" s="36"/>
      <c r="ADN115" s="38"/>
      <c r="ADO115" s="38"/>
      <c r="ADU115" s="36"/>
      <c r="ADV115" s="38"/>
      <c r="ADW115" s="38"/>
      <c r="AEC115" s="36"/>
      <c r="AED115" s="38"/>
      <c r="AEE115" s="38"/>
      <c r="AEK115" s="36"/>
      <c r="AEL115" s="38"/>
      <c r="AEM115" s="38"/>
      <c r="AES115" s="36"/>
      <c r="AET115" s="38"/>
      <c r="AEU115" s="38"/>
      <c r="AFA115" s="36"/>
      <c r="AFB115" s="38"/>
      <c r="AFC115" s="38"/>
      <c r="AFI115" s="36"/>
      <c r="AFJ115" s="38"/>
      <c r="AFK115" s="38"/>
      <c r="AFQ115" s="36"/>
      <c r="AFR115" s="38"/>
      <c r="AFS115" s="38"/>
      <c r="AFY115" s="36"/>
      <c r="AFZ115" s="38"/>
      <c r="AGA115" s="38"/>
      <c r="AGG115" s="36"/>
      <c r="AGH115" s="38"/>
      <c r="AGI115" s="38"/>
      <c r="AGO115" s="36"/>
      <c r="AGP115" s="38"/>
      <c r="AGQ115" s="38"/>
      <c r="AGW115" s="36"/>
      <c r="AGX115" s="38"/>
      <c r="AGY115" s="38"/>
      <c r="AHE115" s="36"/>
      <c r="AHF115" s="38"/>
      <c r="AHG115" s="38"/>
      <c r="AHM115" s="36"/>
      <c r="AHN115" s="38"/>
      <c r="AHO115" s="38"/>
      <c r="AHU115" s="36"/>
      <c r="AHV115" s="38"/>
      <c r="AHW115" s="38"/>
      <c r="AIC115" s="36"/>
      <c r="AID115" s="38"/>
      <c r="AIE115" s="38"/>
      <c r="AIK115" s="36"/>
      <c r="AIL115" s="38"/>
      <c r="AIM115" s="38"/>
      <c r="AIS115" s="36"/>
      <c r="AIT115" s="38"/>
      <c r="AIU115" s="38"/>
      <c r="AJA115" s="36"/>
      <c r="AJB115" s="38"/>
      <c r="AJC115" s="38"/>
      <c r="AJI115" s="36"/>
      <c r="AJJ115" s="38"/>
      <c r="AJK115" s="38"/>
      <c r="AJQ115" s="36"/>
      <c r="AJR115" s="38"/>
      <c r="AJS115" s="38"/>
      <c r="AJY115" s="36"/>
      <c r="AJZ115" s="38"/>
      <c r="AKA115" s="38"/>
      <c r="AKG115" s="36"/>
      <c r="AKH115" s="38"/>
      <c r="AKI115" s="38"/>
      <c r="AKO115" s="36"/>
      <c r="AKP115" s="38"/>
      <c r="AKQ115" s="38"/>
      <c r="AKW115" s="36"/>
      <c r="AKX115" s="38"/>
      <c r="AKY115" s="38"/>
      <c r="ALE115" s="36"/>
      <c r="ALF115" s="38"/>
      <c r="ALG115" s="38"/>
      <c r="ALM115" s="36"/>
      <c r="ALN115" s="38"/>
      <c r="ALO115" s="38"/>
      <c r="ALU115" s="36"/>
      <c r="ALV115" s="38"/>
      <c r="ALW115" s="38"/>
      <c r="AMC115" s="36"/>
      <c r="AMD115" s="38"/>
      <c r="AME115" s="38"/>
      <c r="AMK115" s="36"/>
      <c r="AML115" s="38"/>
      <c r="AMM115" s="38"/>
      <c r="AMS115" s="36"/>
      <c r="AMT115" s="38"/>
      <c r="AMU115" s="38"/>
      <c r="ANA115" s="36"/>
      <c r="ANB115" s="38"/>
      <c r="ANC115" s="38"/>
      <c r="ANI115" s="36"/>
      <c r="ANJ115" s="38"/>
      <c r="ANK115" s="38"/>
      <c r="ANQ115" s="36"/>
      <c r="ANR115" s="38"/>
      <c r="ANS115" s="38"/>
      <c r="ANY115" s="36"/>
      <c r="ANZ115" s="38"/>
      <c r="AOA115" s="38"/>
      <c r="AOG115" s="36"/>
      <c r="AOH115" s="38"/>
      <c r="AOI115" s="38"/>
      <c r="AOO115" s="36"/>
      <c r="AOP115" s="38"/>
      <c r="AOQ115" s="38"/>
      <c r="AOW115" s="36"/>
      <c r="AOX115" s="38"/>
      <c r="AOY115" s="38"/>
      <c r="APE115" s="36"/>
      <c r="APF115" s="38"/>
      <c r="APG115" s="38"/>
      <c r="APM115" s="36"/>
      <c r="APN115" s="38"/>
      <c r="APO115" s="38"/>
      <c r="APU115" s="36"/>
      <c r="APV115" s="38"/>
      <c r="APW115" s="38"/>
      <c r="AQC115" s="36"/>
      <c r="AQD115" s="38"/>
      <c r="AQE115" s="38"/>
      <c r="AQK115" s="36"/>
      <c r="AQL115" s="38"/>
      <c r="AQM115" s="38"/>
      <c r="AQS115" s="36"/>
      <c r="AQT115" s="38"/>
      <c r="AQU115" s="38"/>
      <c r="ARA115" s="36"/>
      <c r="ARB115" s="38"/>
      <c r="ARC115" s="38"/>
      <c r="ARI115" s="36"/>
      <c r="ARJ115" s="38"/>
      <c r="ARK115" s="38"/>
      <c r="ARQ115" s="36"/>
      <c r="ARR115" s="38"/>
      <c r="ARS115" s="38"/>
      <c r="ARY115" s="36"/>
      <c r="ARZ115" s="38"/>
      <c r="ASA115" s="38"/>
      <c r="ASG115" s="36"/>
      <c r="ASH115" s="38"/>
      <c r="ASI115" s="38"/>
      <c r="ASO115" s="36"/>
      <c r="ASP115" s="38"/>
      <c r="ASQ115" s="38"/>
      <c r="ASW115" s="36"/>
      <c r="ASX115" s="38"/>
      <c r="ASY115" s="38"/>
      <c r="ATE115" s="36"/>
      <c r="ATF115" s="38"/>
      <c r="ATG115" s="38"/>
      <c r="ATM115" s="36"/>
      <c r="ATN115" s="38"/>
      <c r="ATO115" s="38"/>
      <c r="ATU115" s="36"/>
      <c r="ATV115" s="38"/>
      <c r="ATW115" s="38"/>
      <c r="AUC115" s="36"/>
      <c r="AUD115" s="38"/>
      <c r="AUE115" s="38"/>
      <c r="AUK115" s="36"/>
      <c r="AUL115" s="38"/>
      <c r="AUM115" s="38"/>
      <c r="AUS115" s="36"/>
      <c r="AUT115" s="38"/>
      <c r="AUU115" s="38"/>
      <c r="AVA115" s="36"/>
      <c r="AVB115" s="38"/>
      <c r="AVC115" s="38"/>
      <c r="AVI115" s="36"/>
      <c r="AVJ115" s="38"/>
      <c r="AVK115" s="38"/>
      <c r="AVQ115" s="36"/>
      <c r="AVR115" s="38"/>
      <c r="AVS115" s="38"/>
      <c r="AVY115" s="36"/>
      <c r="AVZ115" s="38"/>
      <c r="AWA115" s="38"/>
      <c r="AWG115" s="36"/>
      <c r="AWH115" s="38"/>
      <c r="AWI115" s="38"/>
      <c r="AWO115" s="36"/>
      <c r="AWP115" s="38"/>
      <c r="AWQ115" s="38"/>
      <c r="AWW115" s="36"/>
      <c r="AWX115" s="38"/>
      <c r="AWY115" s="38"/>
      <c r="AXE115" s="36"/>
      <c r="AXF115" s="38"/>
      <c r="AXG115" s="38"/>
      <c r="AXM115" s="36"/>
      <c r="AXN115" s="38"/>
      <c r="AXO115" s="38"/>
      <c r="AXU115" s="36"/>
      <c r="AXV115" s="38"/>
      <c r="AXW115" s="38"/>
      <c r="AYC115" s="36"/>
      <c r="AYD115" s="38"/>
      <c r="AYE115" s="38"/>
      <c r="AYK115" s="36"/>
      <c r="AYL115" s="38"/>
      <c r="AYM115" s="38"/>
      <c r="AYS115" s="36"/>
      <c r="AYT115" s="38"/>
      <c r="AYU115" s="38"/>
      <c r="AZA115" s="36"/>
      <c r="AZB115" s="38"/>
      <c r="AZC115" s="38"/>
      <c r="AZI115" s="36"/>
      <c r="AZJ115" s="38"/>
      <c r="AZK115" s="38"/>
      <c r="AZQ115" s="36"/>
      <c r="AZR115" s="38"/>
      <c r="AZS115" s="38"/>
      <c r="AZY115" s="36"/>
      <c r="AZZ115" s="38"/>
      <c r="BAA115" s="38"/>
      <c r="BAG115" s="36"/>
      <c r="BAH115" s="38"/>
      <c r="BAI115" s="38"/>
      <c r="BAO115" s="36"/>
      <c r="BAP115" s="38"/>
      <c r="BAQ115" s="38"/>
      <c r="BAW115" s="36"/>
      <c r="BAX115" s="38"/>
      <c r="BAY115" s="38"/>
      <c r="BBE115" s="36"/>
      <c r="BBF115" s="38"/>
      <c r="BBG115" s="38"/>
      <c r="BBM115" s="36"/>
      <c r="BBN115" s="38"/>
      <c r="BBO115" s="38"/>
      <c r="BBU115" s="36"/>
      <c r="BBV115" s="38"/>
      <c r="BBW115" s="38"/>
      <c r="BCC115" s="36"/>
      <c r="BCD115" s="38"/>
      <c r="BCE115" s="38"/>
      <c r="BCK115" s="36"/>
      <c r="BCL115" s="38"/>
      <c r="BCM115" s="38"/>
      <c r="BCS115" s="36"/>
      <c r="BCT115" s="38"/>
      <c r="BCU115" s="38"/>
      <c r="BDA115" s="36"/>
      <c r="BDB115" s="38"/>
      <c r="BDC115" s="38"/>
      <c r="BDI115" s="36"/>
      <c r="BDJ115" s="38"/>
      <c r="BDK115" s="38"/>
      <c r="BDQ115" s="36"/>
      <c r="BDR115" s="38"/>
      <c r="BDS115" s="38"/>
      <c r="BDY115" s="36"/>
      <c r="BDZ115" s="38"/>
      <c r="BEA115" s="38"/>
      <c r="BEG115" s="36"/>
      <c r="BEH115" s="38"/>
      <c r="BEI115" s="38"/>
      <c r="BEO115" s="36"/>
      <c r="BEP115" s="38"/>
      <c r="BEQ115" s="38"/>
      <c r="BEW115" s="36"/>
      <c r="BEX115" s="38"/>
      <c r="BEY115" s="38"/>
      <c r="BFE115" s="36"/>
      <c r="BFF115" s="38"/>
      <c r="BFG115" s="38"/>
      <c r="BFM115" s="36"/>
      <c r="BFN115" s="38"/>
      <c r="BFO115" s="38"/>
      <c r="BFU115" s="36"/>
      <c r="BFV115" s="38"/>
      <c r="BFW115" s="38"/>
      <c r="BGC115" s="36"/>
      <c r="BGD115" s="38"/>
      <c r="BGE115" s="38"/>
      <c r="BGK115" s="36"/>
      <c r="BGL115" s="38"/>
      <c r="BGM115" s="38"/>
      <c r="BGS115" s="36"/>
      <c r="BGT115" s="38"/>
      <c r="BGU115" s="38"/>
      <c r="BHA115" s="36"/>
      <c r="BHB115" s="38"/>
      <c r="BHC115" s="38"/>
      <c r="BHI115" s="36"/>
      <c r="BHJ115" s="38"/>
      <c r="BHK115" s="38"/>
      <c r="BHQ115" s="36"/>
      <c r="BHR115" s="38"/>
      <c r="BHS115" s="38"/>
      <c r="BHY115" s="36"/>
      <c r="BHZ115" s="38"/>
      <c r="BIA115" s="38"/>
      <c r="BIG115" s="36"/>
      <c r="BIH115" s="38"/>
      <c r="BII115" s="38"/>
      <c r="BIO115" s="36"/>
      <c r="BIP115" s="38"/>
      <c r="BIQ115" s="38"/>
      <c r="BIW115" s="36"/>
      <c r="BIX115" s="38"/>
      <c r="BIY115" s="38"/>
      <c r="BJE115" s="36"/>
      <c r="BJF115" s="38"/>
      <c r="BJG115" s="38"/>
      <c r="BJM115" s="36"/>
      <c r="BJN115" s="38"/>
      <c r="BJO115" s="38"/>
      <c r="BJU115" s="36"/>
      <c r="BJV115" s="38"/>
      <c r="BJW115" s="38"/>
      <c r="BKC115" s="36"/>
      <c r="BKD115" s="38"/>
      <c r="BKE115" s="38"/>
      <c r="BKK115" s="36"/>
      <c r="BKL115" s="38"/>
      <c r="BKM115" s="38"/>
      <c r="BKS115" s="36"/>
      <c r="BKT115" s="38"/>
      <c r="BKU115" s="38"/>
      <c r="BLA115" s="36"/>
      <c r="BLB115" s="38"/>
      <c r="BLC115" s="38"/>
      <c r="BLI115" s="36"/>
      <c r="BLJ115" s="38"/>
      <c r="BLK115" s="38"/>
      <c r="BLQ115" s="36"/>
      <c r="BLR115" s="38"/>
      <c r="BLS115" s="38"/>
      <c r="BLY115" s="36"/>
      <c r="BLZ115" s="38"/>
      <c r="BMA115" s="38"/>
      <c r="BMG115" s="36"/>
      <c r="BMH115" s="38"/>
      <c r="BMI115" s="38"/>
      <c r="BMO115" s="36"/>
      <c r="BMP115" s="38"/>
      <c r="BMQ115" s="38"/>
      <c r="BMW115" s="36"/>
      <c r="BMX115" s="38"/>
      <c r="BMY115" s="38"/>
      <c r="BNE115" s="36"/>
      <c r="BNF115" s="38"/>
      <c r="BNG115" s="38"/>
      <c r="BNM115" s="36"/>
      <c r="BNN115" s="38"/>
      <c r="BNO115" s="38"/>
      <c r="BNU115" s="36"/>
      <c r="BNV115" s="38"/>
      <c r="BNW115" s="38"/>
      <c r="BOC115" s="36"/>
      <c r="BOD115" s="38"/>
      <c r="BOE115" s="38"/>
      <c r="BOK115" s="36"/>
      <c r="BOL115" s="38"/>
      <c r="BOM115" s="38"/>
      <c r="BOS115" s="36"/>
      <c r="BOT115" s="38"/>
      <c r="BOU115" s="38"/>
      <c r="BPA115" s="36"/>
      <c r="BPB115" s="38"/>
      <c r="BPC115" s="38"/>
      <c r="BPI115" s="36"/>
      <c r="BPJ115" s="38"/>
      <c r="BPK115" s="38"/>
      <c r="BPQ115" s="36"/>
      <c r="BPR115" s="38"/>
      <c r="BPS115" s="38"/>
      <c r="BPY115" s="36"/>
      <c r="BPZ115" s="38"/>
      <c r="BQA115" s="38"/>
      <c r="BQG115" s="36"/>
      <c r="BQH115" s="38"/>
      <c r="BQI115" s="38"/>
      <c r="BQO115" s="36"/>
      <c r="BQP115" s="38"/>
      <c r="BQQ115" s="38"/>
      <c r="BQW115" s="36"/>
      <c r="BQX115" s="38"/>
      <c r="BQY115" s="38"/>
      <c r="BRE115" s="36"/>
      <c r="BRF115" s="38"/>
      <c r="BRG115" s="38"/>
      <c r="BRM115" s="36"/>
      <c r="BRN115" s="38"/>
      <c r="BRO115" s="38"/>
      <c r="BRU115" s="36"/>
      <c r="BRV115" s="38"/>
      <c r="BRW115" s="38"/>
      <c r="BSC115" s="36"/>
      <c r="BSD115" s="38"/>
      <c r="BSE115" s="38"/>
      <c r="BSK115" s="36"/>
      <c r="BSL115" s="38"/>
      <c r="BSM115" s="38"/>
      <c r="BSS115" s="36"/>
      <c r="BST115" s="38"/>
      <c r="BSU115" s="38"/>
      <c r="BTA115" s="36"/>
      <c r="BTB115" s="38"/>
      <c r="BTC115" s="38"/>
      <c r="BTI115" s="36"/>
      <c r="BTJ115" s="38"/>
      <c r="BTK115" s="38"/>
      <c r="BTQ115" s="36"/>
      <c r="BTR115" s="38"/>
      <c r="BTS115" s="38"/>
      <c r="BTY115" s="36"/>
      <c r="BTZ115" s="38"/>
      <c r="BUA115" s="38"/>
      <c r="BUG115" s="36"/>
      <c r="BUH115" s="38"/>
      <c r="BUI115" s="38"/>
      <c r="BUO115" s="36"/>
      <c r="BUP115" s="38"/>
      <c r="BUQ115" s="38"/>
      <c r="BUW115" s="36"/>
      <c r="BUX115" s="38"/>
      <c r="BUY115" s="38"/>
      <c r="BVE115" s="36"/>
      <c r="BVF115" s="38"/>
      <c r="BVG115" s="38"/>
      <c r="BVM115" s="36"/>
      <c r="BVN115" s="38"/>
      <c r="BVO115" s="38"/>
      <c r="BVU115" s="36"/>
      <c r="BVV115" s="38"/>
      <c r="BVW115" s="38"/>
      <c r="BWC115" s="36"/>
      <c r="BWD115" s="38"/>
      <c r="BWE115" s="38"/>
      <c r="BWK115" s="36"/>
      <c r="BWL115" s="38"/>
      <c r="BWM115" s="38"/>
      <c r="BWS115" s="36"/>
      <c r="BWT115" s="38"/>
      <c r="BWU115" s="38"/>
      <c r="BXA115" s="36"/>
      <c r="BXB115" s="38"/>
      <c r="BXC115" s="38"/>
      <c r="BXI115" s="36"/>
      <c r="BXJ115" s="38"/>
      <c r="BXK115" s="38"/>
      <c r="BXQ115" s="36"/>
      <c r="BXR115" s="38"/>
      <c r="BXS115" s="38"/>
      <c r="BXY115" s="36"/>
      <c r="BXZ115" s="38"/>
      <c r="BYA115" s="38"/>
      <c r="BYG115" s="36"/>
      <c r="BYH115" s="38"/>
      <c r="BYI115" s="38"/>
      <c r="BYO115" s="36"/>
      <c r="BYP115" s="38"/>
      <c r="BYQ115" s="38"/>
      <c r="BYW115" s="36"/>
      <c r="BYX115" s="38"/>
      <c r="BYY115" s="38"/>
      <c r="BZE115" s="36"/>
      <c r="BZF115" s="38"/>
      <c r="BZG115" s="38"/>
      <c r="BZM115" s="36"/>
      <c r="BZN115" s="38"/>
      <c r="BZO115" s="38"/>
      <c r="BZU115" s="36"/>
      <c r="BZV115" s="38"/>
      <c r="BZW115" s="38"/>
      <c r="CAC115" s="36"/>
      <c r="CAD115" s="38"/>
      <c r="CAE115" s="38"/>
      <c r="CAK115" s="36"/>
      <c r="CAL115" s="38"/>
      <c r="CAM115" s="38"/>
      <c r="CAS115" s="36"/>
      <c r="CAT115" s="38"/>
      <c r="CAU115" s="38"/>
      <c r="CBA115" s="36"/>
      <c r="CBB115" s="38"/>
      <c r="CBC115" s="38"/>
      <c r="CBI115" s="36"/>
      <c r="CBJ115" s="38"/>
      <c r="CBK115" s="38"/>
      <c r="CBQ115" s="36"/>
      <c r="CBR115" s="38"/>
      <c r="CBS115" s="38"/>
      <c r="CBY115" s="36"/>
      <c r="CBZ115" s="38"/>
      <c r="CCA115" s="38"/>
      <c r="CCG115" s="36"/>
      <c r="CCH115" s="38"/>
      <c r="CCI115" s="38"/>
      <c r="CCO115" s="36"/>
      <c r="CCP115" s="38"/>
      <c r="CCQ115" s="38"/>
      <c r="CCW115" s="36"/>
      <c r="CCX115" s="38"/>
      <c r="CCY115" s="38"/>
      <c r="CDE115" s="36"/>
      <c r="CDF115" s="38"/>
      <c r="CDG115" s="38"/>
      <c r="CDM115" s="36"/>
      <c r="CDN115" s="38"/>
      <c r="CDO115" s="38"/>
      <c r="CDU115" s="36"/>
      <c r="CDV115" s="38"/>
      <c r="CDW115" s="38"/>
      <c r="CEC115" s="36"/>
      <c r="CED115" s="38"/>
      <c r="CEE115" s="38"/>
      <c r="CEK115" s="36"/>
      <c r="CEL115" s="38"/>
      <c r="CEM115" s="38"/>
      <c r="CES115" s="36"/>
      <c r="CET115" s="38"/>
      <c r="CEU115" s="38"/>
      <c r="CFA115" s="36"/>
      <c r="CFB115" s="38"/>
      <c r="CFC115" s="38"/>
      <c r="CFI115" s="36"/>
      <c r="CFJ115" s="38"/>
      <c r="CFK115" s="38"/>
      <c r="CFQ115" s="36"/>
      <c r="CFR115" s="38"/>
      <c r="CFS115" s="38"/>
      <c r="CFY115" s="36"/>
      <c r="CFZ115" s="38"/>
      <c r="CGA115" s="38"/>
      <c r="CGG115" s="36"/>
      <c r="CGH115" s="38"/>
      <c r="CGI115" s="38"/>
      <c r="CGO115" s="36"/>
      <c r="CGP115" s="38"/>
      <c r="CGQ115" s="38"/>
      <c r="CGW115" s="36"/>
      <c r="CGX115" s="38"/>
      <c r="CGY115" s="38"/>
      <c r="CHE115" s="36"/>
      <c r="CHF115" s="38"/>
      <c r="CHG115" s="38"/>
      <c r="CHM115" s="36"/>
      <c r="CHN115" s="38"/>
      <c r="CHO115" s="38"/>
      <c r="CHU115" s="36"/>
      <c r="CHV115" s="38"/>
      <c r="CHW115" s="38"/>
      <c r="CIC115" s="36"/>
      <c r="CID115" s="38"/>
      <c r="CIE115" s="38"/>
      <c r="CIK115" s="36"/>
      <c r="CIL115" s="38"/>
      <c r="CIM115" s="38"/>
      <c r="CIS115" s="36"/>
      <c r="CIT115" s="38"/>
      <c r="CIU115" s="38"/>
      <c r="CJA115" s="36"/>
      <c r="CJB115" s="38"/>
      <c r="CJC115" s="38"/>
      <c r="CJI115" s="36"/>
      <c r="CJJ115" s="38"/>
      <c r="CJK115" s="38"/>
      <c r="CJQ115" s="36"/>
      <c r="CJR115" s="38"/>
      <c r="CJS115" s="38"/>
      <c r="CJY115" s="36"/>
      <c r="CJZ115" s="38"/>
      <c r="CKA115" s="38"/>
      <c r="CKG115" s="36"/>
      <c r="CKH115" s="38"/>
      <c r="CKI115" s="38"/>
      <c r="CKO115" s="36"/>
      <c r="CKP115" s="38"/>
      <c r="CKQ115" s="38"/>
      <c r="CKW115" s="36"/>
      <c r="CKX115" s="38"/>
      <c r="CKY115" s="38"/>
      <c r="CLE115" s="36"/>
      <c r="CLF115" s="38"/>
      <c r="CLG115" s="38"/>
      <c r="CLM115" s="36"/>
      <c r="CLN115" s="38"/>
      <c r="CLO115" s="38"/>
      <c r="CLU115" s="36"/>
      <c r="CLV115" s="38"/>
      <c r="CLW115" s="38"/>
      <c r="CMC115" s="36"/>
      <c r="CMD115" s="38"/>
      <c r="CME115" s="38"/>
      <c r="CMK115" s="36"/>
      <c r="CML115" s="38"/>
      <c r="CMM115" s="38"/>
      <c r="CMS115" s="36"/>
      <c r="CMT115" s="38"/>
      <c r="CMU115" s="38"/>
      <c r="CNA115" s="36"/>
      <c r="CNB115" s="38"/>
      <c r="CNC115" s="38"/>
      <c r="CNI115" s="36"/>
      <c r="CNJ115" s="38"/>
      <c r="CNK115" s="38"/>
      <c r="CNQ115" s="36"/>
      <c r="CNR115" s="38"/>
      <c r="CNS115" s="38"/>
      <c r="CNY115" s="36"/>
      <c r="CNZ115" s="38"/>
      <c r="COA115" s="38"/>
      <c r="COG115" s="36"/>
      <c r="COH115" s="38"/>
      <c r="COI115" s="38"/>
      <c r="COO115" s="36"/>
      <c r="COP115" s="38"/>
      <c r="COQ115" s="38"/>
      <c r="COW115" s="36"/>
      <c r="COX115" s="38"/>
      <c r="COY115" s="38"/>
      <c r="CPE115" s="36"/>
      <c r="CPF115" s="38"/>
      <c r="CPG115" s="38"/>
      <c r="CPM115" s="36"/>
      <c r="CPN115" s="38"/>
      <c r="CPO115" s="38"/>
      <c r="CPU115" s="36"/>
      <c r="CPV115" s="38"/>
      <c r="CPW115" s="38"/>
      <c r="CQC115" s="36"/>
      <c r="CQD115" s="38"/>
      <c r="CQE115" s="38"/>
      <c r="CQK115" s="36"/>
      <c r="CQL115" s="38"/>
      <c r="CQM115" s="38"/>
      <c r="CQS115" s="36"/>
      <c r="CQT115" s="38"/>
      <c r="CQU115" s="38"/>
      <c r="CRA115" s="36"/>
      <c r="CRB115" s="38"/>
      <c r="CRC115" s="38"/>
      <c r="CRI115" s="36"/>
      <c r="CRJ115" s="38"/>
      <c r="CRK115" s="38"/>
      <c r="CRQ115" s="36"/>
      <c r="CRR115" s="38"/>
      <c r="CRS115" s="38"/>
      <c r="CRY115" s="36"/>
      <c r="CRZ115" s="38"/>
      <c r="CSA115" s="38"/>
      <c r="CSG115" s="36"/>
      <c r="CSH115" s="38"/>
      <c r="CSI115" s="38"/>
      <c r="CSO115" s="36"/>
      <c r="CSP115" s="38"/>
      <c r="CSQ115" s="38"/>
      <c r="CSW115" s="36"/>
      <c r="CSX115" s="38"/>
      <c r="CSY115" s="38"/>
      <c r="CTE115" s="36"/>
      <c r="CTF115" s="38"/>
      <c r="CTG115" s="38"/>
      <c r="CTM115" s="36"/>
      <c r="CTN115" s="38"/>
      <c r="CTO115" s="38"/>
      <c r="CTU115" s="36"/>
      <c r="CTV115" s="38"/>
      <c r="CTW115" s="38"/>
      <c r="CUC115" s="36"/>
      <c r="CUD115" s="38"/>
      <c r="CUE115" s="38"/>
      <c r="CUK115" s="36"/>
      <c r="CUL115" s="38"/>
      <c r="CUM115" s="38"/>
      <c r="CUS115" s="36"/>
      <c r="CUT115" s="38"/>
      <c r="CUU115" s="38"/>
      <c r="CVA115" s="36"/>
      <c r="CVB115" s="38"/>
      <c r="CVC115" s="38"/>
      <c r="CVI115" s="36"/>
      <c r="CVJ115" s="38"/>
      <c r="CVK115" s="38"/>
      <c r="CVQ115" s="36"/>
      <c r="CVR115" s="38"/>
      <c r="CVS115" s="38"/>
      <c r="CVY115" s="36"/>
      <c r="CVZ115" s="38"/>
      <c r="CWA115" s="38"/>
      <c r="CWG115" s="36"/>
      <c r="CWH115" s="38"/>
      <c r="CWI115" s="38"/>
      <c r="CWO115" s="36"/>
      <c r="CWP115" s="38"/>
      <c r="CWQ115" s="38"/>
      <c r="CWW115" s="36"/>
      <c r="CWX115" s="38"/>
      <c r="CWY115" s="38"/>
      <c r="CXE115" s="36"/>
      <c r="CXF115" s="38"/>
      <c r="CXG115" s="38"/>
      <c r="CXM115" s="36"/>
      <c r="CXN115" s="38"/>
      <c r="CXO115" s="38"/>
      <c r="CXU115" s="36"/>
      <c r="CXV115" s="38"/>
      <c r="CXW115" s="38"/>
      <c r="CYC115" s="36"/>
      <c r="CYD115" s="38"/>
      <c r="CYE115" s="38"/>
      <c r="CYK115" s="36"/>
      <c r="CYL115" s="38"/>
      <c r="CYM115" s="38"/>
      <c r="CYS115" s="36"/>
      <c r="CYT115" s="38"/>
      <c r="CYU115" s="38"/>
      <c r="CZA115" s="36"/>
      <c r="CZB115" s="38"/>
      <c r="CZC115" s="38"/>
      <c r="CZI115" s="36"/>
      <c r="CZJ115" s="38"/>
      <c r="CZK115" s="38"/>
      <c r="CZQ115" s="36"/>
      <c r="CZR115" s="38"/>
      <c r="CZS115" s="38"/>
      <c r="CZY115" s="36"/>
      <c r="CZZ115" s="38"/>
      <c r="DAA115" s="38"/>
      <c r="DAG115" s="36"/>
      <c r="DAH115" s="38"/>
      <c r="DAI115" s="38"/>
      <c r="DAO115" s="36"/>
      <c r="DAP115" s="38"/>
      <c r="DAQ115" s="38"/>
      <c r="DAW115" s="36"/>
      <c r="DAX115" s="38"/>
      <c r="DAY115" s="38"/>
      <c r="DBE115" s="36"/>
      <c r="DBF115" s="38"/>
      <c r="DBG115" s="38"/>
      <c r="DBM115" s="36"/>
      <c r="DBN115" s="38"/>
      <c r="DBO115" s="38"/>
      <c r="DBU115" s="36"/>
      <c r="DBV115" s="38"/>
      <c r="DBW115" s="38"/>
      <c r="DCC115" s="36"/>
      <c r="DCD115" s="38"/>
      <c r="DCE115" s="38"/>
      <c r="DCK115" s="36"/>
      <c r="DCL115" s="38"/>
      <c r="DCM115" s="38"/>
      <c r="DCS115" s="36"/>
      <c r="DCT115" s="38"/>
      <c r="DCU115" s="38"/>
      <c r="DDA115" s="36"/>
      <c r="DDB115" s="38"/>
      <c r="DDC115" s="38"/>
      <c r="DDI115" s="36"/>
      <c r="DDJ115" s="38"/>
      <c r="DDK115" s="38"/>
      <c r="DDQ115" s="36"/>
      <c r="DDR115" s="38"/>
      <c r="DDS115" s="38"/>
      <c r="DDY115" s="36"/>
      <c r="DDZ115" s="38"/>
      <c r="DEA115" s="38"/>
      <c r="DEG115" s="36"/>
      <c r="DEH115" s="38"/>
      <c r="DEI115" s="38"/>
      <c r="DEO115" s="36"/>
      <c r="DEP115" s="38"/>
      <c r="DEQ115" s="38"/>
      <c r="DEW115" s="36"/>
      <c r="DEX115" s="38"/>
      <c r="DEY115" s="38"/>
      <c r="DFE115" s="36"/>
      <c r="DFF115" s="38"/>
      <c r="DFG115" s="38"/>
      <c r="DFM115" s="36"/>
      <c r="DFN115" s="38"/>
      <c r="DFO115" s="38"/>
      <c r="DFU115" s="36"/>
      <c r="DFV115" s="38"/>
      <c r="DFW115" s="38"/>
      <c r="DGC115" s="36"/>
      <c r="DGD115" s="38"/>
      <c r="DGE115" s="38"/>
      <c r="DGK115" s="36"/>
      <c r="DGL115" s="38"/>
      <c r="DGM115" s="38"/>
      <c r="DGS115" s="36"/>
      <c r="DGT115" s="38"/>
      <c r="DGU115" s="38"/>
      <c r="DHA115" s="36"/>
      <c r="DHB115" s="38"/>
      <c r="DHC115" s="38"/>
      <c r="DHI115" s="36"/>
      <c r="DHJ115" s="38"/>
      <c r="DHK115" s="38"/>
      <c r="DHQ115" s="36"/>
      <c r="DHR115" s="38"/>
      <c r="DHS115" s="38"/>
      <c r="DHY115" s="36"/>
      <c r="DHZ115" s="38"/>
      <c r="DIA115" s="38"/>
      <c r="DIG115" s="36"/>
      <c r="DIH115" s="38"/>
      <c r="DII115" s="38"/>
      <c r="DIO115" s="36"/>
      <c r="DIP115" s="38"/>
      <c r="DIQ115" s="38"/>
      <c r="DIW115" s="36"/>
      <c r="DIX115" s="38"/>
      <c r="DIY115" s="38"/>
      <c r="DJE115" s="36"/>
      <c r="DJF115" s="38"/>
      <c r="DJG115" s="38"/>
      <c r="DJM115" s="36"/>
      <c r="DJN115" s="38"/>
      <c r="DJO115" s="38"/>
      <c r="DJU115" s="36"/>
      <c r="DJV115" s="38"/>
      <c r="DJW115" s="38"/>
      <c r="DKC115" s="36"/>
      <c r="DKD115" s="38"/>
      <c r="DKE115" s="38"/>
      <c r="DKK115" s="36"/>
      <c r="DKL115" s="38"/>
      <c r="DKM115" s="38"/>
      <c r="DKS115" s="36"/>
      <c r="DKT115" s="38"/>
      <c r="DKU115" s="38"/>
      <c r="DLA115" s="36"/>
      <c r="DLB115" s="38"/>
      <c r="DLC115" s="38"/>
      <c r="DLI115" s="36"/>
      <c r="DLJ115" s="38"/>
      <c r="DLK115" s="38"/>
      <c r="DLQ115" s="36"/>
      <c r="DLR115" s="38"/>
      <c r="DLS115" s="38"/>
      <c r="DLY115" s="36"/>
      <c r="DLZ115" s="38"/>
      <c r="DMA115" s="38"/>
      <c r="DMG115" s="36"/>
      <c r="DMH115" s="38"/>
      <c r="DMI115" s="38"/>
      <c r="DMO115" s="36"/>
      <c r="DMP115" s="38"/>
      <c r="DMQ115" s="38"/>
      <c r="DMW115" s="36"/>
      <c r="DMX115" s="38"/>
      <c r="DMY115" s="38"/>
      <c r="DNE115" s="36"/>
      <c r="DNF115" s="38"/>
      <c r="DNG115" s="38"/>
      <c r="DNM115" s="36"/>
      <c r="DNN115" s="38"/>
      <c r="DNO115" s="38"/>
      <c r="DNU115" s="36"/>
      <c r="DNV115" s="38"/>
      <c r="DNW115" s="38"/>
      <c r="DOC115" s="36"/>
      <c r="DOD115" s="38"/>
      <c r="DOE115" s="38"/>
      <c r="DOK115" s="36"/>
      <c r="DOL115" s="38"/>
      <c r="DOM115" s="38"/>
      <c r="DOS115" s="36"/>
      <c r="DOT115" s="38"/>
      <c r="DOU115" s="38"/>
      <c r="DPA115" s="36"/>
      <c r="DPB115" s="38"/>
      <c r="DPC115" s="38"/>
      <c r="DPI115" s="36"/>
      <c r="DPJ115" s="38"/>
      <c r="DPK115" s="38"/>
      <c r="DPQ115" s="36"/>
      <c r="DPR115" s="38"/>
      <c r="DPS115" s="38"/>
      <c r="DPY115" s="36"/>
      <c r="DPZ115" s="38"/>
      <c r="DQA115" s="38"/>
      <c r="DQG115" s="36"/>
      <c r="DQH115" s="38"/>
      <c r="DQI115" s="38"/>
      <c r="DQO115" s="36"/>
      <c r="DQP115" s="38"/>
      <c r="DQQ115" s="38"/>
      <c r="DQW115" s="36"/>
      <c r="DQX115" s="38"/>
      <c r="DQY115" s="38"/>
      <c r="DRE115" s="36"/>
      <c r="DRF115" s="38"/>
      <c r="DRG115" s="38"/>
      <c r="DRM115" s="36"/>
      <c r="DRN115" s="38"/>
      <c r="DRO115" s="38"/>
      <c r="DRU115" s="36"/>
      <c r="DRV115" s="38"/>
      <c r="DRW115" s="38"/>
      <c r="DSC115" s="36"/>
      <c r="DSD115" s="38"/>
      <c r="DSE115" s="38"/>
      <c r="DSK115" s="36"/>
      <c r="DSL115" s="38"/>
      <c r="DSM115" s="38"/>
      <c r="DSS115" s="36"/>
      <c r="DST115" s="38"/>
      <c r="DSU115" s="38"/>
      <c r="DTA115" s="36"/>
      <c r="DTB115" s="38"/>
      <c r="DTC115" s="38"/>
      <c r="DTI115" s="36"/>
      <c r="DTJ115" s="38"/>
      <c r="DTK115" s="38"/>
      <c r="DTQ115" s="36"/>
      <c r="DTR115" s="38"/>
      <c r="DTS115" s="38"/>
      <c r="DTY115" s="36"/>
      <c r="DTZ115" s="38"/>
      <c r="DUA115" s="38"/>
      <c r="DUG115" s="36"/>
      <c r="DUH115" s="38"/>
      <c r="DUI115" s="38"/>
      <c r="DUO115" s="36"/>
      <c r="DUP115" s="38"/>
      <c r="DUQ115" s="38"/>
      <c r="DUW115" s="36"/>
      <c r="DUX115" s="38"/>
      <c r="DUY115" s="38"/>
      <c r="DVE115" s="36"/>
      <c r="DVF115" s="38"/>
      <c r="DVG115" s="38"/>
      <c r="DVM115" s="36"/>
      <c r="DVN115" s="38"/>
      <c r="DVO115" s="38"/>
      <c r="DVU115" s="36"/>
      <c r="DVV115" s="38"/>
      <c r="DVW115" s="38"/>
      <c r="DWC115" s="36"/>
      <c r="DWD115" s="38"/>
      <c r="DWE115" s="38"/>
      <c r="DWK115" s="36"/>
      <c r="DWL115" s="38"/>
      <c r="DWM115" s="38"/>
      <c r="DWS115" s="36"/>
      <c r="DWT115" s="38"/>
      <c r="DWU115" s="38"/>
      <c r="DXA115" s="36"/>
      <c r="DXB115" s="38"/>
      <c r="DXC115" s="38"/>
      <c r="DXI115" s="36"/>
      <c r="DXJ115" s="38"/>
      <c r="DXK115" s="38"/>
      <c r="DXQ115" s="36"/>
      <c r="DXR115" s="38"/>
      <c r="DXS115" s="38"/>
      <c r="DXY115" s="36"/>
      <c r="DXZ115" s="38"/>
      <c r="DYA115" s="38"/>
      <c r="DYG115" s="36"/>
      <c r="DYH115" s="38"/>
      <c r="DYI115" s="38"/>
      <c r="DYO115" s="36"/>
      <c r="DYP115" s="38"/>
      <c r="DYQ115" s="38"/>
      <c r="DYW115" s="36"/>
      <c r="DYX115" s="38"/>
      <c r="DYY115" s="38"/>
      <c r="DZE115" s="36"/>
      <c r="DZF115" s="38"/>
      <c r="DZG115" s="38"/>
      <c r="DZM115" s="36"/>
      <c r="DZN115" s="38"/>
      <c r="DZO115" s="38"/>
      <c r="DZU115" s="36"/>
      <c r="DZV115" s="38"/>
      <c r="DZW115" s="38"/>
      <c r="EAC115" s="36"/>
      <c r="EAD115" s="38"/>
      <c r="EAE115" s="38"/>
      <c r="EAK115" s="36"/>
      <c r="EAL115" s="38"/>
      <c r="EAM115" s="38"/>
      <c r="EAS115" s="36"/>
      <c r="EAT115" s="38"/>
      <c r="EAU115" s="38"/>
      <c r="EBA115" s="36"/>
      <c r="EBB115" s="38"/>
      <c r="EBC115" s="38"/>
      <c r="EBI115" s="36"/>
      <c r="EBJ115" s="38"/>
      <c r="EBK115" s="38"/>
      <c r="EBQ115" s="36"/>
      <c r="EBR115" s="38"/>
      <c r="EBS115" s="38"/>
      <c r="EBY115" s="36"/>
      <c r="EBZ115" s="38"/>
      <c r="ECA115" s="38"/>
      <c r="ECG115" s="36"/>
      <c r="ECH115" s="38"/>
      <c r="ECI115" s="38"/>
      <c r="ECO115" s="36"/>
      <c r="ECP115" s="38"/>
      <c r="ECQ115" s="38"/>
      <c r="ECW115" s="36"/>
      <c r="ECX115" s="38"/>
      <c r="ECY115" s="38"/>
      <c r="EDE115" s="36"/>
      <c r="EDF115" s="38"/>
      <c r="EDG115" s="38"/>
      <c r="EDM115" s="36"/>
      <c r="EDN115" s="38"/>
      <c r="EDO115" s="38"/>
      <c r="EDU115" s="36"/>
      <c r="EDV115" s="38"/>
      <c r="EDW115" s="38"/>
      <c r="EEC115" s="36"/>
      <c r="EED115" s="38"/>
      <c r="EEE115" s="38"/>
      <c r="EEK115" s="36"/>
      <c r="EEL115" s="38"/>
      <c r="EEM115" s="38"/>
      <c r="EES115" s="36"/>
      <c r="EET115" s="38"/>
      <c r="EEU115" s="38"/>
      <c r="EFA115" s="36"/>
      <c r="EFB115" s="38"/>
      <c r="EFC115" s="38"/>
      <c r="EFI115" s="36"/>
      <c r="EFJ115" s="38"/>
      <c r="EFK115" s="38"/>
      <c r="EFQ115" s="36"/>
      <c r="EFR115" s="38"/>
      <c r="EFS115" s="38"/>
      <c r="EFY115" s="36"/>
      <c r="EFZ115" s="38"/>
      <c r="EGA115" s="38"/>
      <c r="EGG115" s="36"/>
      <c r="EGH115" s="38"/>
      <c r="EGI115" s="38"/>
      <c r="EGO115" s="36"/>
      <c r="EGP115" s="38"/>
      <c r="EGQ115" s="38"/>
      <c r="EGW115" s="36"/>
      <c r="EGX115" s="38"/>
      <c r="EGY115" s="38"/>
      <c r="EHE115" s="36"/>
      <c r="EHF115" s="38"/>
      <c r="EHG115" s="38"/>
      <c r="EHM115" s="36"/>
      <c r="EHN115" s="38"/>
      <c r="EHO115" s="38"/>
      <c r="EHU115" s="36"/>
      <c r="EHV115" s="38"/>
      <c r="EHW115" s="38"/>
      <c r="EIC115" s="36"/>
      <c r="EID115" s="38"/>
      <c r="EIE115" s="38"/>
      <c r="EIK115" s="36"/>
      <c r="EIL115" s="38"/>
      <c r="EIM115" s="38"/>
      <c r="EIS115" s="36"/>
      <c r="EIT115" s="38"/>
      <c r="EIU115" s="38"/>
      <c r="EJA115" s="36"/>
      <c r="EJB115" s="38"/>
      <c r="EJC115" s="38"/>
      <c r="EJI115" s="36"/>
      <c r="EJJ115" s="38"/>
      <c r="EJK115" s="38"/>
      <c r="EJQ115" s="36"/>
      <c r="EJR115" s="38"/>
      <c r="EJS115" s="38"/>
      <c r="EJY115" s="36"/>
      <c r="EJZ115" s="38"/>
      <c r="EKA115" s="38"/>
      <c r="EKG115" s="36"/>
      <c r="EKH115" s="38"/>
      <c r="EKI115" s="38"/>
      <c r="EKO115" s="36"/>
      <c r="EKP115" s="38"/>
      <c r="EKQ115" s="38"/>
      <c r="EKW115" s="36"/>
      <c r="EKX115" s="38"/>
      <c r="EKY115" s="38"/>
      <c r="ELE115" s="36"/>
      <c r="ELF115" s="38"/>
      <c r="ELG115" s="38"/>
      <c r="ELM115" s="36"/>
      <c r="ELN115" s="38"/>
      <c r="ELO115" s="38"/>
      <c r="ELU115" s="36"/>
      <c r="ELV115" s="38"/>
      <c r="ELW115" s="38"/>
      <c r="EMC115" s="36"/>
      <c r="EMD115" s="38"/>
      <c r="EME115" s="38"/>
      <c r="EMK115" s="36"/>
      <c r="EML115" s="38"/>
      <c r="EMM115" s="38"/>
      <c r="EMS115" s="36"/>
      <c r="EMT115" s="38"/>
      <c r="EMU115" s="38"/>
      <c r="ENA115" s="36"/>
      <c r="ENB115" s="38"/>
      <c r="ENC115" s="38"/>
      <c r="ENI115" s="36"/>
      <c r="ENJ115" s="38"/>
      <c r="ENK115" s="38"/>
      <c r="ENQ115" s="36"/>
      <c r="ENR115" s="38"/>
      <c r="ENS115" s="38"/>
      <c r="ENY115" s="36"/>
      <c r="ENZ115" s="38"/>
      <c r="EOA115" s="38"/>
      <c r="EOG115" s="36"/>
      <c r="EOH115" s="38"/>
      <c r="EOI115" s="38"/>
      <c r="EOO115" s="36"/>
      <c r="EOP115" s="38"/>
      <c r="EOQ115" s="38"/>
      <c r="EOW115" s="36"/>
      <c r="EOX115" s="38"/>
      <c r="EOY115" s="38"/>
      <c r="EPE115" s="36"/>
      <c r="EPF115" s="38"/>
      <c r="EPG115" s="38"/>
      <c r="EPM115" s="36"/>
      <c r="EPN115" s="38"/>
      <c r="EPO115" s="38"/>
      <c r="EPU115" s="36"/>
      <c r="EPV115" s="38"/>
      <c r="EPW115" s="38"/>
      <c r="EQC115" s="36"/>
      <c r="EQD115" s="38"/>
      <c r="EQE115" s="38"/>
      <c r="EQK115" s="36"/>
      <c r="EQL115" s="38"/>
      <c r="EQM115" s="38"/>
      <c r="EQS115" s="36"/>
      <c r="EQT115" s="38"/>
      <c r="EQU115" s="38"/>
      <c r="ERA115" s="36"/>
      <c r="ERB115" s="38"/>
      <c r="ERC115" s="38"/>
      <c r="ERI115" s="36"/>
      <c r="ERJ115" s="38"/>
      <c r="ERK115" s="38"/>
      <c r="ERQ115" s="36"/>
      <c r="ERR115" s="38"/>
      <c r="ERS115" s="38"/>
      <c r="ERY115" s="36"/>
      <c r="ERZ115" s="38"/>
      <c r="ESA115" s="38"/>
      <c r="ESG115" s="36"/>
      <c r="ESH115" s="38"/>
      <c r="ESI115" s="38"/>
      <c r="ESO115" s="36"/>
      <c r="ESP115" s="38"/>
      <c r="ESQ115" s="38"/>
      <c r="ESW115" s="36"/>
      <c r="ESX115" s="38"/>
      <c r="ESY115" s="38"/>
      <c r="ETE115" s="36"/>
      <c r="ETF115" s="38"/>
      <c r="ETG115" s="38"/>
      <c r="ETM115" s="36"/>
      <c r="ETN115" s="38"/>
      <c r="ETO115" s="38"/>
      <c r="ETU115" s="36"/>
      <c r="ETV115" s="38"/>
      <c r="ETW115" s="38"/>
      <c r="EUC115" s="36"/>
      <c r="EUD115" s="38"/>
      <c r="EUE115" s="38"/>
      <c r="EUK115" s="36"/>
      <c r="EUL115" s="38"/>
      <c r="EUM115" s="38"/>
      <c r="EUS115" s="36"/>
      <c r="EUT115" s="38"/>
      <c r="EUU115" s="38"/>
      <c r="EVA115" s="36"/>
      <c r="EVB115" s="38"/>
      <c r="EVC115" s="38"/>
      <c r="EVI115" s="36"/>
      <c r="EVJ115" s="38"/>
      <c r="EVK115" s="38"/>
      <c r="EVQ115" s="36"/>
      <c r="EVR115" s="38"/>
      <c r="EVS115" s="38"/>
      <c r="EVY115" s="36"/>
      <c r="EVZ115" s="38"/>
      <c r="EWA115" s="38"/>
      <c r="EWG115" s="36"/>
      <c r="EWH115" s="38"/>
      <c r="EWI115" s="38"/>
      <c r="EWO115" s="36"/>
      <c r="EWP115" s="38"/>
      <c r="EWQ115" s="38"/>
      <c r="EWW115" s="36"/>
      <c r="EWX115" s="38"/>
      <c r="EWY115" s="38"/>
      <c r="EXE115" s="36"/>
      <c r="EXF115" s="38"/>
      <c r="EXG115" s="38"/>
      <c r="EXM115" s="36"/>
      <c r="EXN115" s="38"/>
      <c r="EXO115" s="38"/>
      <c r="EXU115" s="36"/>
      <c r="EXV115" s="38"/>
      <c r="EXW115" s="38"/>
      <c r="EYC115" s="36"/>
      <c r="EYD115" s="38"/>
      <c r="EYE115" s="38"/>
      <c r="EYK115" s="36"/>
      <c r="EYL115" s="38"/>
      <c r="EYM115" s="38"/>
      <c r="EYS115" s="36"/>
      <c r="EYT115" s="38"/>
      <c r="EYU115" s="38"/>
      <c r="EZA115" s="36"/>
      <c r="EZB115" s="38"/>
      <c r="EZC115" s="38"/>
      <c r="EZI115" s="36"/>
      <c r="EZJ115" s="38"/>
      <c r="EZK115" s="38"/>
      <c r="EZQ115" s="36"/>
      <c r="EZR115" s="38"/>
      <c r="EZS115" s="38"/>
      <c r="EZY115" s="36"/>
      <c r="EZZ115" s="38"/>
      <c r="FAA115" s="38"/>
      <c r="FAG115" s="36"/>
      <c r="FAH115" s="38"/>
      <c r="FAI115" s="38"/>
      <c r="FAO115" s="36"/>
      <c r="FAP115" s="38"/>
      <c r="FAQ115" s="38"/>
      <c r="FAW115" s="36"/>
      <c r="FAX115" s="38"/>
      <c r="FAY115" s="38"/>
      <c r="FBE115" s="36"/>
      <c r="FBF115" s="38"/>
      <c r="FBG115" s="38"/>
      <c r="FBM115" s="36"/>
      <c r="FBN115" s="38"/>
      <c r="FBO115" s="38"/>
      <c r="FBU115" s="36"/>
      <c r="FBV115" s="38"/>
      <c r="FBW115" s="38"/>
      <c r="FCC115" s="36"/>
      <c r="FCD115" s="38"/>
      <c r="FCE115" s="38"/>
      <c r="FCK115" s="36"/>
      <c r="FCL115" s="38"/>
      <c r="FCM115" s="38"/>
      <c r="FCS115" s="36"/>
      <c r="FCT115" s="38"/>
      <c r="FCU115" s="38"/>
      <c r="FDA115" s="36"/>
      <c r="FDB115" s="38"/>
      <c r="FDC115" s="38"/>
      <c r="FDI115" s="36"/>
      <c r="FDJ115" s="38"/>
      <c r="FDK115" s="38"/>
      <c r="FDQ115" s="36"/>
      <c r="FDR115" s="38"/>
      <c r="FDS115" s="38"/>
      <c r="FDY115" s="36"/>
      <c r="FDZ115" s="38"/>
      <c r="FEA115" s="38"/>
      <c r="FEG115" s="36"/>
      <c r="FEH115" s="38"/>
      <c r="FEI115" s="38"/>
      <c r="FEO115" s="36"/>
      <c r="FEP115" s="38"/>
      <c r="FEQ115" s="38"/>
      <c r="FEW115" s="36"/>
      <c r="FEX115" s="38"/>
      <c r="FEY115" s="38"/>
      <c r="FFE115" s="36"/>
      <c r="FFF115" s="38"/>
      <c r="FFG115" s="38"/>
      <c r="FFM115" s="36"/>
      <c r="FFN115" s="38"/>
      <c r="FFO115" s="38"/>
      <c r="FFU115" s="36"/>
      <c r="FFV115" s="38"/>
      <c r="FFW115" s="38"/>
      <c r="FGC115" s="36"/>
      <c r="FGD115" s="38"/>
      <c r="FGE115" s="38"/>
      <c r="FGK115" s="36"/>
      <c r="FGL115" s="38"/>
      <c r="FGM115" s="38"/>
      <c r="FGS115" s="36"/>
      <c r="FGT115" s="38"/>
      <c r="FGU115" s="38"/>
      <c r="FHA115" s="36"/>
      <c r="FHB115" s="38"/>
      <c r="FHC115" s="38"/>
      <c r="FHI115" s="36"/>
      <c r="FHJ115" s="38"/>
      <c r="FHK115" s="38"/>
      <c r="FHQ115" s="36"/>
      <c r="FHR115" s="38"/>
      <c r="FHS115" s="38"/>
      <c r="FHY115" s="36"/>
      <c r="FHZ115" s="38"/>
      <c r="FIA115" s="38"/>
      <c r="FIG115" s="36"/>
      <c r="FIH115" s="38"/>
      <c r="FII115" s="38"/>
      <c r="FIO115" s="36"/>
      <c r="FIP115" s="38"/>
      <c r="FIQ115" s="38"/>
      <c r="FIW115" s="36"/>
      <c r="FIX115" s="38"/>
      <c r="FIY115" s="38"/>
      <c r="FJE115" s="36"/>
      <c r="FJF115" s="38"/>
      <c r="FJG115" s="38"/>
      <c r="FJM115" s="36"/>
      <c r="FJN115" s="38"/>
      <c r="FJO115" s="38"/>
      <c r="FJU115" s="36"/>
      <c r="FJV115" s="38"/>
      <c r="FJW115" s="38"/>
      <c r="FKC115" s="36"/>
      <c r="FKD115" s="38"/>
      <c r="FKE115" s="38"/>
      <c r="FKK115" s="36"/>
      <c r="FKL115" s="38"/>
      <c r="FKM115" s="38"/>
      <c r="FKS115" s="36"/>
      <c r="FKT115" s="38"/>
      <c r="FKU115" s="38"/>
      <c r="FLA115" s="36"/>
      <c r="FLB115" s="38"/>
      <c r="FLC115" s="38"/>
      <c r="FLI115" s="36"/>
      <c r="FLJ115" s="38"/>
      <c r="FLK115" s="38"/>
      <c r="FLQ115" s="36"/>
      <c r="FLR115" s="38"/>
      <c r="FLS115" s="38"/>
      <c r="FLY115" s="36"/>
      <c r="FLZ115" s="38"/>
      <c r="FMA115" s="38"/>
      <c r="FMG115" s="36"/>
      <c r="FMH115" s="38"/>
      <c r="FMI115" s="38"/>
      <c r="FMO115" s="36"/>
      <c r="FMP115" s="38"/>
      <c r="FMQ115" s="38"/>
      <c r="FMW115" s="36"/>
      <c r="FMX115" s="38"/>
      <c r="FMY115" s="38"/>
      <c r="FNE115" s="36"/>
      <c r="FNF115" s="38"/>
      <c r="FNG115" s="38"/>
      <c r="FNM115" s="36"/>
      <c r="FNN115" s="38"/>
      <c r="FNO115" s="38"/>
      <c r="FNU115" s="36"/>
      <c r="FNV115" s="38"/>
      <c r="FNW115" s="38"/>
      <c r="FOC115" s="36"/>
      <c r="FOD115" s="38"/>
      <c r="FOE115" s="38"/>
      <c r="FOK115" s="36"/>
      <c r="FOL115" s="38"/>
      <c r="FOM115" s="38"/>
      <c r="FOS115" s="36"/>
      <c r="FOT115" s="38"/>
      <c r="FOU115" s="38"/>
      <c r="FPA115" s="36"/>
      <c r="FPB115" s="38"/>
      <c r="FPC115" s="38"/>
      <c r="FPI115" s="36"/>
      <c r="FPJ115" s="38"/>
      <c r="FPK115" s="38"/>
      <c r="FPQ115" s="36"/>
      <c r="FPR115" s="38"/>
      <c r="FPS115" s="38"/>
      <c r="FPY115" s="36"/>
      <c r="FPZ115" s="38"/>
      <c r="FQA115" s="38"/>
      <c r="FQG115" s="36"/>
      <c r="FQH115" s="38"/>
      <c r="FQI115" s="38"/>
      <c r="FQO115" s="36"/>
      <c r="FQP115" s="38"/>
      <c r="FQQ115" s="38"/>
      <c r="FQW115" s="36"/>
      <c r="FQX115" s="38"/>
      <c r="FQY115" s="38"/>
      <c r="FRE115" s="36"/>
      <c r="FRF115" s="38"/>
      <c r="FRG115" s="38"/>
      <c r="FRM115" s="36"/>
      <c r="FRN115" s="38"/>
      <c r="FRO115" s="38"/>
      <c r="FRU115" s="36"/>
      <c r="FRV115" s="38"/>
      <c r="FRW115" s="38"/>
      <c r="FSC115" s="36"/>
      <c r="FSD115" s="38"/>
      <c r="FSE115" s="38"/>
      <c r="FSK115" s="36"/>
      <c r="FSL115" s="38"/>
      <c r="FSM115" s="38"/>
      <c r="FSS115" s="36"/>
      <c r="FST115" s="38"/>
      <c r="FSU115" s="38"/>
      <c r="FTA115" s="36"/>
      <c r="FTB115" s="38"/>
      <c r="FTC115" s="38"/>
      <c r="FTI115" s="36"/>
      <c r="FTJ115" s="38"/>
      <c r="FTK115" s="38"/>
      <c r="FTQ115" s="36"/>
      <c r="FTR115" s="38"/>
      <c r="FTS115" s="38"/>
      <c r="FTY115" s="36"/>
      <c r="FTZ115" s="38"/>
      <c r="FUA115" s="38"/>
      <c r="FUG115" s="36"/>
      <c r="FUH115" s="38"/>
      <c r="FUI115" s="38"/>
      <c r="FUO115" s="36"/>
      <c r="FUP115" s="38"/>
      <c r="FUQ115" s="38"/>
      <c r="FUW115" s="36"/>
      <c r="FUX115" s="38"/>
      <c r="FUY115" s="38"/>
      <c r="FVE115" s="36"/>
      <c r="FVF115" s="38"/>
      <c r="FVG115" s="38"/>
      <c r="FVM115" s="36"/>
      <c r="FVN115" s="38"/>
      <c r="FVO115" s="38"/>
      <c r="FVU115" s="36"/>
      <c r="FVV115" s="38"/>
      <c r="FVW115" s="38"/>
      <c r="FWC115" s="36"/>
      <c r="FWD115" s="38"/>
      <c r="FWE115" s="38"/>
      <c r="FWK115" s="36"/>
      <c r="FWL115" s="38"/>
      <c r="FWM115" s="38"/>
      <c r="FWS115" s="36"/>
      <c r="FWT115" s="38"/>
      <c r="FWU115" s="38"/>
      <c r="FXA115" s="36"/>
      <c r="FXB115" s="38"/>
      <c r="FXC115" s="38"/>
      <c r="FXI115" s="36"/>
      <c r="FXJ115" s="38"/>
      <c r="FXK115" s="38"/>
      <c r="FXQ115" s="36"/>
      <c r="FXR115" s="38"/>
      <c r="FXS115" s="38"/>
      <c r="FXY115" s="36"/>
      <c r="FXZ115" s="38"/>
      <c r="FYA115" s="38"/>
      <c r="FYG115" s="36"/>
      <c r="FYH115" s="38"/>
      <c r="FYI115" s="38"/>
      <c r="FYO115" s="36"/>
      <c r="FYP115" s="38"/>
      <c r="FYQ115" s="38"/>
      <c r="FYW115" s="36"/>
      <c r="FYX115" s="38"/>
      <c r="FYY115" s="38"/>
      <c r="FZE115" s="36"/>
      <c r="FZF115" s="38"/>
      <c r="FZG115" s="38"/>
      <c r="FZM115" s="36"/>
      <c r="FZN115" s="38"/>
      <c r="FZO115" s="38"/>
      <c r="FZU115" s="36"/>
      <c r="FZV115" s="38"/>
      <c r="FZW115" s="38"/>
      <c r="GAC115" s="36"/>
      <c r="GAD115" s="38"/>
      <c r="GAE115" s="38"/>
      <c r="GAK115" s="36"/>
      <c r="GAL115" s="38"/>
      <c r="GAM115" s="38"/>
      <c r="GAS115" s="36"/>
      <c r="GAT115" s="38"/>
      <c r="GAU115" s="38"/>
      <c r="GBA115" s="36"/>
      <c r="GBB115" s="38"/>
      <c r="GBC115" s="38"/>
      <c r="GBI115" s="36"/>
      <c r="GBJ115" s="38"/>
      <c r="GBK115" s="38"/>
      <c r="GBQ115" s="36"/>
      <c r="GBR115" s="38"/>
      <c r="GBS115" s="38"/>
      <c r="GBY115" s="36"/>
      <c r="GBZ115" s="38"/>
      <c r="GCA115" s="38"/>
      <c r="GCG115" s="36"/>
      <c r="GCH115" s="38"/>
      <c r="GCI115" s="38"/>
      <c r="GCO115" s="36"/>
      <c r="GCP115" s="38"/>
      <c r="GCQ115" s="38"/>
      <c r="GCW115" s="36"/>
      <c r="GCX115" s="38"/>
      <c r="GCY115" s="38"/>
      <c r="GDE115" s="36"/>
      <c r="GDF115" s="38"/>
      <c r="GDG115" s="38"/>
      <c r="GDM115" s="36"/>
      <c r="GDN115" s="38"/>
      <c r="GDO115" s="38"/>
      <c r="GDU115" s="36"/>
      <c r="GDV115" s="38"/>
      <c r="GDW115" s="38"/>
      <c r="GEC115" s="36"/>
      <c r="GED115" s="38"/>
      <c r="GEE115" s="38"/>
      <c r="GEK115" s="36"/>
      <c r="GEL115" s="38"/>
      <c r="GEM115" s="38"/>
      <c r="GES115" s="36"/>
      <c r="GET115" s="38"/>
      <c r="GEU115" s="38"/>
      <c r="GFA115" s="36"/>
      <c r="GFB115" s="38"/>
      <c r="GFC115" s="38"/>
      <c r="GFI115" s="36"/>
      <c r="GFJ115" s="38"/>
      <c r="GFK115" s="38"/>
      <c r="GFQ115" s="36"/>
      <c r="GFR115" s="38"/>
      <c r="GFS115" s="38"/>
      <c r="GFY115" s="36"/>
      <c r="GFZ115" s="38"/>
      <c r="GGA115" s="38"/>
      <c r="GGG115" s="36"/>
      <c r="GGH115" s="38"/>
      <c r="GGI115" s="38"/>
      <c r="GGO115" s="36"/>
      <c r="GGP115" s="38"/>
      <c r="GGQ115" s="38"/>
      <c r="GGW115" s="36"/>
      <c r="GGX115" s="38"/>
      <c r="GGY115" s="38"/>
      <c r="GHE115" s="36"/>
      <c r="GHF115" s="38"/>
      <c r="GHG115" s="38"/>
      <c r="GHM115" s="36"/>
      <c r="GHN115" s="38"/>
      <c r="GHO115" s="38"/>
      <c r="GHU115" s="36"/>
      <c r="GHV115" s="38"/>
      <c r="GHW115" s="38"/>
      <c r="GIC115" s="36"/>
      <c r="GID115" s="38"/>
      <c r="GIE115" s="38"/>
      <c r="GIK115" s="36"/>
      <c r="GIL115" s="38"/>
      <c r="GIM115" s="38"/>
      <c r="GIS115" s="36"/>
      <c r="GIT115" s="38"/>
      <c r="GIU115" s="38"/>
      <c r="GJA115" s="36"/>
      <c r="GJB115" s="38"/>
      <c r="GJC115" s="38"/>
      <c r="GJI115" s="36"/>
      <c r="GJJ115" s="38"/>
      <c r="GJK115" s="38"/>
      <c r="GJQ115" s="36"/>
      <c r="GJR115" s="38"/>
      <c r="GJS115" s="38"/>
      <c r="GJY115" s="36"/>
      <c r="GJZ115" s="38"/>
      <c r="GKA115" s="38"/>
      <c r="GKG115" s="36"/>
      <c r="GKH115" s="38"/>
      <c r="GKI115" s="38"/>
      <c r="GKO115" s="36"/>
      <c r="GKP115" s="38"/>
      <c r="GKQ115" s="38"/>
      <c r="GKW115" s="36"/>
      <c r="GKX115" s="38"/>
      <c r="GKY115" s="38"/>
      <c r="GLE115" s="36"/>
      <c r="GLF115" s="38"/>
      <c r="GLG115" s="38"/>
      <c r="GLM115" s="36"/>
      <c r="GLN115" s="38"/>
      <c r="GLO115" s="38"/>
      <c r="GLU115" s="36"/>
      <c r="GLV115" s="38"/>
      <c r="GLW115" s="38"/>
      <c r="GMC115" s="36"/>
      <c r="GMD115" s="38"/>
      <c r="GME115" s="38"/>
      <c r="GMK115" s="36"/>
      <c r="GML115" s="38"/>
      <c r="GMM115" s="38"/>
      <c r="GMS115" s="36"/>
      <c r="GMT115" s="38"/>
      <c r="GMU115" s="38"/>
      <c r="GNA115" s="36"/>
      <c r="GNB115" s="38"/>
      <c r="GNC115" s="38"/>
      <c r="GNI115" s="36"/>
      <c r="GNJ115" s="38"/>
      <c r="GNK115" s="38"/>
      <c r="GNQ115" s="36"/>
      <c r="GNR115" s="38"/>
      <c r="GNS115" s="38"/>
      <c r="GNY115" s="36"/>
      <c r="GNZ115" s="38"/>
      <c r="GOA115" s="38"/>
      <c r="GOG115" s="36"/>
      <c r="GOH115" s="38"/>
      <c r="GOI115" s="38"/>
      <c r="GOO115" s="36"/>
      <c r="GOP115" s="38"/>
      <c r="GOQ115" s="38"/>
      <c r="GOW115" s="36"/>
      <c r="GOX115" s="38"/>
      <c r="GOY115" s="38"/>
      <c r="GPE115" s="36"/>
      <c r="GPF115" s="38"/>
      <c r="GPG115" s="38"/>
      <c r="GPM115" s="36"/>
      <c r="GPN115" s="38"/>
      <c r="GPO115" s="38"/>
      <c r="GPU115" s="36"/>
      <c r="GPV115" s="38"/>
      <c r="GPW115" s="38"/>
      <c r="GQC115" s="36"/>
      <c r="GQD115" s="38"/>
      <c r="GQE115" s="38"/>
      <c r="GQK115" s="36"/>
      <c r="GQL115" s="38"/>
      <c r="GQM115" s="38"/>
      <c r="GQS115" s="36"/>
      <c r="GQT115" s="38"/>
      <c r="GQU115" s="38"/>
      <c r="GRA115" s="36"/>
      <c r="GRB115" s="38"/>
      <c r="GRC115" s="38"/>
      <c r="GRI115" s="36"/>
      <c r="GRJ115" s="38"/>
      <c r="GRK115" s="38"/>
      <c r="GRQ115" s="36"/>
      <c r="GRR115" s="38"/>
      <c r="GRS115" s="38"/>
      <c r="GRY115" s="36"/>
      <c r="GRZ115" s="38"/>
      <c r="GSA115" s="38"/>
      <c r="GSG115" s="36"/>
      <c r="GSH115" s="38"/>
      <c r="GSI115" s="38"/>
      <c r="GSO115" s="36"/>
      <c r="GSP115" s="38"/>
      <c r="GSQ115" s="38"/>
      <c r="GSW115" s="36"/>
      <c r="GSX115" s="38"/>
      <c r="GSY115" s="38"/>
      <c r="GTE115" s="36"/>
      <c r="GTF115" s="38"/>
      <c r="GTG115" s="38"/>
      <c r="GTM115" s="36"/>
      <c r="GTN115" s="38"/>
      <c r="GTO115" s="38"/>
      <c r="GTU115" s="36"/>
      <c r="GTV115" s="38"/>
      <c r="GTW115" s="38"/>
      <c r="GUC115" s="36"/>
      <c r="GUD115" s="38"/>
      <c r="GUE115" s="38"/>
      <c r="GUK115" s="36"/>
      <c r="GUL115" s="38"/>
      <c r="GUM115" s="38"/>
      <c r="GUS115" s="36"/>
      <c r="GUT115" s="38"/>
      <c r="GUU115" s="38"/>
      <c r="GVA115" s="36"/>
      <c r="GVB115" s="38"/>
      <c r="GVC115" s="38"/>
      <c r="GVI115" s="36"/>
      <c r="GVJ115" s="38"/>
      <c r="GVK115" s="38"/>
      <c r="GVQ115" s="36"/>
      <c r="GVR115" s="38"/>
      <c r="GVS115" s="38"/>
      <c r="GVY115" s="36"/>
      <c r="GVZ115" s="38"/>
      <c r="GWA115" s="38"/>
      <c r="GWG115" s="36"/>
      <c r="GWH115" s="38"/>
      <c r="GWI115" s="38"/>
      <c r="GWO115" s="36"/>
      <c r="GWP115" s="38"/>
      <c r="GWQ115" s="38"/>
      <c r="GWW115" s="36"/>
      <c r="GWX115" s="38"/>
      <c r="GWY115" s="38"/>
      <c r="GXE115" s="36"/>
      <c r="GXF115" s="38"/>
      <c r="GXG115" s="38"/>
      <c r="GXM115" s="36"/>
      <c r="GXN115" s="38"/>
      <c r="GXO115" s="38"/>
      <c r="GXU115" s="36"/>
      <c r="GXV115" s="38"/>
      <c r="GXW115" s="38"/>
      <c r="GYC115" s="36"/>
      <c r="GYD115" s="38"/>
      <c r="GYE115" s="38"/>
      <c r="GYK115" s="36"/>
      <c r="GYL115" s="38"/>
      <c r="GYM115" s="38"/>
      <c r="GYS115" s="36"/>
      <c r="GYT115" s="38"/>
      <c r="GYU115" s="38"/>
      <c r="GZA115" s="36"/>
      <c r="GZB115" s="38"/>
      <c r="GZC115" s="38"/>
      <c r="GZI115" s="36"/>
      <c r="GZJ115" s="38"/>
      <c r="GZK115" s="38"/>
      <c r="GZQ115" s="36"/>
      <c r="GZR115" s="38"/>
      <c r="GZS115" s="38"/>
      <c r="GZY115" s="36"/>
      <c r="GZZ115" s="38"/>
      <c r="HAA115" s="38"/>
      <c r="HAG115" s="36"/>
      <c r="HAH115" s="38"/>
      <c r="HAI115" s="38"/>
      <c r="HAO115" s="36"/>
      <c r="HAP115" s="38"/>
      <c r="HAQ115" s="38"/>
      <c r="HAW115" s="36"/>
      <c r="HAX115" s="38"/>
      <c r="HAY115" s="38"/>
      <c r="HBE115" s="36"/>
      <c r="HBF115" s="38"/>
      <c r="HBG115" s="38"/>
      <c r="HBM115" s="36"/>
      <c r="HBN115" s="38"/>
      <c r="HBO115" s="38"/>
      <c r="HBU115" s="36"/>
      <c r="HBV115" s="38"/>
      <c r="HBW115" s="38"/>
      <c r="HCC115" s="36"/>
      <c r="HCD115" s="38"/>
      <c r="HCE115" s="38"/>
      <c r="HCK115" s="36"/>
      <c r="HCL115" s="38"/>
      <c r="HCM115" s="38"/>
      <c r="HCS115" s="36"/>
      <c r="HCT115" s="38"/>
      <c r="HCU115" s="38"/>
      <c r="HDA115" s="36"/>
      <c r="HDB115" s="38"/>
      <c r="HDC115" s="38"/>
      <c r="HDI115" s="36"/>
      <c r="HDJ115" s="38"/>
      <c r="HDK115" s="38"/>
      <c r="HDQ115" s="36"/>
      <c r="HDR115" s="38"/>
      <c r="HDS115" s="38"/>
      <c r="HDY115" s="36"/>
      <c r="HDZ115" s="38"/>
      <c r="HEA115" s="38"/>
      <c r="HEG115" s="36"/>
      <c r="HEH115" s="38"/>
      <c r="HEI115" s="38"/>
      <c r="HEO115" s="36"/>
      <c r="HEP115" s="38"/>
      <c r="HEQ115" s="38"/>
      <c r="HEW115" s="36"/>
      <c r="HEX115" s="38"/>
      <c r="HEY115" s="38"/>
      <c r="HFE115" s="36"/>
      <c r="HFF115" s="38"/>
      <c r="HFG115" s="38"/>
      <c r="HFM115" s="36"/>
      <c r="HFN115" s="38"/>
      <c r="HFO115" s="38"/>
      <c r="HFU115" s="36"/>
      <c r="HFV115" s="38"/>
      <c r="HFW115" s="38"/>
      <c r="HGC115" s="36"/>
      <c r="HGD115" s="38"/>
      <c r="HGE115" s="38"/>
      <c r="HGK115" s="36"/>
      <c r="HGL115" s="38"/>
      <c r="HGM115" s="38"/>
      <c r="HGS115" s="36"/>
      <c r="HGT115" s="38"/>
      <c r="HGU115" s="38"/>
      <c r="HHA115" s="36"/>
      <c r="HHB115" s="38"/>
      <c r="HHC115" s="38"/>
      <c r="HHI115" s="36"/>
      <c r="HHJ115" s="38"/>
      <c r="HHK115" s="38"/>
      <c r="HHQ115" s="36"/>
      <c r="HHR115" s="38"/>
      <c r="HHS115" s="38"/>
      <c r="HHY115" s="36"/>
      <c r="HHZ115" s="38"/>
      <c r="HIA115" s="38"/>
      <c r="HIG115" s="36"/>
      <c r="HIH115" s="38"/>
      <c r="HII115" s="38"/>
      <c r="HIO115" s="36"/>
      <c r="HIP115" s="38"/>
      <c r="HIQ115" s="38"/>
      <c r="HIW115" s="36"/>
      <c r="HIX115" s="38"/>
      <c r="HIY115" s="38"/>
      <c r="HJE115" s="36"/>
      <c r="HJF115" s="38"/>
      <c r="HJG115" s="38"/>
      <c r="HJM115" s="36"/>
      <c r="HJN115" s="38"/>
      <c r="HJO115" s="38"/>
      <c r="HJU115" s="36"/>
      <c r="HJV115" s="38"/>
      <c r="HJW115" s="38"/>
      <c r="HKC115" s="36"/>
      <c r="HKD115" s="38"/>
      <c r="HKE115" s="38"/>
      <c r="HKK115" s="36"/>
      <c r="HKL115" s="38"/>
      <c r="HKM115" s="38"/>
      <c r="HKS115" s="36"/>
      <c r="HKT115" s="38"/>
      <c r="HKU115" s="38"/>
      <c r="HLA115" s="36"/>
      <c r="HLB115" s="38"/>
      <c r="HLC115" s="38"/>
      <c r="HLI115" s="36"/>
      <c r="HLJ115" s="38"/>
      <c r="HLK115" s="38"/>
      <c r="HLQ115" s="36"/>
      <c r="HLR115" s="38"/>
      <c r="HLS115" s="38"/>
      <c r="HLY115" s="36"/>
      <c r="HLZ115" s="38"/>
      <c r="HMA115" s="38"/>
      <c r="HMG115" s="36"/>
      <c r="HMH115" s="38"/>
      <c r="HMI115" s="38"/>
      <c r="HMO115" s="36"/>
      <c r="HMP115" s="38"/>
      <c r="HMQ115" s="38"/>
      <c r="HMW115" s="36"/>
      <c r="HMX115" s="38"/>
      <c r="HMY115" s="38"/>
      <c r="HNE115" s="36"/>
      <c r="HNF115" s="38"/>
      <c r="HNG115" s="38"/>
      <c r="HNM115" s="36"/>
      <c r="HNN115" s="38"/>
      <c r="HNO115" s="38"/>
      <c r="HNU115" s="36"/>
      <c r="HNV115" s="38"/>
      <c r="HNW115" s="38"/>
      <c r="HOC115" s="36"/>
      <c r="HOD115" s="38"/>
      <c r="HOE115" s="38"/>
      <c r="HOK115" s="36"/>
      <c r="HOL115" s="38"/>
      <c r="HOM115" s="38"/>
      <c r="HOS115" s="36"/>
      <c r="HOT115" s="38"/>
      <c r="HOU115" s="38"/>
      <c r="HPA115" s="36"/>
      <c r="HPB115" s="38"/>
      <c r="HPC115" s="38"/>
      <c r="HPI115" s="36"/>
      <c r="HPJ115" s="38"/>
      <c r="HPK115" s="38"/>
      <c r="HPQ115" s="36"/>
      <c r="HPR115" s="38"/>
      <c r="HPS115" s="38"/>
      <c r="HPY115" s="36"/>
      <c r="HPZ115" s="38"/>
      <c r="HQA115" s="38"/>
      <c r="HQG115" s="36"/>
      <c r="HQH115" s="38"/>
      <c r="HQI115" s="38"/>
      <c r="HQO115" s="36"/>
      <c r="HQP115" s="38"/>
      <c r="HQQ115" s="38"/>
      <c r="HQW115" s="36"/>
      <c r="HQX115" s="38"/>
      <c r="HQY115" s="38"/>
      <c r="HRE115" s="36"/>
      <c r="HRF115" s="38"/>
      <c r="HRG115" s="38"/>
      <c r="HRM115" s="36"/>
      <c r="HRN115" s="38"/>
      <c r="HRO115" s="38"/>
      <c r="HRU115" s="36"/>
      <c r="HRV115" s="38"/>
      <c r="HRW115" s="38"/>
      <c r="HSC115" s="36"/>
      <c r="HSD115" s="38"/>
      <c r="HSE115" s="38"/>
      <c r="HSK115" s="36"/>
      <c r="HSL115" s="38"/>
      <c r="HSM115" s="38"/>
      <c r="HSS115" s="36"/>
      <c r="HST115" s="38"/>
      <c r="HSU115" s="38"/>
      <c r="HTA115" s="36"/>
      <c r="HTB115" s="38"/>
      <c r="HTC115" s="38"/>
      <c r="HTI115" s="36"/>
      <c r="HTJ115" s="38"/>
      <c r="HTK115" s="38"/>
      <c r="HTQ115" s="36"/>
      <c r="HTR115" s="38"/>
      <c r="HTS115" s="38"/>
      <c r="HTY115" s="36"/>
      <c r="HTZ115" s="38"/>
      <c r="HUA115" s="38"/>
      <c r="HUG115" s="36"/>
      <c r="HUH115" s="38"/>
      <c r="HUI115" s="38"/>
      <c r="HUO115" s="36"/>
      <c r="HUP115" s="38"/>
      <c r="HUQ115" s="38"/>
      <c r="HUW115" s="36"/>
      <c r="HUX115" s="38"/>
      <c r="HUY115" s="38"/>
      <c r="HVE115" s="36"/>
      <c r="HVF115" s="38"/>
      <c r="HVG115" s="38"/>
      <c r="HVM115" s="36"/>
      <c r="HVN115" s="38"/>
      <c r="HVO115" s="38"/>
      <c r="HVU115" s="36"/>
      <c r="HVV115" s="38"/>
      <c r="HVW115" s="38"/>
      <c r="HWC115" s="36"/>
      <c r="HWD115" s="38"/>
      <c r="HWE115" s="38"/>
      <c r="HWK115" s="36"/>
      <c r="HWL115" s="38"/>
      <c r="HWM115" s="38"/>
      <c r="HWS115" s="36"/>
      <c r="HWT115" s="38"/>
      <c r="HWU115" s="38"/>
      <c r="HXA115" s="36"/>
      <c r="HXB115" s="38"/>
      <c r="HXC115" s="38"/>
      <c r="HXI115" s="36"/>
      <c r="HXJ115" s="38"/>
      <c r="HXK115" s="38"/>
      <c r="HXQ115" s="36"/>
      <c r="HXR115" s="38"/>
      <c r="HXS115" s="38"/>
      <c r="HXY115" s="36"/>
      <c r="HXZ115" s="38"/>
      <c r="HYA115" s="38"/>
      <c r="HYG115" s="36"/>
      <c r="HYH115" s="38"/>
      <c r="HYI115" s="38"/>
      <c r="HYO115" s="36"/>
      <c r="HYP115" s="38"/>
      <c r="HYQ115" s="38"/>
      <c r="HYW115" s="36"/>
      <c r="HYX115" s="38"/>
      <c r="HYY115" s="38"/>
      <c r="HZE115" s="36"/>
      <c r="HZF115" s="38"/>
      <c r="HZG115" s="38"/>
      <c r="HZM115" s="36"/>
      <c r="HZN115" s="38"/>
      <c r="HZO115" s="38"/>
      <c r="HZU115" s="36"/>
      <c r="HZV115" s="38"/>
      <c r="HZW115" s="38"/>
      <c r="IAC115" s="36"/>
      <c r="IAD115" s="38"/>
      <c r="IAE115" s="38"/>
      <c r="IAK115" s="36"/>
      <c r="IAL115" s="38"/>
      <c r="IAM115" s="38"/>
      <c r="IAS115" s="36"/>
      <c r="IAT115" s="38"/>
      <c r="IAU115" s="38"/>
      <c r="IBA115" s="36"/>
      <c r="IBB115" s="38"/>
      <c r="IBC115" s="38"/>
      <c r="IBI115" s="36"/>
      <c r="IBJ115" s="38"/>
      <c r="IBK115" s="38"/>
      <c r="IBQ115" s="36"/>
      <c r="IBR115" s="38"/>
      <c r="IBS115" s="38"/>
      <c r="IBY115" s="36"/>
      <c r="IBZ115" s="38"/>
      <c r="ICA115" s="38"/>
      <c r="ICG115" s="36"/>
      <c r="ICH115" s="38"/>
      <c r="ICI115" s="38"/>
      <c r="ICO115" s="36"/>
      <c r="ICP115" s="38"/>
      <c r="ICQ115" s="38"/>
      <c r="ICW115" s="36"/>
      <c r="ICX115" s="38"/>
      <c r="ICY115" s="38"/>
      <c r="IDE115" s="36"/>
      <c r="IDF115" s="38"/>
      <c r="IDG115" s="38"/>
      <c r="IDM115" s="36"/>
      <c r="IDN115" s="38"/>
      <c r="IDO115" s="38"/>
      <c r="IDU115" s="36"/>
      <c r="IDV115" s="38"/>
      <c r="IDW115" s="38"/>
      <c r="IEC115" s="36"/>
      <c r="IED115" s="38"/>
      <c r="IEE115" s="38"/>
      <c r="IEK115" s="36"/>
      <c r="IEL115" s="38"/>
      <c r="IEM115" s="38"/>
      <c r="IES115" s="36"/>
      <c r="IET115" s="38"/>
      <c r="IEU115" s="38"/>
      <c r="IFA115" s="36"/>
      <c r="IFB115" s="38"/>
      <c r="IFC115" s="38"/>
      <c r="IFI115" s="36"/>
      <c r="IFJ115" s="38"/>
      <c r="IFK115" s="38"/>
      <c r="IFQ115" s="36"/>
      <c r="IFR115" s="38"/>
      <c r="IFS115" s="38"/>
      <c r="IFY115" s="36"/>
      <c r="IFZ115" s="38"/>
      <c r="IGA115" s="38"/>
      <c r="IGG115" s="36"/>
      <c r="IGH115" s="38"/>
      <c r="IGI115" s="38"/>
      <c r="IGO115" s="36"/>
      <c r="IGP115" s="38"/>
      <c r="IGQ115" s="38"/>
      <c r="IGW115" s="36"/>
      <c r="IGX115" s="38"/>
      <c r="IGY115" s="38"/>
      <c r="IHE115" s="36"/>
      <c r="IHF115" s="38"/>
      <c r="IHG115" s="38"/>
      <c r="IHM115" s="36"/>
      <c r="IHN115" s="38"/>
      <c r="IHO115" s="38"/>
      <c r="IHU115" s="36"/>
      <c r="IHV115" s="38"/>
      <c r="IHW115" s="38"/>
      <c r="IIC115" s="36"/>
      <c r="IID115" s="38"/>
      <c r="IIE115" s="38"/>
      <c r="IIK115" s="36"/>
      <c r="IIL115" s="38"/>
      <c r="IIM115" s="38"/>
      <c r="IIS115" s="36"/>
      <c r="IIT115" s="38"/>
      <c r="IIU115" s="38"/>
      <c r="IJA115" s="36"/>
      <c r="IJB115" s="38"/>
      <c r="IJC115" s="38"/>
      <c r="IJI115" s="36"/>
      <c r="IJJ115" s="38"/>
      <c r="IJK115" s="38"/>
      <c r="IJQ115" s="36"/>
      <c r="IJR115" s="38"/>
      <c r="IJS115" s="38"/>
      <c r="IJY115" s="36"/>
      <c r="IJZ115" s="38"/>
      <c r="IKA115" s="38"/>
      <c r="IKG115" s="36"/>
      <c r="IKH115" s="38"/>
      <c r="IKI115" s="38"/>
      <c r="IKO115" s="36"/>
      <c r="IKP115" s="38"/>
      <c r="IKQ115" s="38"/>
      <c r="IKW115" s="36"/>
      <c r="IKX115" s="38"/>
      <c r="IKY115" s="38"/>
      <c r="ILE115" s="36"/>
      <c r="ILF115" s="38"/>
      <c r="ILG115" s="38"/>
      <c r="ILM115" s="36"/>
      <c r="ILN115" s="38"/>
      <c r="ILO115" s="38"/>
      <c r="ILU115" s="36"/>
      <c r="ILV115" s="38"/>
      <c r="ILW115" s="38"/>
      <c r="IMC115" s="36"/>
      <c r="IMD115" s="38"/>
      <c r="IME115" s="38"/>
      <c r="IMK115" s="36"/>
      <c r="IML115" s="38"/>
      <c r="IMM115" s="38"/>
      <c r="IMS115" s="36"/>
      <c r="IMT115" s="38"/>
      <c r="IMU115" s="38"/>
      <c r="INA115" s="36"/>
      <c r="INB115" s="38"/>
      <c r="INC115" s="38"/>
      <c r="INI115" s="36"/>
      <c r="INJ115" s="38"/>
      <c r="INK115" s="38"/>
      <c r="INQ115" s="36"/>
      <c r="INR115" s="38"/>
      <c r="INS115" s="38"/>
      <c r="INY115" s="36"/>
      <c r="INZ115" s="38"/>
      <c r="IOA115" s="38"/>
      <c r="IOG115" s="36"/>
      <c r="IOH115" s="38"/>
      <c r="IOI115" s="38"/>
      <c r="IOO115" s="36"/>
      <c r="IOP115" s="38"/>
      <c r="IOQ115" s="38"/>
      <c r="IOW115" s="36"/>
      <c r="IOX115" s="38"/>
      <c r="IOY115" s="38"/>
      <c r="IPE115" s="36"/>
      <c r="IPF115" s="38"/>
      <c r="IPG115" s="38"/>
      <c r="IPM115" s="36"/>
      <c r="IPN115" s="38"/>
      <c r="IPO115" s="38"/>
      <c r="IPU115" s="36"/>
      <c r="IPV115" s="38"/>
      <c r="IPW115" s="38"/>
      <c r="IQC115" s="36"/>
      <c r="IQD115" s="38"/>
      <c r="IQE115" s="38"/>
      <c r="IQK115" s="36"/>
      <c r="IQL115" s="38"/>
      <c r="IQM115" s="38"/>
      <c r="IQS115" s="36"/>
      <c r="IQT115" s="38"/>
      <c r="IQU115" s="38"/>
      <c r="IRA115" s="36"/>
      <c r="IRB115" s="38"/>
      <c r="IRC115" s="38"/>
      <c r="IRI115" s="36"/>
      <c r="IRJ115" s="38"/>
      <c r="IRK115" s="38"/>
      <c r="IRQ115" s="36"/>
      <c r="IRR115" s="38"/>
      <c r="IRS115" s="38"/>
      <c r="IRY115" s="36"/>
      <c r="IRZ115" s="38"/>
      <c r="ISA115" s="38"/>
      <c r="ISG115" s="36"/>
      <c r="ISH115" s="38"/>
      <c r="ISI115" s="38"/>
      <c r="ISO115" s="36"/>
      <c r="ISP115" s="38"/>
      <c r="ISQ115" s="38"/>
      <c r="ISW115" s="36"/>
      <c r="ISX115" s="38"/>
      <c r="ISY115" s="38"/>
      <c r="ITE115" s="36"/>
      <c r="ITF115" s="38"/>
      <c r="ITG115" s="38"/>
      <c r="ITM115" s="36"/>
      <c r="ITN115" s="38"/>
      <c r="ITO115" s="38"/>
      <c r="ITU115" s="36"/>
      <c r="ITV115" s="38"/>
      <c r="ITW115" s="38"/>
      <c r="IUC115" s="36"/>
      <c r="IUD115" s="38"/>
      <c r="IUE115" s="38"/>
      <c r="IUK115" s="36"/>
      <c r="IUL115" s="38"/>
      <c r="IUM115" s="38"/>
      <c r="IUS115" s="36"/>
      <c r="IUT115" s="38"/>
      <c r="IUU115" s="38"/>
      <c r="IVA115" s="36"/>
      <c r="IVB115" s="38"/>
      <c r="IVC115" s="38"/>
      <c r="IVI115" s="36"/>
      <c r="IVJ115" s="38"/>
      <c r="IVK115" s="38"/>
      <c r="IVQ115" s="36"/>
      <c r="IVR115" s="38"/>
      <c r="IVS115" s="38"/>
      <c r="IVY115" s="36"/>
      <c r="IVZ115" s="38"/>
      <c r="IWA115" s="38"/>
      <c r="IWG115" s="36"/>
      <c r="IWH115" s="38"/>
      <c r="IWI115" s="38"/>
      <c r="IWO115" s="36"/>
      <c r="IWP115" s="38"/>
      <c r="IWQ115" s="38"/>
      <c r="IWW115" s="36"/>
      <c r="IWX115" s="38"/>
      <c r="IWY115" s="38"/>
      <c r="IXE115" s="36"/>
      <c r="IXF115" s="38"/>
      <c r="IXG115" s="38"/>
      <c r="IXM115" s="36"/>
      <c r="IXN115" s="38"/>
      <c r="IXO115" s="38"/>
      <c r="IXU115" s="36"/>
      <c r="IXV115" s="38"/>
      <c r="IXW115" s="38"/>
      <c r="IYC115" s="36"/>
      <c r="IYD115" s="38"/>
      <c r="IYE115" s="38"/>
      <c r="IYK115" s="36"/>
      <c r="IYL115" s="38"/>
      <c r="IYM115" s="38"/>
      <c r="IYS115" s="36"/>
      <c r="IYT115" s="38"/>
      <c r="IYU115" s="38"/>
      <c r="IZA115" s="36"/>
      <c r="IZB115" s="38"/>
      <c r="IZC115" s="38"/>
      <c r="IZI115" s="36"/>
      <c r="IZJ115" s="38"/>
      <c r="IZK115" s="38"/>
      <c r="IZQ115" s="36"/>
      <c r="IZR115" s="38"/>
      <c r="IZS115" s="38"/>
      <c r="IZY115" s="36"/>
      <c r="IZZ115" s="38"/>
      <c r="JAA115" s="38"/>
      <c r="JAG115" s="36"/>
      <c r="JAH115" s="38"/>
      <c r="JAI115" s="38"/>
      <c r="JAO115" s="36"/>
      <c r="JAP115" s="38"/>
      <c r="JAQ115" s="38"/>
      <c r="JAW115" s="36"/>
      <c r="JAX115" s="38"/>
      <c r="JAY115" s="38"/>
      <c r="JBE115" s="36"/>
      <c r="JBF115" s="38"/>
      <c r="JBG115" s="38"/>
      <c r="JBM115" s="36"/>
      <c r="JBN115" s="38"/>
      <c r="JBO115" s="38"/>
      <c r="JBU115" s="36"/>
      <c r="JBV115" s="38"/>
      <c r="JBW115" s="38"/>
      <c r="JCC115" s="36"/>
      <c r="JCD115" s="38"/>
      <c r="JCE115" s="38"/>
      <c r="JCK115" s="36"/>
      <c r="JCL115" s="38"/>
      <c r="JCM115" s="38"/>
      <c r="JCS115" s="36"/>
      <c r="JCT115" s="38"/>
      <c r="JCU115" s="38"/>
      <c r="JDA115" s="36"/>
      <c r="JDB115" s="38"/>
      <c r="JDC115" s="38"/>
      <c r="JDI115" s="36"/>
      <c r="JDJ115" s="38"/>
      <c r="JDK115" s="38"/>
      <c r="JDQ115" s="36"/>
      <c r="JDR115" s="38"/>
      <c r="JDS115" s="38"/>
      <c r="JDY115" s="36"/>
      <c r="JDZ115" s="38"/>
      <c r="JEA115" s="38"/>
      <c r="JEG115" s="36"/>
      <c r="JEH115" s="38"/>
      <c r="JEI115" s="38"/>
      <c r="JEO115" s="36"/>
      <c r="JEP115" s="38"/>
      <c r="JEQ115" s="38"/>
      <c r="JEW115" s="36"/>
      <c r="JEX115" s="38"/>
      <c r="JEY115" s="38"/>
      <c r="JFE115" s="36"/>
      <c r="JFF115" s="38"/>
      <c r="JFG115" s="38"/>
      <c r="JFM115" s="36"/>
      <c r="JFN115" s="38"/>
      <c r="JFO115" s="38"/>
      <c r="JFU115" s="36"/>
      <c r="JFV115" s="38"/>
      <c r="JFW115" s="38"/>
      <c r="JGC115" s="36"/>
      <c r="JGD115" s="38"/>
      <c r="JGE115" s="38"/>
      <c r="JGK115" s="36"/>
      <c r="JGL115" s="38"/>
      <c r="JGM115" s="38"/>
      <c r="JGS115" s="36"/>
      <c r="JGT115" s="38"/>
      <c r="JGU115" s="38"/>
      <c r="JHA115" s="36"/>
      <c r="JHB115" s="38"/>
      <c r="JHC115" s="38"/>
      <c r="JHI115" s="36"/>
      <c r="JHJ115" s="38"/>
      <c r="JHK115" s="38"/>
      <c r="JHQ115" s="36"/>
      <c r="JHR115" s="38"/>
      <c r="JHS115" s="38"/>
      <c r="JHY115" s="36"/>
      <c r="JHZ115" s="38"/>
      <c r="JIA115" s="38"/>
      <c r="JIG115" s="36"/>
      <c r="JIH115" s="38"/>
      <c r="JII115" s="38"/>
      <c r="JIO115" s="36"/>
      <c r="JIP115" s="38"/>
      <c r="JIQ115" s="38"/>
      <c r="JIW115" s="36"/>
      <c r="JIX115" s="38"/>
      <c r="JIY115" s="38"/>
      <c r="JJE115" s="36"/>
      <c r="JJF115" s="38"/>
      <c r="JJG115" s="38"/>
      <c r="JJM115" s="36"/>
      <c r="JJN115" s="38"/>
      <c r="JJO115" s="38"/>
      <c r="JJU115" s="36"/>
      <c r="JJV115" s="38"/>
      <c r="JJW115" s="38"/>
      <c r="JKC115" s="36"/>
      <c r="JKD115" s="38"/>
      <c r="JKE115" s="38"/>
      <c r="JKK115" s="36"/>
      <c r="JKL115" s="38"/>
      <c r="JKM115" s="38"/>
      <c r="JKS115" s="36"/>
      <c r="JKT115" s="38"/>
      <c r="JKU115" s="38"/>
      <c r="JLA115" s="36"/>
      <c r="JLB115" s="38"/>
      <c r="JLC115" s="38"/>
      <c r="JLI115" s="36"/>
      <c r="JLJ115" s="38"/>
      <c r="JLK115" s="38"/>
      <c r="JLQ115" s="36"/>
      <c r="JLR115" s="38"/>
      <c r="JLS115" s="38"/>
      <c r="JLY115" s="36"/>
      <c r="JLZ115" s="38"/>
      <c r="JMA115" s="38"/>
      <c r="JMG115" s="36"/>
      <c r="JMH115" s="38"/>
      <c r="JMI115" s="38"/>
      <c r="JMO115" s="36"/>
      <c r="JMP115" s="38"/>
      <c r="JMQ115" s="38"/>
      <c r="JMW115" s="36"/>
      <c r="JMX115" s="38"/>
      <c r="JMY115" s="38"/>
      <c r="JNE115" s="36"/>
      <c r="JNF115" s="38"/>
      <c r="JNG115" s="38"/>
      <c r="JNM115" s="36"/>
      <c r="JNN115" s="38"/>
      <c r="JNO115" s="38"/>
      <c r="JNU115" s="36"/>
      <c r="JNV115" s="38"/>
      <c r="JNW115" s="38"/>
      <c r="JOC115" s="36"/>
      <c r="JOD115" s="38"/>
      <c r="JOE115" s="38"/>
      <c r="JOK115" s="36"/>
      <c r="JOL115" s="38"/>
      <c r="JOM115" s="38"/>
      <c r="JOS115" s="36"/>
      <c r="JOT115" s="38"/>
      <c r="JOU115" s="38"/>
      <c r="JPA115" s="36"/>
      <c r="JPB115" s="38"/>
      <c r="JPC115" s="38"/>
      <c r="JPI115" s="36"/>
      <c r="JPJ115" s="38"/>
      <c r="JPK115" s="38"/>
      <c r="JPQ115" s="36"/>
      <c r="JPR115" s="38"/>
      <c r="JPS115" s="38"/>
      <c r="JPY115" s="36"/>
      <c r="JPZ115" s="38"/>
      <c r="JQA115" s="38"/>
      <c r="JQG115" s="36"/>
      <c r="JQH115" s="38"/>
      <c r="JQI115" s="38"/>
      <c r="JQO115" s="36"/>
      <c r="JQP115" s="38"/>
      <c r="JQQ115" s="38"/>
      <c r="JQW115" s="36"/>
      <c r="JQX115" s="38"/>
      <c r="JQY115" s="38"/>
      <c r="JRE115" s="36"/>
      <c r="JRF115" s="38"/>
      <c r="JRG115" s="38"/>
      <c r="JRM115" s="36"/>
      <c r="JRN115" s="38"/>
      <c r="JRO115" s="38"/>
      <c r="JRU115" s="36"/>
      <c r="JRV115" s="38"/>
      <c r="JRW115" s="38"/>
      <c r="JSC115" s="36"/>
      <c r="JSD115" s="38"/>
      <c r="JSE115" s="38"/>
      <c r="JSK115" s="36"/>
      <c r="JSL115" s="38"/>
      <c r="JSM115" s="38"/>
      <c r="JSS115" s="36"/>
      <c r="JST115" s="38"/>
      <c r="JSU115" s="38"/>
      <c r="JTA115" s="36"/>
      <c r="JTB115" s="38"/>
      <c r="JTC115" s="38"/>
      <c r="JTI115" s="36"/>
      <c r="JTJ115" s="38"/>
      <c r="JTK115" s="38"/>
      <c r="JTQ115" s="36"/>
      <c r="JTR115" s="38"/>
      <c r="JTS115" s="38"/>
      <c r="JTY115" s="36"/>
      <c r="JTZ115" s="38"/>
      <c r="JUA115" s="38"/>
      <c r="JUG115" s="36"/>
      <c r="JUH115" s="38"/>
      <c r="JUI115" s="38"/>
      <c r="JUO115" s="36"/>
      <c r="JUP115" s="38"/>
      <c r="JUQ115" s="38"/>
      <c r="JUW115" s="36"/>
      <c r="JUX115" s="38"/>
      <c r="JUY115" s="38"/>
      <c r="JVE115" s="36"/>
      <c r="JVF115" s="38"/>
      <c r="JVG115" s="38"/>
      <c r="JVM115" s="36"/>
      <c r="JVN115" s="38"/>
      <c r="JVO115" s="38"/>
      <c r="JVU115" s="36"/>
      <c r="JVV115" s="38"/>
      <c r="JVW115" s="38"/>
      <c r="JWC115" s="36"/>
      <c r="JWD115" s="38"/>
      <c r="JWE115" s="38"/>
      <c r="JWK115" s="36"/>
      <c r="JWL115" s="38"/>
      <c r="JWM115" s="38"/>
      <c r="JWS115" s="36"/>
      <c r="JWT115" s="38"/>
      <c r="JWU115" s="38"/>
      <c r="JXA115" s="36"/>
      <c r="JXB115" s="38"/>
      <c r="JXC115" s="38"/>
      <c r="JXI115" s="36"/>
      <c r="JXJ115" s="38"/>
      <c r="JXK115" s="38"/>
      <c r="JXQ115" s="36"/>
      <c r="JXR115" s="38"/>
      <c r="JXS115" s="38"/>
      <c r="JXY115" s="36"/>
      <c r="JXZ115" s="38"/>
      <c r="JYA115" s="38"/>
      <c r="JYG115" s="36"/>
      <c r="JYH115" s="38"/>
      <c r="JYI115" s="38"/>
      <c r="JYO115" s="36"/>
      <c r="JYP115" s="38"/>
      <c r="JYQ115" s="38"/>
      <c r="JYW115" s="36"/>
      <c r="JYX115" s="38"/>
      <c r="JYY115" s="38"/>
      <c r="JZE115" s="36"/>
      <c r="JZF115" s="38"/>
      <c r="JZG115" s="38"/>
      <c r="JZM115" s="36"/>
      <c r="JZN115" s="38"/>
      <c r="JZO115" s="38"/>
      <c r="JZU115" s="36"/>
      <c r="JZV115" s="38"/>
      <c r="JZW115" s="38"/>
      <c r="KAC115" s="36"/>
      <c r="KAD115" s="38"/>
      <c r="KAE115" s="38"/>
      <c r="KAK115" s="36"/>
      <c r="KAL115" s="38"/>
      <c r="KAM115" s="38"/>
      <c r="KAS115" s="36"/>
      <c r="KAT115" s="38"/>
      <c r="KAU115" s="38"/>
      <c r="KBA115" s="36"/>
      <c r="KBB115" s="38"/>
      <c r="KBC115" s="38"/>
      <c r="KBI115" s="36"/>
      <c r="KBJ115" s="38"/>
      <c r="KBK115" s="38"/>
      <c r="KBQ115" s="36"/>
      <c r="KBR115" s="38"/>
      <c r="KBS115" s="38"/>
      <c r="KBY115" s="36"/>
      <c r="KBZ115" s="38"/>
      <c r="KCA115" s="38"/>
      <c r="KCG115" s="36"/>
      <c r="KCH115" s="38"/>
      <c r="KCI115" s="38"/>
      <c r="KCO115" s="36"/>
      <c r="KCP115" s="38"/>
      <c r="KCQ115" s="38"/>
      <c r="KCW115" s="36"/>
      <c r="KCX115" s="38"/>
      <c r="KCY115" s="38"/>
      <c r="KDE115" s="36"/>
      <c r="KDF115" s="38"/>
      <c r="KDG115" s="38"/>
      <c r="KDM115" s="36"/>
      <c r="KDN115" s="38"/>
      <c r="KDO115" s="38"/>
      <c r="KDU115" s="36"/>
      <c r="KDV115" s="38"/>
      <c r="KDW115" s="38"/>
      <c r="KEC115" s="36"/>
      <c r="KED115" s="38"/>
      <c r="KEE115" s="38"/>
      <c r="KEK115" s="36"/>
      <c r="KEL115" s="38"/>
      <c r="KEM115" s="38"/>
      <c r="KES115" s="36"/>
      <c r="KET115" s="38"/>
      <c r="KEU115" s="38"/>
      <c r="KFA115" s="36"/>
      <c r="KFB115" s="38"/>
      <c r="KFC115" s="38"/>
      <c r="KFI115" s="36"/>
      <c r="KFJ115" s="38"/>
      <c r="KFK115" s="38"/>
      <c r="KFQ115" s="36"/>
      <c r="KFR115" s="38"/>
      <c r="KFS115" s="38"/>
      <c r="KFY115" s="36"/>
      <c r="KFZ115" s="38"/>
      <c r="KGA115" s="38"/>
      <c r="KGG115" s="36"/>
      <c r="KGH115" s="38"/>
      <c r="KGI115" s="38"/>
      <c r="KGO115" s="36"/>
      <c r="KGP115" s="38"/>
      <c r="KGQ115" s="38"/>
      <c r="KGW115" s="36"/>
      <c r="KGX115" s="38"/>
      <c r="KGY115" s="38"/>
      <c r="KHE115" s="36"/>
      <c r="KHF115" s="38"/>
      <c r="KHG115" s="38"/>
      <c r="KHM115" s="36"/>
      <c r="KHN115" s="38"/>
      <c r="KHO115" s="38"/>
      <c r="KHU115" s="36"/>
      <c r="KHV115" s="38"/>
      <c r="KHW115" s="38"/>
      <c r="KIC115" s="36"/>
      <c r="KID115" s="38"/>
      <c r="KIE115" s="38"/>
      <c r="KIK115" s="36"/>
      <c r="KIL115" s="38"/>
      <c r="KIM115" s="38"/>
      <c r="KIS115" s="36"/>
      <c r="KIT115" s="38"/>
      <c r="KIU115" s="38"/>
      <c r="KJA115" s="36"/>
      <c r="KJB115" s="38"/>
      <c r="KJC115" s="38"/>
      <c r="KJI115" s="36"/>
      <c r="KJJ115" s="38"/>
      <c r="KJK115" s="38"/>
      <c r="KJQ115" s="36"/>
      <c r="KJR115" s="38"/>
      <c r="KJS115" s="38"/>
      <c r="KJY115" s="36"/>
      <c r="KJZ115" s="38"/>
      <c r="KKA115" s="38"/>
      <c r="KKG115" s="36"/>
      <c r="KKH115" s="38"/>
      <c r="KKI115" s="38"/>
      <c r="KKO115" s="36"/>
      <c r="KKP115" s="38"/>
      <c r="KKQ115" s="38"/>
      <c r="KKW115" s="36"/>
      <c r="KKX115" s="38"/>
      <c r="KKY115" s="38"/>
      <c r="KLE115" s="36"/>
      <c r="KLF115" s="38"/>
      <c r="KLG115" s="38"/>
      <c r="KLM115" s="36"/>
      <c r="KLN115" s="38"/>
      <c r="KLO115" s="38"/>
      <c r="KLU115" s="36"/>
      <c r="KLV115" s="38"/>
      <c r="KLW115" s="38"/>
      <c r="KMC115" s="36"/>
      <c r="KMD115" s="38"/>
      <c r="KME115" s="38"/>
      <c r="KMK115" s="36"/>
      <c r="KML115" s="38"/>
      <c r="KMM115" s="38"/>
      <c r="KMS115" s="36"/>
      <c r="KMT115" s="38"/>
      <c r="KMU115" s="38"/>
      <c r="KNA115" s="36"/>
      <c r="KNB115" s="38"/>
      <c r="KNC115" s="38"/>
      <c r="KNI115" s="36"/>
      <c r="KNJ115" s="38"/>
      <c r="KNK115" s="38"/>
      <c r="KNQ115" s="36"/>
      <c r="KNR115" s="38"/>
      <c r="KNS115" s="38"/>
      <c r="KNY115" s="36"/>
      <c r="KNZ115" s="38"/>
      <c r="KOA115" s="38"/>
      <c r="KOG115" s="36"/>
      <c r="KOH115" s="38"/>
      <c r="KOI115" s="38"/>
      <c r="KOO115" s="36"/>
      <c r="KOP115" s="38"/>
      <c r="KOQ115" s="38"/>
      <c r="KOW115" s="36"/>
      <c r="KOX115" s="38"/>
      <c r="KOY115" s="38"/>
      <c r="KPE115" s="36"/>
      <c r="KPF115" s="38"/>
      <c r="KPG115" s="38"/>
      <c r="KPM115" s="36"/>
      <c r="KPN115" s="38"/>
      <c r="KPO115" s="38"/>
      <c r="KPU115" s="36"/>
      <c r="KPV115" s="38"/>
      <c r="KPW115" s="38"/>
      <c r="KQC115" s="36"/>
      <c r="KQD115" s="38"/>
      <c r="KQE115" s="38"/>
      <c r="KQK115" s="36"/>
      <c r="KQL115" s="38"/>
      <c r="KQM115" s="38"/>
      <c r="KQS115" s="36"/>
      <c r="KQT115" s="38"/>
      <c r="KQU115" s="38"/>
      <c r="KRA115" s="36"/>
      <c r="KRB115" s="38"/>
      <c r="KRC115" s="38"/>
      <c r="KRI115" s="36"/>
      <c r="KRJ115" s="38"/>
      <c r="KRK115" s="38"/>
      <c r="KRQ115" s="36"/>
      <c r="KRR115" s="38"/>
      <c r="KRS115" s="38"/>
      <c r="KRY115" s="36"/>
      <c r="KRZ115" s="38"/>
      <c r="KSA115" s="38"/>
      <c r="KSG115" s="36"/>
      <c r="KSH115" s="38"/>
      <c r="KSI115" s="38"/>
      <c r="KSO115" s="36"/>
      <c r="KSP115" s="38"/>
      <c r="KSQ115" s="38"/>
      <c r="KSW115" s="36"/>
      <c r="KSX115" s="38"/>
      <c r="KSY115" s="38"/>
      <c r="KTE115" s="36"/>
      <c r="KTF115" s="38"/>
      <c r="KTG115" s="38"/>
      <c r="KTM115" s="36"/>
      <c r="KTN115" s="38"/>
      <c r="KTO115" s="38"/>
      <c r="KTU115" s="36"/>
      <c r="KTV115" s="38"/>
      <c r="KTW115" s="38"/>
      <c r="KUC115" s="36"/>
      <c r="KUD115" s="38"/>
      <c r="KUE115" s="38"/>
      <c r="KUK115" s="36"/>
      <c r="KUL115" s="38"/>
      <c r="KUM115" s="38"/>
      <c r="KUS115" s="36"/>
      <c r="KUT115" s="38"/>
      <c r="KUU115" s="38"/>
      <c r="KVA115" s="36"/>
      <c r="KVB115" s="38"/>
      <c r="KVC115" s="38"/>
      <c r="KVI115" s="36"/>
      <c r="KVJ115" s="38"/>
      <c r="KVK115" s="38"/>
      <c r="KVQ115" s="36"/>
      <c r="KVR115" s="38"/>
      <c r="KVS115" s="38"/>
      <c r="KVY115" s="36"/>
      <c r="KVZ115" s="38"/>
      <c r="KWA115" s="38"/>
      <c r="KWG115" s="36"/>
      <c r="KWH115" s="38"/>
      <c r="KWI115" s="38"/>
      <c r="KWO115" s="36"/>
      <c r="KWP115" s="38"/>
      <c r="KWQ115" s="38"/>
      <c r="KWW115" s="36"/>
      <c r="KWX115" s="38"/>
      <c r="KWY115" s="38"/>
      <c r="KXE115" s="36"/>
      <c r="KXF115" s="38"/>
      <c r="KXG115" s="38"/>
      <c r="KXM115" s="36"/>
      <c r="KXN115" s="38"/>
      <c r="KXO115" s="38"/>
      <c r="KXU115" s="36"/>
      <c r="KXV115" s="38"/>
      <c r="KXW115" s="38"/>
      <c r="KYC115" s="36"/>
      <c r="KYD115" s="38"/>
      <c r="KYE115" s="38"/>
      <c r="KYK115" s="36"/>
      <c r="KYL115" s="38"/>
      <c r="KYM115" s="38"/>
      <c r="KYS115" s="36"/>
      <c r="KYT115" s="38"/>
      <c r="KYU115" s="38"/>
      <c r="KZA115" s="36"/>
      <c r="KZB115" s="38"/>
      <c r="KZC115" s="38"/>
      <c r="KZI115" s="36"/>
      <c r="KZJ115" s="38"/>
      <c r="KZK115" s="38"/>
      <c r="KZQ115" s="36"/>
      <c r="KZR115" s="38"/>
      <c r="KZS115" s="38"/>
      <c r="KZY115" s="36"/>
      <c r="KZZ115" s="38"/>
      <c r="LAA115" s="38"/>
      <c r="LAG115" s="36"/>
      <c r="LAH115" s="38"/>
      <c r="LAI115" s="38"/>
      <c r="LAO115" s="36"/>
      <c r="LAP115" s="38"/>
      <c r="LAQ115" s="38"/>
      <c r="LAW115" s="36"/>
      <c r="LAX115" s="38"/>
      <c r="LAY115" s="38"/>
      <c r="LBE115" s="36"/>
      <c r="LBF115" s="38"/>
      <c r="LBG115" s="38"/>
      <c r="LBM115" s="36"/>
      <c r="LBN115" s="38"/>
      <c r="LBO115" s="38"/>
      <c r="LBU115" s="36"/>
      <c r="LBV115" s="38"/>
      <c r="LBW115" s="38"/>
      <c r="LCC115" s="36"/>
      <c r="LCD115" s="38"/>
      <c r="LCE115" s="38"/>
      <c r="LCK115" s="36"/>
      <c r="LCL115" s="38"/>
      <c r="LCM115" s="38"/>
      <c r="LCS115" s="36"/>
      <c r="LCT115" s="38"/>
      <c r="LCU115" s="38"/>
      <c r="LDA115" s="36"/>
      <c r="LDB115" s="38"/>
      <c r="LDC115" s="38"/>
      <c r="LDI115" s="36"/>
      <c r="LDJ115" s="38"/>
      <c r="LDK115" s="38"/>
      <c r="LDQ115" s="36"/>
      <c r="LDR115" s="38"/>
      <c r="LDS115" s="38"/>
      <c r="LDY115" s="36"/>
      <c r="LDZ115" s="38"/>
      <c r="LEA115" s="38"/>
      <c r="LEG115" s="36"/>
      <c r="LEH115" s="38"/>
      <c r="LEI115" s="38"/>
      <c r="LEO115" s="36"/>
      <c r="LEP115" s="38"/>
      <c r="LEQ115" s="38"/>
      <c r="LEW115" s="36"/>
      <c r="LEX115" s="38"/>
      <c r="LEY115" s="38"/>
      <c r="LFE115" s="36"/>
      <c r="LFF115" s="38"/>
      <c r="LFG115" s="38"/>
      <c r="LFM115" s="36"/>
      <c r="LFN115" s="38"/>
      <c r="LFO115" s="38"/>
      <c r="LFU115" s="36"/>
      <c r="LFV115" s="38"/>
      <c r="LFW115" s="38"/>
      <c r="LGC115" s="36"/>
      <c r="LGD115" s="38"/>
      <c r="LGE115" s="38"/>
      <c r="LGK115" s="36"/>
      <c r="LGL115" s="38"/>
      <c r="LGM115" s="38"/>
      <c r="LGS115" s="36"/>
      <c r="LGT115" s="38"/>
      <c r="LGU115" s="38"/>
      <c r="LHA115" s="36"/>
      <c r="LHB115" s="38"/>
      <c r="LHC115" s="38"/>
      <c r="LHI115" s="36"/>
      <c r="LHJ115" s="38"/>
      <c r="LHK115" s="38"/>
      <c r="LHQ115" s="36"/>
      <c r="LHR115" s="38"/>
      <c r="LHS115" s="38"/>
      <c r="LHY115" s="36"/>
      <c r="LHZ115" s="38"/>
      <c r="LIA115" s="38"/>
      <c r="LIG115" s="36"/>
      <c r="LIH115" s="38"/>
      <c r="LII115" s="38"/>
      <c r="LIO115" s="36"/>
      <c r="LIP115" s="38"/>
      <c r="LIQ115" s="38"/>
      <c r="LIW115" s="36"/>
      <c r="LIX115" s="38"/>
      <c r="LIY115" s="38"/>
      <c r="LJE115" s="36"/>
      <c r="LJF115" s="38"/>
      <c r="LJG115" s="38"/>
      <c r="LJM115" s="36"/>
      <c r="LJN115" s="38"/>
      <c r="LJO115" s="38"/>
      <c r="LJU115" s="36"/>
      <c r="LJV115" s="38"/>
      <c r="LJW115" s="38"/>
      <c r="LKC115" s="36"/>
      <c r="LKD115" s="38"/>
      <c r="LKE115" s="38"/>
      <c r="LKK115" s="36"/>
      <c r="LKL115" s="38"/>
      <c r="LKM115" s="38"/>
      <c r="LKS115" s="36"/>
      <c r="LKT115" s="38"/>
      <c r="LKU115" s="38"/>
      <c r="LLA115" s="36"/>
      <c r="LLB115" s="38"/>
      <c r="LLC115" s="38"/>
      <c r="LLI115" s="36"/>
      <c r="LLJ115" s="38"/>
      <c r="LLK115" s="38"/>
      <c r="LLQ115" s="36"/>
      <c r="LLR115" s="38"/>
      <c r="LLS115" s="38"/>
      <c r="LLY115" s="36"/>
      <c r="LLZ115" s="38"/>
      <c r="LMA115" s="38"/>
      <c r="LMG115" s="36"/>
      <c r="LMH115" s="38"/>
      <c r="LMI115" s="38"/>
      <c r="LMO115" s="36"/>
      <c r="LMP115" s="38"/>
      <c r="LMQ115" s="38"/>
      <c r="LMW115" s="36"/>
      <c r="LMX115" s="38"/>
      <c r="LMY115" s="38"/>
      <c r="LNE115" s="36"/>
      <c r="LNF115" s="38"/>
      <c r="LNG115" s="38"/>
      <c r="LNM115" s="36"/>
      <c r="LNN115" s="38"/>
      <c r="LNO115" s="38"/>
      <c r="LNU115" s="36"/>
      <c r="LNV115" s="38"/>
      <c r="LNW115" s="38"/>
      <c r="LOC115" s="36"/>
      <c r="LOD115" s="38"/>
      <c r="LOE115" s="38"/>
      <c r="LOK115" s="36"/>
      <c r="LOL115" s="38"/>
      <c r="LOM115" s="38"/>
      <c r="LOS115" s="36"/>
      <c r="LOT115" s="38"/>
      <c r="LOU115" s="38"/>
      <c r="LPA115" s="36"/>
      <c r="LPB115" s="38"/>
      <c r="LPC115" s="38"/>
      <c r="LPI115" s="36"/>
      <c r="LPJ115" s="38"/>
      <c r="LPK115" s="38"/>
      <c r="LPQ115" s="36"/>
      <c r="LPR115" s="38"/>
      <c r="LPS115" s="38"/>
      <c r="LPY115" s="36"/>
      <c r="LPZ115" s="38"/>
      <c r="LQA115" s="38"/>
      <c r="LQG115" s="36"/>
      <c r="LQH115" s="38"/>
      <c r="LQI115" s="38"/>
      <c r="LQO115" s="36"/>
      <c r="LQP115" s="38"/>
      <c r="LQQ115" s="38"/>
      <c r="LQW115" s="36"/>
      <c r="LQX115" s="38"/>
      <c r="LQY115" s="38"/>
      <c r="LRE115" s="36"/>
      <c r="LRF115" s="38"/>
      <c r="LRG115" s="38"/>
      <c r="LRM115" s="36"/>
      <c r="LRN115" s="38"/>
      <c r="LRO115" s="38"/>
      <c r="LRU115" s="36"/>
      <c r="LRV115" s="38"/>
      <c r="LRW115" s="38"/>
      <c r="LSC115" s="36"/>
      <c r="LSD115" s="38"/>
      <c r="LSE115" s="38"/>
      <c r="LSK115" s="36"/>
      <c r="LSL115" s="38"/>
      <c r="LSM115" s="38"/>
      <c r="LSS115" s="36"/>
      <c r="LST115" s="38"/>
      <c r="LSU115" s="38"/>
      <c r="LTA115" s="36"/>
      <c r="LTB115" s="38"/>
      <c r="LTC115" s="38"/>
      <c r="LTI115" s="36"/>
      <c r="LTJ115" s="38"/>
      <c r="LTK115" s="38"/>
      <c r="LTQ115" s="36"/>
      <c r="LTR115" s="38"/>
      <c r="LTS115" s="38"/>
      <c r="LTY115" s="36"/>
      <c r="LTZ115" s="38"/>
      <c r="LUA115" s="38"/>
      <c r="LUG115" s="36"/>
      <c r="LUH115" s="38"/>
      <c r="LUI115" s="38"/>
      <c r="LUO115" s="36"/>
      <c r="LUP115" s="38"/>
      <c r="LUQ115" s="38"/>
      <c r="LUW115" s="36"/>
      <c r="LUX115" s="38"/>
      <c r="LUY115" s="38"/>
      <c r="LVE115" s="36"/>
      <c r="LVF115" s="38"/>
      <c r="LVG115" s="38"/>
      <c r="LVM115" s="36"/>
      <c r="LVN115" s="38"/>
      <c r="LVO115" s="38"/>
      <c r="LVU115" s="36"/>
      <c r="LVV115" s="38"/>
      <c r="LVW115" s="38"/>
      <c r="LWC115" s="36"/>
      <c r="LWD115" s="38"/>
      <c r="LWE115" s="38"/>
      <c r="LWK115" s="36"/>
      <c r="LWL115" s="38"/>
      <c r="LWM115" s="38"/>
      <c r="LWS115" s="36"/>
      <c r="LWT115" s="38"/>
      <c r="LWU115" s="38"/>
      <c r="LXA115" s="36"/>
      <c r="LXB115" s="38"/>
      <c r="LXC115" s="38"/>
      <c r="LXI115" s="36"/>
      <c r="LXJ115" s="38"/>
      <c r="LXK115" s="38"/>
      <c r="LXQ115" s="36"/>
      <c r="LXR115" s="38"/>
      <c r="LXS115" s="38"/>
      <c r="LXY115" s="36"/>
      <c r="LXZ115" s="38"/>
      <c r="LYA115" s="38"/>
      <c r="LYG115" s="36"/>
      <c r="LYH115" s="38"/>
      <c r="LYI115" s="38"/>
      <c r="LYO115" s="36"/>
      <c r="LYP115" s="38"/>
      <c r="LYQ115" s="38"/>
      <c r="LYW115" s="36"/>
      <c r="LYX115" s="38"/>
      <c r="LYY115" s="38"/>
      <c r="LZE115" s="36"/>
      <c r="LZF115" s="38"/>
      <c r="LZG115" s="38"/>
      <c r="LZM115" s="36"/>
      <c r="LZN115" s="38"/>
      <c r="LZO115" s="38"/>
      <c r="LZU115" s="36"/>
      <c r="LZV115" s="38"/>
      <c r="LZW115" s="38"/>
      <c r="MAC115" s="36"/>
      <c r="MAD115" s="38"/>
      <c r="MAE115" s="38"/>
      <c r="MAK115" s="36"/>
      <c r="MAL115" s="38"/>
      <c r="MAM115" s="38"/>
      <c r="MAS115" s="36"/>
      <c r="MAT115" s="38"/>
      <c r="MAU115" s="38"/>
      <c r="MBA115" s="36"/>
      <c r="MBB115" s="38"/>
      <c r="MBC115" s="38"/>
      <c r="MBI115" s="36"/>
      <c r="MBJ115" s="38"/>
      <c r="MBK115" s="38"/>
      <c r="MBQ115" s="36"/>
      <c r="MBR115" s="38"/>
      <c r="MBS115" s="38"/>
      <c r="MBY115" s="36"/>
      <c r="MBZ115" s="38"/>
      <c r="MCA115" s="38"/>
      <c r="MCG115" s="36"/>
      <c r="MCH115" s="38"/>
      <c r="MCI115" s="38"/>
      <c r="MCO115" s="36"/>
      <c r="MCP115" s="38"/>
      <c r="MCQ115" s="38"/>
      <c r="MCW115" s="36"/>
      <c r="MCX115" s="38"/>
      <c r="MCY115" s="38"/>
      <c r="MDE115" s="36"/>
      <c r="MDF115" s="38"/>
      <c r="MDG115" s="38"/>
      <c r="MDM115" s="36"/>
      <c r="MDN115" s="38"/>
      <c r="MDO115" s="38"/>
      <c r="MDU115" s="36"/>
      <c r="MDV115" s="38"/>
      <c r="MDW115" s="38"/>
      <c r="MEC115" s="36"/>
      <c r="MED115" s="38"/>
      <c r="MEE115" s="38"/>
      <c r="MEK115" s="36"/>
      <c r="MEL115" s="38"/>
      <c r="MEM115" s="38"/>
      <c r="MES115" s="36"/>
      <c r="MET115" s="38"/>
      <c r="MEU115" s="38"/>
      <c r="MFA115" s="36"/>
      <c r="MFB115" s="38"/>
      <c r="MFC115" s="38"/>
      <c r="MFI115" s="36"/>
      <c r="MFJ115" s="38"/>
      <c r="MFK115" s="38"/>
      <c r="MFQ115" s="36"/>
      <c r="MFR115" s="38"/>
      <c r="MFS115" s="38"/>
      <c r="MFY115" s="36"/>
      <c r="MFZ115" s="38"/>
      <c r="MGA115" s="38"/>
      <c r="MGG115" s="36"/>
      <c r="MGH115" s="38"/>
      <c r="MGI115" s="38"/>
      <c r="MGO115" s="36"/>
      <c r="MGP115" s="38"/>
      <c r="MGQ115" s="38"/>
      <c r="MGW115" s="36"/>
      <c r="MGX115" s="38"/>
      <c r="MGY115" s="38"/>
      <c r="MHE115" s="36"/>
      <c r="MHF115" s="38"/>
      <c r="MHG115" s="38"/>
      <c r="MHM115" s="36"/>
      <c r="MHN115" s="38"/>
      <c r="MHO115" s="38"/>
      <c r="MHU115" s="36"/>
      <c r="MHV115" s="38"/>
      <c r="MHW115" s="38"/>
      <c r="MIC115" s="36"/>
      <c r="MID115" s="38"/>
      <c r="MIE115" s="38"/>
      <c r="MIK115" s="36"/>
      <c r="MIL115" s="38"/>
      <c r="MIM115" s="38"/>
      <c r="MIS115" s="36"/>
      <c r="MIT115" s="38"/>
      <c r="MIU115" s="38"/>
      <c r="MJA115" s="36"/>
      <c r="MJB115" s="38"/>
      <c r="MJC115" s="38"/>
      <c r="MJI115" s="36"/>
      <c r="MJJ115" s="38"/>
      <c r="MJK115" s="38"/>
      <c r="MJQ115" s="36"/>
      <c r="MJR115" s="38"/>
      <c r="MJS115" s="38"/>
      <c r="MJY115" s="36"/>
      <c r="MJZ115" s="38"/>
      <c r="MKA115" s="38"/>
      <c r="MKG115" s="36"/>
      <c r="MKH115" s="38"/>
      <c r="MKI115" s="38"/>
      <c r="MKO115" s="36"/>
      <c r="MKP115" s="38"/>
      <c r="MKQ115" s="38"/>
      <c r="MKW115" s="36"/>
      <c r="MKX115" s="38"/>
      <c r="MKY115" s="38"/>
      <c r="MLE115" s="36"/>
      <c r="MLF115" s="38"/>
      <c r="MLG115" s="38"/>
      <c r="MLM115" s="36"/>
      <c r="MLN115" s="38"/>
      <c r="MLO115" s="38"/>
      <c r="MLU115" s="36"/>
      <c r="MLV115" s="38"/>
      <c r="MLW115" s="38"/>
      <c r="MMC115" s="36"/>
      <c r="MMD115" s="38"/>
      <c r="MME115" s="38"/>
      <c r="MMK115" s="36"/>
      <c r="MML115" s="38"/>
      <c r="MMM115" s="38"/>
      <c r="MMS115" s="36"/>
      <c r="MMT115" s="38"/>
      <c r="MMU115" s="38"/>
      <c r="MNA115" s="36"/>
      <c r="MNB115" s="38"/>
      <c r="MNC115" s="38"/>
      <c r="MNI115" s="36"/>
      <c r="MNJ115" s="38"/>
      <c r="MNK115" s="38"/>
      <c r="MNQ115" s="36"/>
      <c r="MNR115" s="38"/>
      <c r="MNS115" s="38"/>
      <c r="MNY115" s="36"/>
      <c r="MNZ115" s="38"/>
      <c r="MOA115" s="38"/>
      <c r="MOG115" s="36"/>
      <c r="MOH115" s="38"/>
      <c r="MOI115" s="38"/>
      <c r="MOO115" s="36"/>
      <c r="MOP115" s="38"/>
      <c r="MOQ115" s="38"/>
      <c r="MOW115" s="36"/>
      <c r="MOX115" s="38"/>
      <c r="MOY115" s="38"/>
      <c r="MPE115" s="36"/>
      <c r="MPF115" s="38"/>
      <c r="MPG115" s="38"/>
      <c r="MPM115" s="36"/>
      <c r="MPN115" s="38"/>
      <c r="MPO115" s="38"/>
      <c r="MPU115" s="36"/>
      <c r="MPV115" s="38"/>
      <c r="MPW115" s="38"/>
      <c r="MQC115" s="36"/>
      <c r="MQD115" s="38"/>
      <c r="MQE115" s="38"/>
      <c r="MQK115" s="36"/>
      <c r="MQL115" s="38"/>
      <c r="MQM115" s="38"/>
      <c r="MQS115" s="36"/>
      <c r="MQT115" s="38"/>
      <c r="MQU115" s="38"/>
      <c r="MRA115" s="36"/>
      <c r="MRB115" s="38"/>
      <c r="MRC115" s="38"/>
      <c r="MRI115" s="36"/>
      <c r="MRJ115" s="38"/>
      <c r="MRK115" s="38"/>
      <c r="MRQ115" s="36"/>
      <c r="MRR115" s="38"/>
      <c r="MRS115" s="38"/>
      <c r="MRY115" s="36"/>
      <c r="MRZ115" s="38"/>
      <c r="MSA115" s="38"/>
      <c r="MSG115" s="36"/>
      <c r="MSH115" s="38"/>
      <c r="MSI115" s="38"/>
      <c r="MSO115" s="36"/>
      <c r="MSP115" s="38"/>
      <c r="MSQ115" s="38"/>
      <c r="MSW115" s="36"/>
      <c r="MSX115" s="38"/>
      <c r="MSY115" s="38"/>
      <c r="MTE115" s="36"/>
      <c r="MTF115" s="38"/>
      <c r="MTG115" s="38"/>
      <c r="MTM115" s="36"/>
      <c r="MTN115" s="38"/>
      <c r="MTO115" s="38"/>
      <c r="MTU115" s="36"/>
      <c r="MTV115" s="38"/>
      <c r="MTW115" s="38"/>
      <c r="MUC115" s="36"/>
      <c r="MUD115" s="38"/>
      <c r="MUE115" s="38"/>
      <c r="MUK115" s="36"/>
      <c r="MUL115" s="38"/>
      <c r="MUM115" s="38"/>
      <c r="MUS115" s="36"/>
      <c r="MUT115" s="38"/>
      <c r="MUU115" s="38"/>
      <c r="MVA115" s="36"/>
      <c r="MVB115" s="38"/>
      <c r="MVC115" s="38"/>
      <c r="MVI115" s="36"/>
      <c r="MVJ115" s="38"/>
      <c r="MVK115" s="38"/>
      <c r="MVQ115" s="36"/>
      <c r="MVR115" s="38"/>
      <c r="MVS115" s="38"/>
      <c r="MVY115" s="36"/>
      <c r="MVZ115" s="38"/>
      <c r="MWA115" s="38"/>
      <c r="MWG115" s="36"/>
      <c r="MWH115" s="38"/>
      <c r="MWI115" s="38"/>
      <c r="MWO115" s="36"/>
      <c r="MWP115" s="38"/>
      <c r="MWQ115" s="38"/>
      <c r="MWW115" s="36"/>
      <c r="MWX115" s="38"/>
      <c r="MWY115" s="38"/>
      <c r="MXE115" s="36"/>
      <c r="MXF115" s="38"/>
      <c r="MXG115" s="38"/>
      <c r="MXM115" s="36"/>
      <c r="MXN115" s="38"/>
      <c r="MXO115" s="38"/>
      <c r="MXU115" s="36"/>
      <c r="MXV115" s="38"/>
      <c r="MXW115" s="38"/>
      <c r="MYC115" s="36"/>
      <c r="MYD115" s="38"/>
      <c r="MYE115" s="38"/>
      <c r="MYK115" s="36"/>
      <c r="MYL115" s="38"/>
      <c r="MYM115" s="38"/>
      <c r="MYS115" s="36"/>
      <c r="MYT115" s="38"/>
      <c r="MYU115" s="38"/>
      <c r="MZA115" s="36"/>
      <c r="MZB115" s="38"/>
      <c r="MZC115" s="38"/>
      <c r="MZI115" s="36"/>
      <c r="MZJ115" s="38"/>
      <c r="MZK115" s="38"/>
      <c r="MZQ115" s="36"/>
      <c r="MZR115" s="38"/>
      <c r="MZS115" s="38"/>
      <c r="MZY115" s="36"/>
      <c r="MZZ115" s="38"/>
      <c r="NAA115" s="38"/>
      <c r="NAG115" s="36"/>
      <c r="NAH115" s="38"/>
      <c r="NAI115" s="38"/>
      <c r="NAO115" s="36"/>
      <c r="NAP115" s="38"/>
      <c r="NAQ115" s="38"/>
      <c r="NAW115" s="36"/>
      <c r="NAX115" s="38"/>
      <c r="NAY115" s="38"/>
      <c r="NBE115" s="36"/>
      <c r="NBF115" s="38"/>
      <c r="NBG115" s="38"/>
      <c r="NBM115" s="36"/>
      <c r="NBN115" s="38"/>
      <c r="NBO115" s="38"/>
      <c r="NBU115" s="36"/>
      <c r="NBV115" s="38"/>
      <c r="NBW115" s="38"/>
      <c r="NCC115" s="36"/>
      <c r="NCD115" s="38"/>
      <c r="NCE115" s="38"/>
      <c r="NCK115" s="36"/>
      <c r="NCL115" s="38"/>
      <c r="NCM115" s="38"/>
      <c r="NCS115" s="36"/>
      <c r="NCT115" s="38"/>
      <c r="NCU115" s="38"/>
      <c r="NDA115" s="36"/>
      <c r="NDB115" s="38"/>
      <c r="NDC115" s="38"/>
      <c r="NDI115" s="36"/>
      <c r="NDJ115" s="38"/>
      <c r="NDK115" s="38"/>
      <c r="NDQ115" s="36"/>
      <c r="NDR115" s="38"/>
      <c r="NDS115" s="38"/>
      <c r="NDY115" s="36"/>
      <c r="NDZ115" s="38"/>
      <c r="NEA115" s="38"/>
      <c r="NEG115" s="36"/>
      <c r="NEH115" s="38"/>
      <c r="NEI115" s="38"/>
      <c r="NEO115" s="36"/>
      <c r="NEP115" s="38"/>
      <c r="NEQ115" s="38"/>
      <c r="NEW115" s="36"/>
      <c r="NEX115" s="38"/>
      <c r="NEY115" s="38"/>
      <c r="NFE115" s="36"/>
      <c r="NFF115" s="38"/>
      <c r="NFG115" s="38"/>
      <c r="NFM115" s="36"/>
      <c r="NFN115" s="38"/>
      <c r="NFO115" s="38"/>
      <c r="NFU115" s="36"/>
      <c r="NFV115" s="38"/>
      <c r="NFW115" s="38"/>
      <c r="NGC115" s="36"/>
      <c r="NGD115" s="38"/>
      <c r="NGE115" s="38"/>
      <c r="NGK115" s="36"/>
      <c r="NGL115" s="38"/>
      <c r="NGM115" s="38"/>
      <c r="NGS115" s="36"/>
      <c r="NGT115" s="38"/>
      <c r="NGU115" s="38"/>
      <c r="NHA115" s="36"/>
      <c r="NHB115" s="38"/>
      <c r="NHC115" s="38"/>
      <c r="NHI115" s="36"/>
      <c r="NHJ115" s="38"/>
      <c r="NHK115" s="38"/>
      <c r="NHQ115" s="36"/>
      <c r="NHR115" s="38"/>
      <c r="NHS115" s="38"/>
      <c r="NHY115" s="36"/>
      <c r="NHZ115" s="38"/>
      <c r="NIA115" s="38"/>
      <c r="NIG115" s="36"/>
      <c r="NIH115" s="38"/>
      <c r="NII115" s="38"/>
      <c r="NIO115" s="36"/>
      <c r="NIP115" s="38"/>
      <c r="NIQ115" s="38"/>
      <c r="NIW115" s="36"/>
      <c r="NIX115" s="38"/>
      <c r="NIY115" s="38"/>
      <c r="NJE115" s="36"/>
      <c r="NJF115" s="38"/>
      <c r="NJG115" s="38"/>
      <c r="NJM115" s="36"/>
      <c r="NJN115" s="38"/>
      <c r="NJO115" s="38"/>
      <c r="NJU115" s="36"/>
      <c r="NJV115" s="38"/>
      <c r="NJW115" s="38"/>
      <c r="NKC115" s="36"/>
      <c r="NKD115" s="38"/>
      <c r="NKE115" s="38"/>
      <c r="NKK115" s="36"/>
      <c r="NKL115" s="38"/>
      <c r="NKM115" s="38"/>
      <c r="NKS115" s="36"/>
      <c r="NKT115" s="38"/>
      <c r="NKU115" s="38"/>
      <c r="NLA115" s="36"/>
      <c r="NLB115" s="38"/>
      <c r="NLC115" s="38"/>
      <c r="NLI115" s="36"/>
      <c r="NLJ115" s="38"/>
      <c r="NLK115" s="38"/>
      <c r="NLQ115" s="36"/>
      <c r="NLR115" s="38"/>
      <c r="NLS115" s="38"/>
      <c r="NLY115" s="36"/>
      <c r="NLZ115" s="38"/>
      <c r="NMA115" s="38"/>
      <c r="NMG115" s="36"/>
      <c r="NMH115" s="38"/>
      <c r="NMI115" s="38"/>
      <c r="NMO115" s="36"/>
      <c r="NMP115" s="38"/>
      <c r="NMQ115" s="38"/>
      <c r="NMW115" s="36"/>
      <c r="NMX115" s="38"/>
      <c r="NMY115" s="38"/>
      <c r="NNE115" s="36"/>
      <c r="NNF115" s="38"/>
      <c r="NNG115" s="38"/>
      <c r="NNM115" s="36"/>
      <c r="NNN115" s="38"/>
      <c r="NNO115" s="38"/>
      <c r="NNU115" s="36"/>
      <c r="NNV115" s="38"/>
      <c r="NNW115" s="38"/>
      <c r="NOC115" s="36"/>
      <c r="NOD115" s="38"/>
      <c r="NOE115" s="38"/>
      <c r="NOK115" s="36"/>
      <c r="NOL115" s="38"/>
      <c r="NOM115" s="38"/>
      <c r="NOS115" s="36"/>
      <c r="NOT115" s="38"/>
      <c r="NOU115" s="38"/>
      <c r="NPA115" s="36"/>
      <c r="NPB115" s="38"/>
      <c r="NPC115" s="38"/>
      <c r="NPI115" s="36"/>
      <c r="NPJ115" s="38"/>
      <c r="NPK115" s="38"/>
      <c r="NPQ115" s="36"/>
      <c r="NPR115" s="38"/>
      <c r="NPS115" s="38"/>
      <c r="NPY115" s="36"/>
      <c r="NPZ115" s="38"/>
      <c r="NQA115" s="38"/>
      <c r="NQG115" s="36"/>
      <c r="NQH115" s="38"/>
      <c r="NQI115" s="38"/>
      <c r="NQO115" s="36"/>
      <c r="NQP115" s="38"/>
      <c r="NQQ115" s="38"/>
      <c r="NQW115" s="36"/>
      <c r="NQX115" s="38"/>
      <c r="NQY115" s="38"/>
      <c r="NRE115" s="36"/>
      <c r="NRF115" s="38"/>
      <c r="NRG115" s="38"/>
      <c r="NRM115" s="36"/>
      <c r="NRN115" s="38"/>
      <c r="NRO115" s="38"/>
      <c r="NRU115" s="36"/>
      <c r="NRV115" s="38"/>
      <c r="NRW115" s="38"/>
      <c r="NSC115" s="36"/>
      <c r="NSD115" s="38"/>
      <c r="NSE115" s="38"/>
      <c r="NSK115" s="36"/>
      <c r="NSL115" s="38"/>
      <c r="NSM115" s="38"/>
      <c r="NSS115" s="36"/>
      <c r="NST115" s="38"/>
      <c r="NSU115" s="38"/>
      <c r="NTA115" s="36"/>
      <c r="NTB115" s="38"/>
      <c r="NTC115" s="38"/>
      <c r="NTI115" s="36"/>
      <c r="NTJ115" s="38"/>
      <c r="NTK115" s="38"/>
      <c r="NTQ115" s="36"/>
      <c r="NTR115" s="38"/>
      <c r="NTS115" s="38"/>
      <c r="NTY115" s="36"/>
      <c r="NTZ115" s="38"/>
      <c r="NUA115" s="38"/>
      <c r="NUG115" s="36"/>
      <c r="NUH115" s="38"/>
      <c r="NUI115" s="38"/>
      <c r="NUO115" s="36"/>
      <c r="NUP115" s="38"/>
      <c r="NUQ115" s="38"/>
      <c r="NUW115" s="36"/>
      <c r="NUX115" s="38"/>
      <c r="NUY115" s="38"/>
      <c r="NVE115" s="36"/>
      <c r="NVF115" s="38"/>
      <c r="NVG115" s="38"/>
      <c r="NVM115" s="36"/>
      <c r="NVN115" s="38"/>
      <c r="NVO115" s="38"/>
      <c r="NVU115" s="36"/>
      <c r="NVV115" s="38"/>
      <c r="NVW115" s="38"/>
      <c r="NWC115" s="36"/>
      <c r="NWD115" s="38"/>
      <c r="NWE115" s="38"/>
      <c r="NWK115" s="36"/>
      <c r="NWL115" s="38"/>
      <c r="NWM115" s="38"/>
      <c r="NWS115" s="36"/>
      <c r="NWT115" s="38"/>
      <c r="NWU115" s="38"/>
      <c r="NXA115" s="36"/>
      <c r="NXB115" s="38"/>
      <c r="NXC115" s="38"/>
      <c r="NXI115" s="36"/>
      <c r="NXJ115" s="38"/>
      <c r="NXK115" s="38"/>
      <c r="NXQ115" s="36"/>
      <c r="NXR115" s="38"/>
      <c r="NXS115" s="38"/>
      <c r="NXY115" s="36"/>
      <c r="NXZ115" s="38"/>
      <c r="NYA115" s="38"/>
      <c r="NYG115" s="36"/>
      <c r="NYH115" s="38"/>
      <c r="NYI115" s="38"/>
      <c r="NYO115" s="36"/>
      <c r="NYP115" s="38"/>
      <c r="NYQ115" s="38"/>
      <c r="NYW115" s="36"/>
      <c r="NYX115" s="38"/>
      <c r="NYY115" s="38"/>
      <c r="NZE115" s="36"/>
      <c r="NZF115" s="38"/>
      <c r="NZG115" s="38"/>
      <c r="NZM115" s="36"/>
      <c r="NZN115" s="38"/>
      <c r="NZO115" s="38"/>
      <c r="NZU115" s="36"/>
      <c r="NZV115" s="38"/>
      <c r="NZW115" s="38"/>
      <c r="OAC115" s="36"/>
      <c r="OAD115" s="38"/>
      <c r="OAE115" s="38"/>
      <c r="OAK115" s="36"/>
      <c r="OAL115" s="38"/>
      <c r="OAM115" s="38"/>
      <c r="OAS115" s="36"/>
      <c r="OAT115" s="38"/>
      <c r="OAU115" s="38"/>
      <c r="OBA115" s="36"/>
      <c r="OBB115" s="38"/>
      <c r="OBC115" s="38"/>
      <c r="OBI115" s="36"/>
      <c r="OBJ115" s="38"/>
      <c r="OBK115" s="38"/>
      <c r="OBQ115" s="36"/>
      <c r="OBR115" s="38"/>
      <c r="OBS115" s="38"/>
      <c r="OBY115" s="36"/>
      <c r="OBZ115" s="38"/>
      <c r="OCA115" s="38"/>
      <c r="OCG115" s="36"/>
      <c r="OCH115" s="38"/>
      <c r="OCI115" s="38"/>
      <c r="OCO115" s="36"/>
      <c r="OCP115" s="38"/>
      <c r="OCQ115" s="38"/>
      <c r="OCW115" s="36"/>
      <c r="OCX115" s="38"/>
      <c r="OCY115" s="38"/>
      <c r="ODE115" s="36"/>
      <c r="ODF115" s="38"/>
      <c r="ODG115" s="38"/>
      <c r="ODM115" s="36"/>
      <c r="ODN115" s="38"/>
      <c r="ODO115" s="38"/>
      <c r="ODU115" s="36"/>
      <c r="ODV115" s="38"/>
      <c r="ODW115" s="38"/>
      <c r="OEC115" s="36"/>
      <c r="OED115" s="38"/>
      <c r="OEE115" s="38"/>
      <c r="OEK115" s="36"/>
      <c r="OEL115" s="38"/>
      <c r="OEM115" s="38"/>
      <c r="OES115" s="36"/>
      <c r="OET115" s="38"/>
      <c r="OEU115" s="38"/>
      <c r="OFA115" s="36"/>
      <c r="OFB115" s="38"/>
      <c r="OFC115" s="38"/>
      <c r="OFI115" s="36"/>
      <c r="OFJ115" s="38"/>
      <c r="OFK115" s="38"/>
      <c r="OFQ115" s="36"/>
      <c r="OFR115" s="38"/>
      <c r="OFS115" s="38"/>
      <c r="OFY115" s="36"/>
      <c r="OFZ115" s="38"/>
      <c r="OGA115" s="38"/>
      <c r="OGG115" s="36"/>
      <c r="OGH115" s="38"/>
      <c r="OGI115" s="38"/>
      <c r="OGO115" s="36"/>
      <c r="OGP115" s="38"/>
      <c r="OGQ115" s="38"/>
      <c r="OGW115" s="36"/>
      <c r="OGX115" s="38"/>
      <c r="OGY115" s="38"/>
      <c r="OHE115" s="36"/>
      <c r="OHF115" s="38"/>
      <c r="OHG115" s="38"/>
      <c r="OHM115" s="36"/>
      <c r="OHN115" s="38"/>
      <c r="OHO115" s="38"/>
      <c r="OHU115" s="36"/>
      <c r="OHV115" s="38"/>
      <c r="OHW115" s="38"/>
      <c r="OIC115" s="36"/>
      <c r="OID115" s="38"/>
      <c r="OIE115" s="38"/>
      <c r="OIK115" s="36"/>
      <c r="OIL115" s="38"/>
      <c r="OIM115" s="38"/>
      <c r="OIS115" s="36"/>
      <c r="OIT115" s="38"/>
      <c r="OIU115" s="38"/>
      <c r="OJA115" s="36"/>
      <c r="OJB115" s="38"/>
      <c r="OJC115" s="38"/>
      <c r="OJI115" s="36"/>
      <c r="OJJ115" s="38"/>
      <c r="OJK115" s="38"/>
      <c r="OJQ115" s="36"/>
      <c r="OJR115" s="38"/>
      <c r="OJS115" s="38"/>
      <c r="OJY115" s="36"/>
      <c r="OJZ115" s="38"/>
      <c r="OKA115" s="38"/>
      <c r="OKG115" s="36"/>
      <c r="OKH115" s="38"/>
      <c r="OKI115" s="38"/>
      <c r="OKO115" s="36"/>
      <c r="OKP115" s="38"/>
      <c r="OKQ115" s="38"/>
      <c r="OKW115" s="36"/>
      <c r="OKX115" s="38"/>
      <c r="OKY115" s="38"/>
      <c r="OLE115" s="36"/>
      <c r="OLF115" s="38"/>
      <c r="OLG115" s="38"/>
      <c r="OLM115" s="36"/>
      <c r="OLN115" s="38"/>
      <c r="OLO115" s="38"/>
      <c r="OLU115" s="36"/>
      <c r="OLV115" s="38"/>
      <c r="OLW115" s="38"/>
      <c r="OMC115" s="36"/>
      <c r="OMD115" s="38"/>
      <c r="OME115" s="38"/>
      <c r="OMK115" s="36"/>
      <c r="OML115" s="38"/>
      <c r="OMM115" s="38"/>
      <c r="OMS115" s="36"/>
      <c r="OMT115" s="38"/>
      <c r="OMU115" s="38"/>
      <c r="ONA115" s="36"/>
      <c r="ONB115" s="38"/>
      <c r="ONC115" s="38"/>
      <c r="ONI115" s="36"/>
      <c r="ONJ115" s="38"/>
      <c r="ONK115" s="38"/>
      <c r="ONQ115" s="36"/>
      <c r="ONR115" s="38"/>
      <c r="ONS115" s="38"/>
      <c r="ONY115" s="36"/>
      <c r="ONZ115" s="38"/>
      <c r="OOA115" s="38"/>
      <c r="OOG115" s="36"/>
      <c r="OOH115" s="38"/>
      <c r="OOI115" s="38"/>
      <c r="OOO115" s="36"/>
      <c r="OOP115" s="38"/>
      <c r="OOQ115" s="38"/>
      <c r="OOW115" s="36"/>
      <c r="OOX115" s="38"/>
      <c r="OOY115" s="38"/>
      <c r="OPE115" s="36"/>
      <c r="OPF115" s="38"/>
      <c r="OPG115" s="38"/>
      <c r="OPM115" s="36"/>
      <c r="OPN115" s="38"/>
      <c r="OPO115" s="38"/>
      <c r="OPU115" s="36"/>
      <c r="OPV115" s="38"/>
      <c r="OPW115" s="38"/>
      <c r="OQC115" s="36"/>
      <c r="OQD115" s="38"/>
      <c r="OQE115" s="38"/>
      <c r="OQK115" s="36"/>
      <c r="OQL115" s="38"/>
      <c r="OQM115" s="38"/>
      <c r="OQS115" s="36"/>
      <c r="OQT115" s="38"/>
      <c r="OQU115" s="38"/>
      <c r="ORA115" s="36"/>
      <c r="ORB115" s="38"/>
      <c r="ORC115" s="38"/>
      <c r="ORI115" s="36"/>
      <c r="ORJ115" s="38"/>
      <c r="ORK115" s="38"/>
      <c r="ORQ115" s="36"/>
      <c r="ORR115" s="38"/>
      <c r="ORS115" s="38"/>
      <c r="ORY115" s="36"/>
      <c r="ORZ115" s="38"/>
      <c r="OSA115" s="38"/>
      <c r="OSG115" s="36"/>
      <c r="OSH115" s="38"/>
      <c r="OSI115" s="38"/>
      <c r="OSO115" s="36"/>
      <c r="OSP115" s="38"/>
      <c r="OSQ115" s="38"/>
      <c r="OSW115" s="36"/>
      <c r="OSX115" s="38"/>
      <c r="OSY115" s="38"/>
      <c r="OTE115" s="36"/>
      <c r="OTF115" s="38"/>
      <c r="OTG115" s="38"/>
      <c r="OTM115" s="36"/>
      <c r="OTN115" s="38"/>
      <c r="OTO115" s="38"/>
      <c r="OTU115" s="36"/>
      <c r="OTV115" s="38"/>
      <c r="OTW115" s="38"/>
      <c r="OUC115" s="36"/>
      <c r="OUD115" s="38"/>
      <c r="OUE115" s="38"/>
      <c r="OUK115" s="36"/>
      <c r="OUL115" s="38"/>
      <c r="OUM115" s="38"/>
      <c r="OUS115" s="36"/>
      <c r="OUT115" s="38"/>
      <c r="OUU115" s="38"/>
      <c r="OVA115" s="36"/>
      <c r="OVB115" s="38"/>
      <c r="OVC115" s="38"/>
      <c r="OVI115" s="36"/>
      <c r="OVJ115" s="38"/>
      <c r="OVK115" s="38"/>
      <c r="OVQ115" s="36"/>
      <c r="OVR115" s="38"/>
      <c r="OVS115" s="38"/>
      <c r="OVY115" s="36"/>
      <c r="OVZ115" s="38"/>
      <c r="OWA115" s="38"/>
      <c r="OWG115" s="36"/>
      <c r="OWH115" s="38"/>
      <c r="OWI115" s="38"/>
      <c r="OWO115" s="36"/>
      <c r="OWP115" s="38"/>
      <c r="OWQ115" s="38"/>
      <c r="OWW115" s="36"/>
      <c r="OWX115" s="38"/>
      <c r="OWY115" s="38"/>
      <c r="OXE115" s="36"/>
      <c r="OXF115" s="38"/>
      <c r="OXG115" s="38"/>
      <c r="OXM115" s="36"/>
      <c r="OXN115" s="38"/>
      <c r="OXO115" s="38"/>
      <c r="OXU115" s="36"/>
      <c r="OXV115" s="38"/>
      <c r="OXW115" s="38"/>
      <c r="OYC115" s="36"/>
      <c r="OYD115" s="38"/>
      <c r="OYE115" s="38"/>
      <c r="OYK115" s="36"/>
      <c r="OYL115" s="38"/>
      <c r="OYM115" s="38"/>
      <c r="OYS115" s="36"/>
      <c r="OYT115" s="38"/>
      <c r="OYU115" s="38"/>
      <c r="OZA115" s="36"/>
      <c r="OZB115" s="38"/>
      <c r="OZC115" s="38"/>
      <c r="OZI115" s="36"/>
      <c r="OZJ115" s="38"/>
      <c r="OZK115" s="38"/>
      <c r="OZQ115" s="36"/>
      <c r="OZR115" s="38"/>
      <c r="OZS115" s="38"/>
      <c r="OZY115" s="36"/>
      <c r="OZZ115" s="38"/>
      <c r="PAA115" s="38"/>
      <c r="PAG115" s="36"/>
      <c r="PAH115" s="38"/>
      <c r="PAI115" s="38"/>
      <c r="PAO115" s="36"/>
      <c r="PAP115" s="38"/>
      <c r="PAQ115" s="38"/>
      <c r="PAW115" s="36"/>
      <c r="PAX115" s="38"/>
      <c r="PAY115" s="38"/>
      <c r="PBE115" s="36"/>
      <c r="PBF115" s="38"/>
      <c r="PBG115" s="38"/>
      <c r="PBM115" s="36"/>
      <c r="PBN115" s="38"/>
      <c r="PBO115" s="38"/>
      <c r="PBU115" s="36"/>
      <c r="PBV115" s="38"/>
      <c r="PBW115" s="38"/>
      <c r="PCC115" s="36"/>
      <c r="PCD115" s="38"/>
      <c r="PCE115" s="38"/>
      <c r="PCK115" s="36"/>
      <c r="PCL115" s="38"/>
      <c r="PCM115" s="38"/>
      <c r="PCS115" s="36"/>
      <c r="PCT115" s="38"/>
      <c r="PCU115" s="38"/>
      <c r="PDA115" s="36"/>
      <c r="PDB115" s="38"/>
      <c r="PDC115" s="38"/>
      <c r="PDI115" s="36"/>
      <c r="PDJ115" s="38"/>
      <c r="PDK115" s="38"/>
      <c r="PDQ115" s="36"/>
      <c r="PDR115" s="38"/>
      <c r="PDS115" s="38"/>
      <c r="PDY115" s="36"/>
      <c r="PDZ115" s="38"/>
      <c r="PEA115" s="38"/>
      <c r="PEG115" s="36"/>
      <c r="PEH115" s="38"/>
      <c r="PEI115" s="38"/>
      <c r="PEO115" s="36"/>
      <c r="PEP115" s="38"/>
      <c r="PEQ115" s="38"/>
      <c r="PEW115" s="36"/>
      <c r="PEX115" s="38"/>
      <c r="PEY115" s="38"/>
      <c r="PFE115" s="36"/>
      <c r="PFF115" s="38"/>
      <c r="PFG115" s="38"/>
      <c r="PFM115" s="36"/>
      <c r="PFN115" s="38"/>
      <c r="PFO115" s="38"/>
      <c r="PFU115" s="36"/>
      <c r="PFV115" s="38"/>
      <c r="PFW115" s="38"/>
      <c r="PGC115" s="36"/>
      <c r="PGD115" s="38"/>
      <c r="PGE115" s="38"/>
      <c r="PGK115" s="36"/>
      <c r="PGL115" s="38"/>
      <c r="PGM115" s="38"/>
      <c r="PGS115" s="36"/>
      <c r="PGT115" s="38"/>
      <c r="PGU115" s="38"/>
      <c r="PHA115" s="36"/>
      <c r="PHB115" s="38"/>
      <c r="PHC115" s="38"/>
      <c r="PHI115" s="36"/>
      <c r="PHJ115" s="38"/>
      <c r="PHK115" s="38"/>
      <c r="PHQ115" s="36"/>
      <c r="PHR115" s="38"/>
      <c r="PHS115" s="38"/>
      <c r="PHY115" s="36"/>
      <c r="PHZ115" s="38"/>
      <c r="PIA115" s="38"/>
      <c r="PIG115" s="36"/>
      <c r="PIH115" s="38"/>
      <c r="PII115" s="38"/>
      <c r="PIO115" s="36"/>
      <c r="PIP115" s="38"/>
      <c r="PIQ115" s="38"/>
      <c r="PIW115" s="36"/>
      <c r="PIX115" s="38"/>
      <c r="PIY115" s="38"/>
      <c r="PJE115" s="36"/>
      <c r="PJF115" s="38"/>
      <c r="PJG115" s="38"/>
      <c r="PJM115" s="36"/>
      <c r="PJN115" s="38"/>
      <c r="PJO115" s="38"/>
      <c r="PJU115" s="36"/>
      <c r="PJV115" s="38"/>
      <c r="PJW115" s="38"/>
      <c r="PKC115" s="36"/>
      <c r="PKD115" s="38"/>
      <c r="PKE115" s="38"/>
      <c r="PKK115" s="36"/>
      <c r="PKL115" s="38"/>
      <c r="PKM115" s="38"/>
      <c r="PKS115" s="36"/>
      <c r="PKT115" s="38"/>
      <c r="PKU115" s="38"/>
      <c r="PLA115" s="36"/>
      <c r="PLB115" s="38"/>
      <c r="PLC115" s="38"/>
      <c r="PLI115" s="36"/>
      <c r="PLJ115" s="38"/>
      <c r="PLK115" s="38"/>
      <c r="PLQ115" s="36"/>
      <c r="PLR115" s="38"/>
      <c r="PLS115" s="38"/>
      <c r="PLY115" s="36"/>
      <c r="PLZ115" s="38"/>
      <c r="PMA115" s="38"/>
      <c r="PMG115" s="36"/>
      <c r="PMH115" s="38"/>
      <c r="PMI115" s="38"/>
      <c r="PMO115" s="36"/>
      <c r="PMP115" s="38"/>
      <c r="PMQ115" s="38"/>
      <c r="PMW115" s="36"/>
      <c r="PMX115" s="38"/>
      <c r="PMY115" s="38"/>
      <c r="PNE115" s="36"/>
      <c r="PNF115" s="38"/>
      <c r="PNG115" s="38"/>
      <c r="PNM115" s="36"/>
      <c r="PNN115" s="38"/>
      <c r="PNO115" s="38"/>
      <c r="PNU115" s="36"/>
      <c r="PNV115" s="38"/>
      <c r="PNW115" s="38"/>
      <c r="POC115" s="36"/>
      <c r="POD115" s="38"/>
      <c r="POE115" s="38"/>
      <c r="POK115" s="36"/>
      <c r="POL115" s="38"/>
      <c r="POM115" s="38"/>
      <c r="POS115" s="36"/>
      <c r="POT115" s="38"/>
      <c r="POU115" s="38"/>
      <c r="PPA115" s="36"/>
      <c r="PPB115" s="38"/>
      <c r="PPC115" s="38"/>
      <c r="PPI115" s="36"/>
      <c r="PPJ115" s="38"/>
      <c r="PPK115" s="38"/>
      <c r="PPQ115" s="36"/>
      <c r="PPR115" s="38"/>
      <c r="PPS115" s="38"/>
      <c r="PPY115" s="36"/>
      <c r="PPZ115" s="38"/>
      <c r="PQA115" s="38"/>
      <c r="PQG115" s="36"/>
      <c r="PQH115" s="38"/>
      <c r="PQI115" s="38"/>
      <c r="PQO115" s="36"/>
      <c r="PQP115" s="38"/>
      <c r="PQQ115" s="38"/>
      <c r="PQW115" s="36"/>
      <c r="PQX115" s="38"/>
      <c r="PQY115" s="38"/>
      <c r="PRE115" s="36"/>
      <c r="PRF115" s="38"/>
      <c r="PRG115" s="38"/>
      <c r="PRM115" s="36"/>
      <c r="PRN115" s="38"/>
      <c r="PRO115" s="38"/>
      <c r="PRU115" s="36"/>
      <c r="PRV115" s="38"/>
      <c r="PRW115" s="38"/>
      <c r="PSC115" s="36"/>
      <c r="PSD115" s="38"/>
      <c r="PSE115" s="38"/>
      <c r="PSK115" s="36"/>
      <c r="PSL115" s="38"/>
      <c r="PSM115" s="38"/>
      <c r="PSS115" s="36"/>
      <c r="PST115" s="38"/>
      <c r="PSU115" s="38"/>
      <c r="PTA115" s="36"/>
      <c r="PTB115" s="38"/>
      <c r="PTC115" s="38"/>
      <c r="PTI115" s="36"/>
      <c r="PTJ115" s="38"/>
      <c r="PTK115" s="38"/>
      <c r="PTQ115" s="36"/>
      <c r="PTR115" s="38"/>
      <c r="PTS115" s="38"/>
      <c r="PTY115" s="36"/>
      <c r="PTZ115" s="38"/>
      <c r="PUA115" s="38"/>
      <c r="PUG115" s="36"/>
      <c r="PUH115" s="38"/>
      <c r="PUI115" s="38"/>
      <c r="PUO115" s="36"/>
      <c r="PUP115" s="38"/>
      <c r="PUQ115" s="38"/>
      <c r="PUW115" s="36"/>
      <c r="PUX115" s="38"/>
      <c r="PUY115" s="38"/>
      <c r="PVE115" s="36"/>
      <c r="PVF115" s="38"/>
      <c r="PVG115" s="38"/>
      <c r="PVM115" s="36"/>
      <c r="PVN115" s="38"/>
      <c r="PVO115" s="38"/>
      <c r="PVU115" s="36"/>
      <c r="PVV115" s="38"/>
      <c r="PVW115" s="38"/>
      <c r="PWC115" s="36"/>
      <c r="PWD115" s="38"/>
      <c r="PWE115" s="38"/>
      <c r="PWK115" s="36"/>
      <c r="PWL115" s="38"/>
      <c r="PWM115" s="38"/>
      <c r="PWS115" s="36"/>
      <c r="PWT115" s="38"/>
      <c r="PWU115" s="38"/>
      <c r="PXA115" s="36"/>
      <c r="PXB115" s="38"/>
      <c r="PXC115" s="38"/>
      <c r="PXI115" s="36"/>
      <c r="PXJ115" s="38"/>
      <c r="PXK115" s="38"/>
      <c r="PXQ115" s="36"/>
      <c r="PXR115" s="38"/>
      <c r="PXS115" s="38"/>
      <c r="PXY115" s="36"/>
      <c r="PXZ115" s="38"/>
      <c r="PYA115" s="38"/>
      <c r="PYG115" s="36"/>
      <c r="PYH115" s="38"/>
      <c r="PYI115" s="38"/>
      <c r="PYO115" s="36"/>
      <c r="PYP115" s="38"/>
      <c r="PYQ115" s="38"/>
      <c r="PYW115" s="36"/>
      <c r="PYX115" s="38"/>
      <c r="PYY115" s="38"/>
      <c r="PZE115" s="36"/>
      <c r="PZF115" s="38"/>
      <c r="PZG115" s="38"/>
      <c r="PZM115" s="36"/>
      <c r="PZN115" s="38"/>
      <c r="PZO115" s="38"/>
      <c r="PZU115" s="36"/>
      <c r="PZV115" s="38"/>
      <c r="PZW115" s="38"/>
      <c r="QAC115" s="36"/>
      <c r="QAD115" s="38"/>
      <c r="QAE115" s="38"/>
      <c r="QAK115" s="36"/>
      <c r="QAL115" s="38"/>
      <c r="QAM115" s="38"/>
      <c r="QAS115" s="36"/>
      <c r="QAT115" s="38"/>
      <c r="QAU115" s="38"/>
      <c r="QBA115" s="36"/>
      <c r="QBB115" s="38"/>
      <c r="QBC115" s="38"/>
      <c r="QBI115" s="36"/>
      <c r="QBJ115" s="38"/>
      <c r="QBK115" s="38"/>
      <c r="QBQ115" s="36"/>
      <c r="QBR115" s="38"/>
      <c r="QBS115" s="38"/>
      <c r="QBY115" s="36"/>
      <c r="QBZ115" s="38"/>
      <c r="QCA115" s="38"/>
      <c r="QCG115" s="36"/>
      <c r="QCH115" s="38"/>
      <c r="QCI115" s="38"/>
      <c r="QCO115" s="36"/>
      <c r="QCP115" s="38"/>
      <c r="QCQ115" s="38"/>
      <c r="QCW115" s="36"/>
      <c r="QCX115" s="38"/>
      <c r="QCY115" s="38"/>
      <c r="QDE115" s="36"/>
      <c r="QDF115" s="38"/>
      <c r="QDG115" s="38"/>
      <c r="QDM115" s="36"/>
      <c r="QDN115" s="38"/>
      <c r="QDO115" s="38"/>
      <c r="QDU115" s="36"/>
      <c r="QDV115" s="38"/>
      <c r="QDW115" s="38"/>
      <c r="QEC115" s="36"/>
      <c r="QED115" s="38"/>
      <c r="QEE115" s="38"/>
      <c r="QEK115" s="36"/>
      <c r="QEL115" s="38"/>
      <c r="QEM115" s="38"/>
      <c r="QES115" s="36"/>
      <c r="QET115" s="38"/>
      <c r="QEU115" s="38"/>
      <c r="QFA115" s="36"/>
      <c r="QFB115" s="38"/>
      <c r="QFC115" s="38"/>
      <c r="QFI115" s="36"/>
      <c r="QFJ115" s="38"/>
      <c r="QFK115" s="38"/>
      <c r="QFQ115" s="36"/>
      <c r="QFR115" s="38"/>
      <c r="QFS115" s="38"/>
      <c r="QFY115" s="36"/>
      <c r="QFZ115" s="38"/>
      <c r="QGA115" s="38"/>
      <c r="QGG115" s="36"/>
      <c r="QGH115" s="38"/>
      <c r="QGI115" s="38"/>
      <c r="QGO115" s="36"/>
      <c r="QGP115" s="38"/>
      <c r="QGQ115" s="38"/>
      <c r="QGW115" s="36"/>
      <c r="QGX115" s="38"/>
      <c r="QGY115" s="38"/>
      <c r="QHE115" s="36"/>
      <c r="QHF115" s="38"/>
      <c r="QHG115" s="38"/>
      <c r="QHM115" s="36"/>
      <c r="QHN115" s="38"/>
      <c r="QHO115" s="38"/>
      <c r="QHU115" s="36"/>
      <c r="QHV115" s="38"/>
      <c r="QHW115" s="38"/>
      <c r="QIC115" s="36"/>
      <c r="QID115" s="38"/>
      <c r="QIE115" s="38"/>
      <c r="QIK115" s="36"/>
      <c r="QIL115" s="38"/>
      <c r="QIM115" s="38"/>
      <c r="QIS115" s="36"/>
      <c r="QIT115" s="38"/>
      <c r="QIU115" s="38"/>
      <c r="QJA115" s="36"/>
      <c r="QJB115" s="38"/>
      <c r="QJC115" s="38"/>
      <c r="QJI115" s="36"/>
      <c r="QJJ115" s="38"/>
      <c r="QJK115" s="38"/>
      <c r="QJQ115" s="36"/>
      <c r="QJR115" s="38"/>
      <c r="QJS115" s="38"/>
      <c r="QJY115" s="36"/>
      <c r="QJZ115" s="38"/>
      <c r="QKA115" s="38"/>
      <c r="QKG115" s="36"/>
      <c r="QKH115" s="38"/>
      <c r="QKI115" s="38"/>
      <c r="QKO115" s="36"/>
      <c r="QKP115" s="38"/>
      <c r="QKQ115" s="38"/>
      <c r="QKW115" s="36"/>
      <c r="QKX115" s="38"/>
      <c r="QKY115" s="38"/>
      <c r="QLE115" s="36"/>
      <c r="QLF115" s="38"/>
      <c r="QLG115" s="38"/>
      <c r="QLM115" s="36"/>
      <c r="QLN115" s="38"/>
      <c r="QLO115" s="38"/>
      <c r="QLU115" s="36"/>
      <c r="QLV115" s="38"/>
      <c r="QLW115" s="38"/>
      <c r="QMC115" s="36"/>
      <c r="QMD115" s="38"/>
      <c r="QME115" s="38"/>
      <c r="QMK115" s="36"/>
      <c r="QML115" s="38"/>
      <c r="QMM115" s="38"/>
      <c r="QMS115" s="36"/>
      <c r="QMT115" s="38"/>
      <c r="QMU115" s="38"/>
      <c r="QNA115" s="36"/>
      <c r="QNB115" s="38"/>
      <c r="QNC115" s="38"/>
      <c r="QNI115" s="36"/>
      <c r="QNJ115" s="38"/>
      <c r="QNK115" s="38"/>
      <c r="QNQ115" s="36"/>
      <c r="QNR115" s="38"/>
      <c r="QNS115" s="38"/>
      <c r="QNY115" s="36"/>
      <c r="QNZ115" s="38"/>
      <c r="QOA115" s="38"/>
      <c r="QOG115" s="36"/>
      <c r="QOH115" s="38"/>
      <c r="QOI115" s="38"/>
      <c r="QOO115" s="36"/>
      <c r="QOP115" s="38"/>
      <c r="QOQ115" s="38"/>
      <c r="QOW115" s="36"/>
      <c r="QOX115" s="38"/>
      <c r="QOY115" s="38"/>
      <c r="QPE115" s="36"/>
      <c r="QPF115" s="38"/>
      <c r="QPG115" s="38"/>
      <c r="QPM115" s="36"/>
      <c r="QPN115" s="38"/>
      <c r="QPO115" s="38"/>
      <c r="QPU115" s="36"/>
      <c r="QPV115" s="38"/>
      <c r="QPW115" s="38"/>
      <c r="QQC115" s="36"/>
      <c r="QQD115" s="38"/>
      <c r="QQE115" s="38"/>
      <c r="QQK115" s="36"/>
      <c r="QQL115" s="38"/>
      <c r="QQM115" s="38"/>
      <c r="QQS115" s="36"/>
      <c r="QQT115" s="38"/>
      <c r="QQU115" s="38"/>
      <c r="QRA115" s="36"/>
      <c r="QRB115" s="38"/>
      <c r="QRC115" s="38"/>
      <c r="QRI115" s="36"/>
      <c r="QRJ115" s="38"/>
      <c r="QRK115" s="38"/>
      <c r="QRQ115" s="36"/>
      <c r="QRR115" s="38"/>
      <c r="QRS115" s="38"/>
      <c r="QRY115" s="36"/>
      <c r="QRZ115" s="38"/>
      <c r="QSA115" s="38"/>
      <c r="QSG115" s="36"/>
      <c r="QSH115" s="38"/>
      <c r="QSI115" s="38"/>
      <c r="QSO115" s="36"/>
      <c r="QSP115" s="38"/>
      <c r="QSQ115" s="38"/>
      <c r="QSW115" s="36"/>
      <c r="QSX115" s="38"/>
      <c r="QSY115" s="38"/>
      <c r="QTE115" s="36"/>
      <c r="QTF115" s="38"/>
      <c r="QTG115" s="38"/>
      <c r="QTM115" s="36"/>
      <c r="QTN115" s="38"/>
      <c r="QTO115" s="38"/>
      <c r="QTU115" s="36"/>
      <c r="QTV115" s="38"/>
      <c r="QTW115" s="38"/>
      <c r="QUC115" s="36"/>
      <c r="QUD115" s="38"/>
      <c r="QUE115" s="38"/>
      <c r="QUK115" s="36"/>
      <c r="QUL115" s="38"/>
      <c r="QUM115" s="38"/>
      <c r="QUS115" s="36"/>
      <c r="QUT115" s="38"/>
      <c r="QUU115" s="38"/>
      <c r="QVA115" s="36"/>
      <c r="QVB115" s="38"/>
      <c r="QVC115" s="38"/>
      <c r="QVI115" s="36"/>
      <c r="QVJ115" s="38"/>
      <c r="QVK115" s="38"/>
      <c r="QVQ115" s="36"/>
      <c r="QVR115" s="38"/>
      <c r="QVS115" s="38"/>
      <c r="QVY115" s="36"/>
      <c r="QVZ115" s="38"/>
      <c r="QWA115" s="38"/>
      <c r="QWG115" s="36"/>
      <c r="QWH115" s="38"/>
      <c r="QWI115" s="38"/>
      <c r="QWO115" s="36"/>
      <c r="QWP115" s="38"/>
      <c r="QWQ115" s="38"/>
      <c r="QWW115" s="36"/>
      <c r="QWX115" s="38"/>
      <c r="QWY115" s="38"/>
      <c r="QXE115" s="36"/>
      <c r="QXF115" s="38"/>
      <c r="QXG115" s="38"/>
      <c r="QXM115" s="36"/>
      <c r="QXN115" s="38"/>
      <c r="QXO115" s="38"/>
      <c r="QXU115" s="36"/>
      <c r="QXV115" s="38"/>
      <c r="QXW115" s="38"/>
      <c r="QYC115" s="36"/>
      <c r="QYD115" s="38"/>
      <c r="QYE115" s="38"/>
      <c r="QYK115" s="36"/>
      <c r="QYL115" s="38"/>
      <c r="QYM115" s="38"/>
      <c r="QYS115" s="36"/>
      <c r="QYT115" s="38"/>
      <c r="QYU115" s="38"/>
      <c r="QZA115" s="36"/>
      <c r="QZB115" s="38"/>
      <c r="QZC115" s="38"/>
      <c r="QZI115" s="36"/>
      <c r="QZJ115" s="38"/>
      <c r="QZK115" s="38"/>
      <c r="QZQ115" s="36"/>
      <c r="QZR115" s="38"/>
      <c r="QZS115" s="38"/>
      <c r="QZY115" s="36"/>
      <c r="QZZ115" s="38"/>
      <c r="RAA115" s="38"/>
      <c r="RAG115" s="36"/>
      <c r="RAH115" s="38"/>
      <c r="RAI115" s="38"/>
      <c r="RAO115" s="36"/>
      <c r="RAP115" s="38"/>
      <c r="RAQ115" s="38"/>
      <c r="RAW115" s="36"/>
      <c r="RAX115" s="38"/>
      <c r="RAY115" s="38"/>
      <c r="RBE115" s="36"/>
      <c r="RBF115" s="38"/>
      <c r="RBG115" s="38"/>
      <c r="RBM115" s="36"/>
      <c r="RBN115" s="38"/>
      <c r="RBO115" s="38"/>
      <c r="RBU115" s="36"/>
      <c r="RBV115" s="38"/>
      <c r="RBW115" s="38"/>
      <c r="RCC115" s="36"/>
      <c r="RCD115" s="38"/>
      <c r="RCE115" s="38"/>
      <c r="RCK115" s="36"/>
      <c r="RCL115" s="38"/>
      <c r="RCM115" s="38"/>
      <c r="RCS115" s="36"/>
      <c r="RCT115" s="38"/>
      <c r="RCU115" s="38"/>
      <c r="RDA115" s="36"/>
      <c r="RDB115" s="38"/>
      <c r="RDC115" s="38"/>
      <c r="RDI115" s="36"/>
      <c r="RDJ115" s="38"/>
      <c r="RDK115" s="38"/>
      <c r="RDQ115" s="36"/>
      <c r="RDR115" s="38"/>
      <c r="RDS115" s="38"/>
      <c r="RDY115" s="36"/>
      <c r="RDZ115" s="38"/>
      <c r="REA115" s="38"/>
      <c r="REG115" s="36"/>
      <c r="REH115" s="38"/>
      <c r="REI115" s="38"/>
      <c r="REO115" s="36"/>
      <c r="REP115" s="38"/>
      <c r="REQ115" s="38"/>
      <c r="REW115" s="36"/>
      <c r="REX115" s="38"/>
      <c r="REY115" s="38"/>
      <c r="RFE115" s="36"/>
      <c r="RFF115" s="38"/>
      <c r="RFG115" s="38"/>
      <c r="RFM115" s="36"/>
      <c r="RFN115" s="38"/>
      <c r="RFO115" s="38"/>
      <c r="RFU115" s="36"/>
      <c r="RFV115" s="38"/>
      <c r="RFW115" s="38"/>
      <c r="RGC115" s="36"/>
      <c r="RGD115" s="38"/>
      <c r="RGE115" s="38"/>
      <c r="RGK115" s="36"/>
      <c r="RGL115" s="38"/>
      <c r="RGM115" s="38"/>
      <c r="RGS115" s="36"/>
      <c r="RGT115" s="38"/>
      <c r="RGU115" s="38"/>
      <c r="RHA115" s="36"/>
      <c r="RHB115" s="38"/>
      <c r="RHC115" s="38"/>
      <c r="RHI115" s="36"/>
      <c r="RHJ115" s="38"/>
      <c r="RHK115" s="38"/>
      <c r="RHQ115" s="36"/>
      <c r="RHR115" s="38"/>
      <c r="RHS115" s="38"/>
      <c r="RHY115" s="36"/>
      <c r="RHZ115" s="38"/>
      <c r="RIA115" s="38"/>
      <c r="RIG115" s="36"/>
      <c r="RIH115" s="38"/>
      <c r="RII115" s="38"/>
      <c r="RIO115" s="36"/>
      <c r="RIP115" s="38"/>
      <c r="RIQ115" s="38"/>
      <c r="RIW115" s="36"/>
      <c r="RIX115" s="38"/>
      <c r="RIY115" s="38"/>
      <c r="RJE115" s="36"/>
      <c r="RJF115" s="38"/>
      <c r="RJG115" s="38"/>
      <c r="RJM115" s="36"/>
      <c r="RJN115" s="38"/>
      <c r="RJO115" s="38"/>
      <c r="RJU115" s="36"/>
      <c r="RJV115" s="38"/>
      <c r="RJW115" s="38"/>
      <c r="RKC115" s="36"/>
      <c r="RKD115" s="38"/>
      <c r="RKE115" s="38"/>
      <c r="RKK115" s="36"/>
      <c r="RKL115" s="38"/>
      <c r="RKM115" s="38"/>
      <c r="RKS115" s="36"/>
      <c r="RKT115" s="38"/>
      <c r="RKU115" s="38"/>
      <c r="RLA115" s="36"/>
      <c r="RLB115" s="38"/>
      <c r="RLC115" s="38"/>
      <c r="RLI115" s="36"/>
      <c r="RLJ115" s="38"/>
      <c r="RLK115" s="38"/>
      <c r="RLQ115" s="36"/>
      <c r="RLR115" s="38"/>
      <c r="RLS115" s="38"/>
      <c r="RLY115" s="36"/>
      <c r="RLZ115" s="38"/>
      <c r="RMA115" s="38"/>
      <c r="RMG115" s="36"/>
      <c r="RMH115" s="38"/>
      <c r="RMI115" s="38"/>
      <c r="RMO115" s="36"/>
      <c r="RMP115" s="38"/>
      <c r="RMQ115" s="38"/>
      <c r="RMW115" s="36"/>
      <c r="RMX115" s="38"/>
      <c r="RMY115" s="38"/>
      <c r="RNE115" s="36"/>
      <c r="RNF115" s="38"/>
      <c r="RNG115" s="38"/>
      <c r="RNM115" s="36"/>
      <c r="RNN115" s="38"/>
      <c r="RNO115" s="38"/>
      <c r="RNU115" s="36"/>
      <c r="RNV115" s="38"/>
      <c r="RNW115" s="38"/>
      <c r="ROC115" s="36"/>
      <c r="ROD115" s="38"/>
      <c r="ROE115" s="38"/>
      <c r="ROK115" s="36"/>
      <c r="ROL115" s="38"/>
      <c r="ROM115" s="38"/>
      <c r="ROS115" s="36"/>
      <c r="ROT115" s="38"/>
      <c r="ROU115" s="38"/>
      <c r="RPA115" s="36"/>
      <c r="RPB115" s="38"/>
      <c r="RPC115" s="38"/>
      <c r="RPI115" s="36"/>
      <c r="RPJ115" s="38"/>
      <c r="RPK115" s="38"/>
      <c r="RPQ115" s="36"/>
      <c r="RPR115" s="38"/>
      <c r="RPS115" s="38"/>
      <c r="RPY115" s="36"/>
      <c r="RPZ115" s="38"/>
      <c r="RQA115" s="38"/>
      <c r="RQG115" s="36"/>
      <c r="RQH115" s="38"/>
      <c r="RQI115" s="38"/>
      <c r="RQO115" s="36"/>
      <c r="RQP115" s="38"/>
      <c r="RQQ115" s="38"/>
      <c r="RQW115" s="36"/>
      <c r="RQX115" s="38"/>
      <c r="RQY115" s="38"/>
      <c r="RRE115" s="36"/>
      <c r="RRF115" s="38"/>
      <c r="RRG115" s="38"/>
      <c r="RRM115" s="36"/>
      <c r="RRN115" s="38"/>
      <c r="RRO115" s="38"/>
      <c r="RRU115" s="36"/>
      <c r="RRV115" s="38"/>
      <c r="RRW115" s="38"/>
      <c r="RSC115" s="36"/>
      <c r="RSD115" s="38"/>
      <c r="RSE115" s="38"/>
      <c r="RSK115" s="36"/>
      <c r="RSL115" s="38"/>
      <c r="RSM115" s="38"/>
      <c r="RSS115" s="36"/>
      <c r="RST115" s="38"/>
      <c r="RSU115" s="38"/>
      <c r="RTA115" s="36"/>
      <c r="RTB115" s="38"/>
      <c r="RTC115" s="38"/>
      <c r="RTI115" s="36"/>
      <c r="RTJ115" s="38"/>
      <c r="RTK115" s="38"/>
      <c r="RTQ115" s="36"/>
      <c r="RTR115" s="38"/>
      <c r="RTS115" s="38"/>
      <c r="RTY115" s="36"/>
      <c r="RTZ115" s="38"/>
      <c r="RUA115" s="38"/>
      <c r="RUG115" s="36"/>
      <c r="RUH115" s="38"/>
      <c r="RUI115" s="38"/>
      <c r="RUO115" s="36"/>
      <c r="RUP115" s="38"/>
      <c r="RUQ115" s="38"/>
      <c r="RUW115" s="36"/>
      <c r="RUX115" s="38"/>
      <c r="RUY115" s="38"/>
      <c r="RVE115" s="36"/>
      <c r="RVF115" s="38"/>
      <c r="RVG115" s="38"/>
      <c r="RVM115" s="36"/>
      <c r="RVN115" s="38"/>
      <c r="RVO115" s="38"/>
      <c r="RVU115" s="36"/>
      <c r="RVV115" s="38"/>
      <c r="RVW115" s="38"/>
      <c r="RWC115" s="36"/>
      <c r="RWD115" s="38"/>
      <c r="RWE115" s="38"/>
      <c r="RWK115" s="36"/>
      <c r="RWL115" s="38"/>
      <c r="RWM115" s="38"/>
      <c r="RWS115" s="36"/>
      <c r="RWT115" s="38"/>
      <c r="RWU115" s="38"/>
      <c r="RXA115" s="36"/>
      <c r="RXB115" s="38"/>
      <c r="RXC115" s="38"/>
      <c r="RXI115" s="36"/>
      <c r="RXJ115" s="38"/>
      <c r="RXK115" s="38"/>
      <c r="RXQ115" s="36"/>
      <c r="RXR115" s="38"/>
      <c r="RXS115" s="38"/>
      <c r="RXY115" s="36"/>
      <c r="RXZ115" s="38"/>
      <c r="RYA115" s="38"/>
      <c r="RYG115" s="36"/>
      <c r="RYH115" s="38"/>
      <c r="RYI115" s="38"/>
      <c r="RYO115" s="36"/>
      <c r="RYP115" s="38"/>
      <c r="RYQ115" s="38"/>
      <c r="RYW115" s="36"/>
      <c r="RYX115" s="38"/>
      <c r="RYY115" s="38"/>
      <c r="RZE115" s="36"/>
      <c r="RZF115" s="38"/>
      <c r="RZG115" s="38"/>
      <c r="RZM115" s="36"/>
      <c r="RZN115" s="38"/>
      <c r="RZO115" s="38"/>
      <c r="RZU115" s="36"/>
      <c r="RZV115" s="38"/>
      <c r="RZW115" s="38"/>
      <c r="SAC115" s="36"/>
      <c r="SAD115" s="38"/>
      <c r="SAE115" s="38"/>
      <c r="SAK115" s="36"/>
      <c r="SAL115" s="38"/>
      <c r="SAM115" s="38"/>
      <c r="SAS115" s="36"/>
      <c r="SAT115" s="38"/>
      <c r="SAU115" s="38"/>
      <c r="SBA115" s="36"/>
      <c r="SBB115" s="38"/>
      <c r="SBC115" s="38"/>
      <c r="SBI115" s="36"/>
      <c r="SBJ115" s="38"/>
      <c r="SBK115" s="38"/>
      <c r="SBQ115" s="36"/>
      <c r="SBR115" s="38"/>
      <c r="SBS115" s="38"/>
      <c r="SBY115" s="36"/>
      <c r="SBZ115" s="38"/>
      <c r="SCA115" s="38"/>
      <c r="SCG115" s="36"/>
      <c r="SCH115" s="38"/>
      <c r="SCI115" s="38"/>
      <c r="SCO115" s="36"/>
      <c r="SCP115" s="38"/>
      <c r="SCQ115" s="38"/>
      <c r="SCW115" s="36"/>
      <c r="SCX115" s="38"/>
      <c r="SCY115" s="38"/>
      <c r="SDE115" s="36"/>
      <c r="SDF115" s="38"/>
      <c r="SDG115" s="38"/>
      <c r="SDM115" s="36"/>
      <c r="SDN115" s="38"/>
      <c r="SDO115" s="38"/>
      <c r="SDU115" s="36"/>
      <c r="SDV115" s="38"/>
      <c r="SDW115" s="38"/>
      <c r="SEC115" s="36"/>
      <c r="SED115" s="38"/>
      <c r="SEE115" s="38"/>
      <c r="SEK115" s="36"/>
      <c r="SEL115" s="38"/>
      <c r="SEM115" s="38"/>
      <c r="SES115" s="36"/>
      <c r="SET115" s="38"/>
      <c r="SEU115" s="38"/>
      <c r="SFA115" s="36"/>
      <c r="SFB115" s="38"/>
      <c r="SFC115" s="38"/>
      <c r="SFI115" s="36"/>
      <c r="SFJ115" s="38"/>
      <c r="SFK115" s="38"/>
      <c r="SFQ115" s="36"/>
      <c r="SFR115" s="38"/>
      <c r="SFS115" s="38"/>
      <c r="SFY115" s="36"/>
      <c r="SFZ115" s="38"/>
      <c r="SGA115" s="38"/>
      <c r="SGG115" s="36"/>
      <c r="SGH115" s="38"/>
      <c r="SGI115" s="38"/>
      <c r="SGO115" s="36"/>
      <c r="SGP115" s="38"/>
      <c r="SGQ115" s="38"/>
      <c r="SGW115" s="36"/>
      <c r="SGX115" s="38"/>
      <c r="SGY115" s="38"/>
      <c r="SHE115" s="36"/>
      <c r="SHF115" s="38"/>
      <c r="SHG115" s="38"/>
      <c r="SHM115" s="36"/>
      <c r="SHN115" s="38"/>
      <c r="SHO115" s="38"/>
      <c r="SHU115" s="36"/>
      <c r="SHV115" s="38"/>
      <c r="SHW115" s="38"/>
      <c r="SIC115" s="36"/>
      <c r="SID115" s="38"/>
      <c r="SIE115" s="38"/>
      <c r="SIK115" s="36"/>
      <c r="SIL115" s="38"/>
      <c r="SIM115" s="38"/>
      <c r="SIS115" s="36"/>
      <c r="SIT115" s="38"/>
      <c r="SIU115" s="38"/>
      <c r="SJA115" s="36"/>
      <c r="SJB115" s="38"/>
      <c r="SJC115" s="38"/>
      <c r="SJI115" s="36"/>
      <c r="SJJ115" s="38"/>
      <c r="SJK115" s="38"/>
      <c r="SJQ115" s="36"/>
      <c r="SJR115" s="38"/>
      <c r="SJS115" s="38"/>
      <c r="SJY115" s="36"/>
      <c r="SJZ115" s="38"/>
      <c r="SKA115" s="38"/>
      <c r="SKG115" s="36"/>
      <c r="SKH115" s="38"/>
      <c r="SKI115" s="38"/>
      <c r="SKO115" s="36"/>
      <c r="SKP115" s="38"/>
      <c r="SKQ115" s="38"/>
      <c r="SKW115" s="36"/>
      <c r="SKX115" s="38"/>
      <c r="SKY115" s="38"/>
      <c r="SLE115" s="36"/>
      <c r="SLF115" s="38"/>
      <c r="SLG115" s="38"/>
      <c r="SLM115" s="36"/>
      <c r="SLN115" s="38"/>
      <c r="SLO115" s="38"/>
      <c r="SLU115" s="36"/>
      <c r="SLV115" s="38"/>
      <c r="SLW115" s="38"/>
      <c r="SMC115" s="36"/>
      <c r="SMD115" s="38"/>
      <c r="SME115" s="38"/>
      <c r="SMK115" s="36"/>
      <c r="SML115" s="38"/>
      <c r="SMM115" s="38"/>
      <c r="SMS115" s="36"/>
      <c r="SMT115" s="38"/>
      <c r="SMU115" s="38"/>
      <c r="SNA115" s="36"/>
      <c r="SNB115" s="38"/>
      <c r="SNC115" s="38"/>
      <c r="SNI115" s="36"/>
      <c r="SNJ115" s="38"/>
      <c r="SNK115" s="38"/>
      <c r="SNQ115" s="36"/>
      <c r="SNR115" s="38"/>
      <c r="SNS115" s="38"/>
      <c r="SNY115" s="36"/>
      <c r="SNZ115" s="38"/>
      <c r="SOA115" s="38"/>
      <c r="SOG115" s="36"/>
      <c r="SOH115" s="38"/>
      <c r="SOI115" s="38"/>
      <c r="SOO115" s="36"/>
      <c r="SOP115" s="38"/>
      <c r="SOQ115" s="38"/>
      <c r="SOW115" s="36"/>
      <c r="SOX115" s="38"/>
      <c r="SOY115" s="38"/>
      <c r="SPE115" s="36"/>
      <c r="SPF115" s="38"/>
      <c r="SPG115" s="38"/>
      <c r="SPM115" s="36"/>
      <c r="SPN115" s="38"/>
      <c r="SPO115" s="38"/>
      <c r="SPU115" s="36"/>
      <c r="SPV115" s="38"/>
      <c r="SPW115" s="38"/>
      <c r="SQC115" s="36"/>
      <c r="SQD115" s="38"/>
      <c r="SQE115" s="38"/>
      <c r="SQK115" s="36"/>
      <c r="SQL115" s="38"/>
      <c r="SQM115" s="38"/>
      <c r="SQS115" s="36"/>
      <c r="SQT115" s="38"/>
      <c r="SQU115" s="38"/>
      <c r="SRA115" s="36"/>
      <c r="SRB115" s="38"/>
      <c r="SRC115" s="38"/>
      <c r="SRI115" s="36"/>
      <c r="SRJ115" s="38"/>
      <c r="SRK115" s="38"/>
      <c r="SRQ115" s="36"/>
      <c r="SRR115" s="38"/>
      <c r="SRS115" s="38"/>
      <c r="SRY115" s="36"/>
      <c r="SRZ115" s="38"/>
      <c r="SSA115" s="38"/>
      <c r="SSG115" s="36"/>
      <c r="SSH115" s="38"/>
      <c r="SSI115" s="38"/>
      <c r="SSO115" s="36"/>
      <c r="SSP115" s="38"/>
      <c r="SSQ115" s="38"/>
      <c r="SSW115" s="36"/>
      <c r="SSX115" s="38"/>
      <c r="SSY115" s="38"/>
      <c r="STE115" s="36"/>
      <c r="STF115" s="38"/>
      <c r="STG115" s="38"/>
      <c r="STM115" s="36"/>
      <c r="STN115" s="38"/>
      <c r="STO115" s="38"/>
      <c r="STU115" s="36"/>
      <c r="STV115" s="38"/>
      <c r="STW115" s="38"/>
      <c r="SUC115" s="36"/>
      <c r="SUD115" s="38"/>
      <c r="SUE115" s="38"/>
      <c r="SUK115" s="36"/>
      <c r="SUL115" s="38"/>
      <c r="SUM115" s="38"/>
      <c r="SUS115" s="36"/>
      <c r="SUT115" s="38"/>
      <c r="SUU115" s="38"/>
      <c r="SVA115" s="36"/>
      <c r="SVB115" s="38"/>
      <c r="SVC115" s="38"/>
      <c r="SVI115" s="36"/>
      <c r="SVJ115" s="38"/>
      <c r="SVK115" s="38"/>
      <c r="SVQ115" s="36"/>
      <c r="SVR115" s="38"/>
      <c r="SVS115" s="38"/>
      <c r="SVY115" s="36"/>
      <c r="SVZ115" s="38"/>
      <c r="SWA115" s="38"/>
      <c r="SWG115" s="36"/>
      <c r="SWH115" s="38"/>
      <c r="SWI115" s="38"/>
      <c r="SWO115" s="36"/>
      <c r="SWP115" s="38"/>
      <c r="SWQ115" s="38"/>
      <c r="SWW115" s="36"/>
      <c r="SWX115" s="38"/>
      <c r="SWY115" s="38"/>
      <c r="SXE115" s="36"/>
      <c r="SXF115" s="38"/>
      <c r="SXG115" s="38"/>
      <c r="SXM115" s="36"/>
      <c r="SXN115" s="38"/>
      <c r="SXO115" s="38"/>
      <c r="SXU115" s="36"/>
      <c r="SXV115" s="38"/>
      <c r="SXW115" s="38"/>
      <c r="SYC115" s="36"/>
      <c r="SYD115" s="38"/>
      <c r="SYE115" s="38"/>
      <c r="SYK115" s="36"/>
      <c r="SYL115" s="38"/>
      <c r="SYM115" s="38"/>
      <c r="SYS115" s="36"/>
      <c r="SYT115" s="38"/>
      <c r="SYU115" s="38"/>
      <c r="SZA115" s="36"/>
      <c r="SZB115" s="38"/>
      <c r="SZC115" s="38"/>
      <c r="SZI115" s="36"/>
      <c r="SZJ115" s="38"/>
      <c r="SZK115" s="38"/>
      <c r="SZQ115" s="36"/>
      <c r="SZR115" s="38"/>
      <c r="SZS115" s="38"/>
      <c r="SZY115" s="36"/>
      <c r="SZZ115" s="38"/>
      <c r="TAA115" s="38"/>
      <c r="TAG115" s="36"/>
      <c r="TAH115" s="38"/>
      <c r="TAI115" s="38"/>
      <c r="TAO115" s="36"/>
      <c r="TAP115" s="38"/>
      <c r="TAQ115" s="38"/>
      <c r="TAW115" s="36"/>
      <c r="TAX115" s="38"/>
      <c r="TAY115" s="38"/>
      <c r="TBE115" s="36"/>
      <c r="TBF115" s="38"/>
      <c r="TBG115" s="38"/>
      <c r="TBM115" s="36"/>
      <c r="TBN115" s="38"/>
      <c r="TBO115" s="38"/>
      <c r="TBU115" s="36"/>
      <c r="TBV115" s="38"/>
      <c r="TBW115" s="38"/>
      <c r="TCC115" s="36"/>
      <c r="TCD115" s="38"/>
      <c r="TCE115" s="38"/>
      <c r="TCK115" s="36"/>
      <c r="TCL115" s="38"/>
      <c r="TCM115" s="38"/>
      <c r="TCS115" s="36"/>
      <c r="TCT115" s="38"/>
      <c r="TCU115" s="38"/>
      <c r="TDA115" s="36"/>
      <c r="TDB115" s="38"/>
      <c r="TDC115" s="38"/>
      <c r="TDI115" s="36"/>
      <c r="TDJ115" s="38"/>
      <c r="TDK115" s="38"/>
      <c r="TDQ115" s="36"/>
      <c r="TDR115" s="38"/>
      <c r="TDS115" s="38"/>
      <c r="TDY115" s="36"/>
      <c r="TDZ115" s="38"/>
      <c r="TEA115" s="38"/>
      <c r="TEG115" s="36"/>
      <c r="TEH115" s="38"/>
      <c r="TEI115" s="38"/>
      <c r="TEO115" s="36"/>
      <c r="TEP115" s="38"/>
      <c r="TEQ115" s="38"/>
      <c r="TEW115" s="36"/>
      <c r="TEX115" s="38"/>
      <c r="TEY115" s="38"/>
      <c r="TFE115" s="36"/>
      <c r="TFF115" s="38"/>
      <c r="TFG115" s="38"/>
      <c r="TFM115" s="36"/>
      <c r="TFN115" s="38"/>
      <c r="TFO115" s="38"/>
      <c r="TFU115" s="36"/>
      <c r="TFV115" s="38"/>
      <c r="TFW115" s="38"/>
      <c r="TGC115" s="36"/>
      <c r="TGD115" s="38"/>
      <c r="TGE115" s="38"/>
      <c r="TGK115" s="36"/>
      <c r="TGL115" s="38"/>
      <c r="TGM115" s="38"/>
      <c r="TGS115" s="36"/>
      <c r="TGT115" s="38"/>
      <c r="TGU115" s="38"/>
      <c r="THA115" s="36"/>
      <c r="THB115" s="38"/>
      <c r="THC115" s="38"/>
      <c r="THI115" s="36"/>
      <c r="THJ115" s="38"/>
      <c r="THK115" s="38"/>
      <c r="THQ115" s="36"/>
      <c r="THR115" s="38"/>
      <c r="THS115" s="38"/>
      <c r="THY115" s="36"/>
      <c r="THZ115" s="38"/>
      <c r="TIA115" s="38"/>
      <c r="TIG115" s="36"/>
      <c r="TIH115" s="38"/>
      <c r="TII115" s="38"/>
      <c r="TIO115" s="36"/>
      <c r="TIP115" s="38"/>
      <c r="TIQ115" s="38"/>
      <c r="TIW115" s="36"/>
      <c r="TIX115" s="38"/>
      <c r="TIY115" s="38"/>
      <c r="TJE115" s="36"/>
      <c r="TJF115" s="38"/>
      <c r="TJG115" s="38"/>
      <c r="TJM115" s="36"/>
      <c r="TJN115" s="38"/>
      <c r="TJO115" s="38"/>
      <c r="TJU115" s="36"/>
      <c r="TJV115" s="38"/>
      <c r="TJW115" s="38"/>
      <c r="TKC115" s="36"/>
      <c r="TKD115" s="38"/>
      <c r="TKE115" s="38"/>
      <c r="TKK115" s="36"/>
      <c r="TKL115" s="38"/>
      <c r="TKM115" s="38"/>
      <c r="TKS115" s="36"/>
      <c r="TKT115" s="38"/>
      <c r="TKU115" s="38"/>
      <c r="TLA115" s="36"/>
      <c r="TLB115" s="38"/>
      <c r="TLC115" s="38"/>
      <c r="TLI115" s="36"/>
      <c r="TLJ115" s="38"/>
      <c r="TLK115" s="38"/>
      <c r="TLQ115" s="36"/>
      <c r="TLR115" s="38"/>
      <c r="TLS115" s="38"/>
      <c r="TLY115" s="36"/>
      <c r="TLZ115" s="38"/>
      <c r="TMA115" s="38"/>
      <c r="TMG115" s="36"/>
      <c r="TMH115" s="38"/>
      <c r="TMI115" s="38"/>
      <c r="TMO115" s="36"/>
      <c r="TMP115" s="38"/>
      <c r="TMQ115" s="38"/>
      <c r="TMW115" s="36"/>
      <c r="TMX115" s="38"/>
      <c r="TMY115" s="38"/>
      <c r="TNE115" s="36"/>
      <c r="TNF115" s="38"/>
      <c r="TNG115" s="38"/>
      <c r="TNM115" s="36"/>
      <c r="TNN115" s="38"/>
      <c r="TNO115" s="38"/>
      <c r="TNU115" s="36"/>
      <c r="TNV115" s="38"/>
      <c r="TNW115" s="38"/>
      <c r="TOC115" s="36"/>
      <c r="TOD115" s="38"/>
      <c r="TOE115" s="38"/>
      <c r="TOK115" s="36"/>
      <c r="TOL115" s="38"/>
      <c r="TOM115" s="38"/>
      <c r="TOS115" s="36"/>
      <c r="TOT115" s="38"/>
      <c r="TOU115" s="38"/>
      <c r="TPA115" s="36"/>
      <c r="TPB115" s="38"/>
      <c r="TPC115" s="38"/>
      <c r="TPI115" s="36"/>
      <c r="TPJ115" s="38"/>
      <c r="TPK115" s="38"/>
      <c r="TPQ115" s="36"/>
      <c r="TPR115" s="38"/>
      <c r="TPS115" s="38"/>
      <c r="TPY115" s="36"/>
      <c r="TPZ115" s="38"/>
      <c r="TQA115" s="38"/>
      <c r="TQG115" s="36"/>
      <c r="TQH115" s="38"/>
      <c r="TQI115" s="38"/>
      <c r="TQO115" s="36"/>
      <c r="TQP115" s="38"/>
      <c r="TQQ115" s="38"/>
      <c r="TQW115" s="36"/>
      <c r="TQX115" s="38"/>
      <c r="TQY115" s="38"/>
      <c r="TRE115" s="36"/>
      <c r="TRF115" s="38"/>
      <c r="TRG115" s="38"/>
      <c r="TRM115" s="36"/>
      <c r="TRN115" s="38"/>
      <c r="TRO115" s="38"/>
      <c r="TRU115" s="36"/>
      <c r="TRV115" s="38"/>
      <c r="TRW115" s="38"/>
      <c r="TSC115" s="36"/>
      <c r="TSD115" s="38"/>
      <c r="TSE115" s="38"/>
      <c r="TSK115" s="36"/>
      <c r="TSL115" s="38"/>
      <c r="TSM115" s="38"/>
      <c r="TSS115" s="36"/>
      <c r="TST115" s="38"/>
      <c r="TSU115" s="38"/>
      <c r="TTA115" s="36"/>
      <c r="TTB115" s="38"/>
      <c r="TTC115" s="38"/>
      <c r="TTI115" s="36"/>
      <c r="TTJ115" s="38"/>
      <c r="TTK115" s="38"/>
      <c r="TTQ115" s="36"/>
      <c r="TTR115" s="38"/>
      <c r="TTS115" s="38"/>
      <c r="TTY115" s="36"/>
      <c r="TTZ115" s="38"/>
      <c r="TUA115" s="38"/>
      <c r="TUG115" s="36"/>
      <c r="TUH115" s="38"/>
      <c r="TUI115" s="38"/>
      <c r="TUO115" s="36"/>
      <c r="TUP115" s="38"/>
      <c r="TUQ115" s="38"/>
      <c r="TUW115" s="36"/>
      <c r="TUX115" s="38"/>
      <c r="TUY115" s="38"/>
      <c r="TVE115" s="36"/>
      <c r="TVF115" s="38"/>
      <c r="TVG115" s="38"/>
      <c r="TVM115" s="36"/>
      <c r="TVN115" s="38"/>
      <c r="TVO115" s="38"/>
      <c r="TVU115" s="36"/>
      <c r="TVV115" s="38"/>
      <c r="TVW115" s="38"/>
      <c r="TWC115" s="36"/>
      <c r="TWD115" s="38"/>
      <c r="TWE115" s="38"/>
      <c r="TWK115" s="36"/>
      <c r="TWL115" s="38"/>
      <c r="TWM115" s="38"/>
      <c r="TWS115" s="36"/>
      <c r="TWT115" s="38"/>
      <c r="TWU115" s="38"/>
      <c r="TXA115" s="36"/>
      <c r="TXB115" s="38"/>
      <c r="TXC115" s="38"/>
      <c r="TXI115" s="36"/>
      <c r="TXJ115" s="38"/>
      <c r="TXK115" s="38"/>
      <c r="TXQ115" s="36"/>
      <c r="TXR115" s="38"/>
      <c r="TXS115" s="38"/>
      <c r="TXY115" s="36"/>
      <c r="TXZ115" s="38"/>
      <c r="TYA115" s="38"/>
      <c r="TYG115" s="36"/>
      <c r="TYH115" s="38"/>
      <c r="TYI115" s="38"/>
      <c r="TYO115" s="36"/>
      <c r="TYP115" s="38"/>
      <c r="TYQ115" s="38"/>
      <c r="TYW115" s="36"/>
      <c r="TYX115" s="38"/>
      <c r="TYY115" s="38"/>
      <c r="TZE115" s="36"/>
      <c r="TZF115" s="38"/>
      <c r="TZG115" s="38"/>
      <c r="TZM115" s="36"/>
      <c r="TZN115" s="38"/>
      <c r="TZO115" s="38"/>
      <c r="TZU115" s="36"/>
      <c r="TZV115" s="38"/>
      <c r="TZW115" s="38"/>
      <c r="UAC115" s="36"/>
      <c r="UAD115" s="38"/>
      <c r="UAE115" s="38"/>
      <c r="UAK115" s="36"/>
      <c r="UAL115" s="38"/>
      <c r="UAM115" s="38"/>
      <c r="UAS115" s="36"/>
      <c r="UAT115" s="38"/>
      <c r="UAU115" s="38"/>
      <c r="UBA115" s="36"/>
      <c r="UBB115" s="38"/>
      <c r="UBC115" s="38"/>
      <c r="UBI115" s="36"/>
      <c r="UBJ115" s="38"/>
      <c r="UBK115" s="38"/>
      <c r="UBQ115" s="36"/>
      <c r="UBR115" s="38"/>
      <c r="UBS115" s="38"/>
      <c r="UBY115" s="36"/>
      <c r="UBZ115" s="38"/>
      <c r="UCA115" s="38"/>
      <c r="UCG115" s="36"/>
      <c r="UCH115" s="38"/>
      <c r="UCI115" s="38"/>
      <c r="UCO115" s="36"/>
      <c r="UCP115" s="38"/>
      <c r="UCQ115" s="38"/>
      <c r="UCW115" s="36"/>
      <c r="UCX115" s="38"/>
      <c r="UCY115" s="38"/>
      <c r="UDE115" s="36"/>
      <c r="UDF115" s="38"/>
      <c r="UDG115" s="38"/>
      <c r="UDM115" s="36"/>
      <c r="UDN115" s="38"/>
      <c r="UDO115" s="38"/>
      <c r="UDU115" s="36"/>
      <c r="UDV115" s="38"/>
      <c r="UDW115" s="38"/>
      <c r="UEC115" s="36"/>
      <c r="UED115" s="38"/>
      <c r="UEE115" s="38"/>
      <c r="UEK115" s="36"/>
      <c r="UEL115" s="38"/>
      <c r="UEM115" s="38"/>
      <c r="UES115" s="36"/>
      <c r="UET115" s="38"/>
      <c r="UEU115" s="38"/>
      <c r="UFA115" s="36"/>
      <c r="UFB115" s="38"/>
      <c r="UFC115" s="38"/>
      <c r="UFI115" s="36"/>
      <c r="UFJ115" s="38"/>
      <c r="UFK115" s="38"/>
      <c r="UFQ115" s="36"/>
      <c r="UFR115" s="38"/>
      <c r="UFS115" s="38"/>
      <c r="UFY115" s="36"/>
      <c r="UFZ115" s="38"/>
      <c r="UGA115" s="38"/>
      <c r="UGG115" s="36"/>
      <c r="UGH115" s="38"/>
      <c r="UGI115" s="38"/>
      <c r="UGO115" s="36"/>
      <c r="UGP115" s="38"/>
      <c r="UGQ115" s="38"/>
      <c r="UGW115" s="36"/>
      <c r="UGX115" s="38"/>
      <c r="UGY115" s="38"/>
      <c r="UHE115" s="36"/>
      <c r="UHF115" s="38"/>
      <c r="UHG115" s="38"/>
      <c r="UHM115" s="36"/>
      <c r="UHN115" s="38"/>
      <c r="UHO115" s="38"/>
      <c r="UHU115" s="36"/>
      <c r="UHV115" s="38"/>
      <c r="UHW115" s="38"/>
      <c r="UIC115" s="36"/>
      <c r="UID115" s="38"/>
      <c r="UIE115" s="38"/>
      <c r="UIK115" s="36"/>
      <c r="UIL115" s="38"/>
      <c r="UIM115" s="38"/>
      <c r="UIS115" s="36"/>
      <c r="UIT115" s="38"/>
      <c r="UIU115" s="38"/>
      <c r="UJA115" s="36"/>
      <c r="UJB115" s="38"/>
      <c r="UJC115" s="38"/>
      <c r="UJI115" s="36"/>
      <c r="UJJ115" s="38"/>
      <c r="UJK115" s="38"/>
      <c r="UJQ115" s="36"/>
      <c r="UJR115" s="38"/>
      <c r="UJS115" s="38"/>
      <c r="UJY115" s="36"/>
      <c r="UJZ115" s="38"/>
      <c r="UKA115" s="38"/>
      <c r="UKG115" s="36"/>
      <c r="UKH115" s="38"/>
      <c r="UKI115" s="38"/>
      <c r="UKO115" s="36"/>
      <c r="UKP115" s="38"/>
      <c r="UKQ115" s="38"/>
      <c r="UKW115" s="36"/>
      <c r="UKX115" s="38"/>
      <c r="UKY115" s="38"/>
      <c r="ULE115" s="36"/>
      <c r="ULF115" s="38"/>
      <c r="ULG115" s="38"/>
      <c r="ULM115" s="36"/>
      <c r="ULN115" s="38"/>
      <c r="ULO115" s="38"/>
      <c r="ULU115" s="36"/>
      <c r="ULV115" s="38"/>
      <c r="ULW115" s="38"/>
      <c r="UMC115" s="36"/>
      <c r="UMD115" s="38"/>
      <c r="UME115" s="38"/>
      <c r="UMK115" s="36"/>
      <c r="UML115" s="38"/>
      <c r="UMM115" s="38"/>
      <c r="UMS115" s="36"/>
      <c r="UMT115" s="38"/>
      <c r="UMU115" s="38"/>
      <c r="UNA115" s="36"/>
      <c r="UNB115" s="38"/>
      <c r="UNC115" s="38"/>
      <c r="UNI115" s="36"/>
      <c r="UNJ115" s="38"/>
      <c r="UNK115" s="38"/>
      <c r="UNQ115" s="36"/>
      <c r="UNR115" s="38"/>
      <c r="UNS115" s="38"/>
      <c r="UNY115" s="36"/>
      <c r="UNZ115" s="38"/>
      <c r="UOA115" s="38"/>
      <c r="UOG115" s="36"/>
      <c r="UOH115" s="38"/>
      <c r="UOI115" s="38"/>
      <c r="UOO115" s="36"/>
      <c r="UOP115" s="38"/>
      <c r="UOQ115" s="38"/>
      <c r="UOW115" s="36"/>
      <c r="UOX115" s="38"/>
      <c r="UOY115" s="38"/>
      <c r="UPE115" s="36"/>
      <c r="UPF115" s="38"/>
      <c r="UPG115" s="38"/>
      <c r="UPM115" s="36"/>
      <c r="UPN115" s="38"/>
      <c r="UPO115" s="38"/>
      <c r="UPU115" s="36"/>
      <c r="UPV115" s="38"/>
      <c r="UPW115" s="38"/>
      <c r="UQC115" s="36"/>
      <c r="UQD115" s="38"/>
      <c r="UQE115" s="38"/>
      <c r="UQK115" s="36"/>
      <c r="UQL115" s="38"/>
      <c r="UQM115" s="38"/>
      <c r="UQS115" s="36"/>
      <c r="UQT115" s="38"/>
      <c r="UQU115" s="38"/>
      <c r="URA115" s="36"/>
      <c r="URB115" s="38"/>
      <c r="URC115" s="38"/>
      <c r="URI115" s="36"/>
      <c r="URJ115" s="38"/>
      <c r="URK115" s="38"/>
      <c r="URQ115" s="36"/>
      <c r="URR115" s="38"/>
      <c r="URS115" s="38"/>
      <c r="URY115" s="36"/>
      <c r="URZ115" s="38"/>
      <c r="USA115" s="38"/>
      <c r="USG115" s="36"/>
      <c r="USH115" s="38"/>
      <c r="USI115" s="38"/>
      <c r="USO115" s="36"/>
      <c r="USP115" s="38"/>
      <c r="USQ115" s="38"/>
      <c r="USW115" s="36"/>
      <c r="USX115" s="38"/>
      <c r="USY115" s="38"/>
      <c r="UTE115" s="36"/>
      <c r="UTF115" s="38"/>
      <c r="UTG115" s="38"/>
      <c r="UTM115" s="36"/>
      <c r="UTN115" s="38"/>
      <c r="UTO115" s="38"/>
      <c r="UTU115" s="36"/>
      <c r="UTV115" s="38"/>
      <c r="UTW115" s="38"/>
      <c r="UUC115" s="36"/>
      <c r="UUD115" s="38"/>
      <c r="UUE115" s="38"/>
      <c r="UUK115" s="36"/>
      <c r="UUL115" s="38"/>
      <c r="UUM115" s="38"/>
      <c r="UUS115" s="36"/>
      <c r="UUT115" s="38"/>
      <c r="UUU115" s="38"/>
      <c r="UVA115" s="36"/>
      <c r="UVB115" s="38"/>
      <c r="UVC115" s="38"/>
      <c r="UVI115" s="36"/>
      <c r="UVJ115" s="38"/>
      <c r="UVK115" s="38"/>
      <c r="UVQ115" s="36"/>
      <c r="UVR115" s="38"/>
      <c r="UVS115" s="38"/>
      <c r="UVY115" s="36"/>
      <c r="UVZ115" s="38"/>
      <c r="UWA115" s="38"/>
      <c r="UWG115" s="36"/>
      <c r="UWH115" s="38"/>
      <c r="UWI115" s="38"/>
      <c r="UWO115" s="36"/>
      <c r="UWP115" s="38"/>
      <c r="UWQ115" s="38"/>
      <c r="UWW115" s="36"/>
      <c r="UWX115" s="38"/>
      <c r="UWY115" s="38"/>
      <c r="UXE115" s="36"/>
      <c r="UXF115" s="38"/>
      <c r="UXG115" s="38"/>
      <c r="UXM115" s="36"/>
      <c r="UXN115" s="38"/>
      <c r="UXO115" s="38"/>
      <c r="UXU115" s="36"/>
      <c r="UXV115" s="38"/>
      <c r="UXW115" s="38"/>
      <c r="UYC115" s="36"/>
      <c r="UYD115" s="38"/>
      <c r="UYE115" s="38"/>
      <c r="UYK115" s="36"/>
      <c r="UYL115" s="38"/>
      <c r="UYM115" s="38"/>
      <c r="UYS115" s="36"/>
      <c r="UYT115" s="38"/>
      <c r="UYU115" s="38"/>
      <c r="UZA115" s="36"/>
      <c r="UZB115" s="38"/>
      <c r="UZC115" s="38"/>
      <c r="UZI115" s="36"/>
      <c r="UZJ115" s="38"/>
      <c r="UZK115" s="38"/>
      <c r="UZQ115" s="36"/>
      <c r="UZR115" s="38"/>
      <c r="UZS115" s="38"/>
      <c r="UZY115" s="36"/>
      <c r="UZZ115" s="38"/>
      <c r="VAA115" s="38"/>
      <c r="VAG115" s="36"/>
      <c r="VAH115" s="38"/>
      <c r="VAI115" s="38"/>
      <c r="VAO115" s="36"/>
      <c r="VAP115" s="38"/>
      <c r="VAQ115" s="38"/>
      <c r="VAW115" s="36"/>
      <c r="VAX115" s="38"/>
      <c r="VAY115" s="38"/>
      <c r="VBE115" s="36"/>
      <c r="VBF115" s="38"/>
      <c r="VBG115" s="38"/>
      <c r="VBM115" s="36"/>
      <c r="VBN115" s="38"/>
      <c r="VBO115" s="38"/>
      <c r="VBU115" s="36"/>
      <c r="VBV115" s="38"/>
      <c r="VBW115" s="38"/>
      <c r="VCC115" s="36"/>
      <c r="VCD115" s="38"/>
      <c r="VCE115" s="38"/>
      <c r="VCK115" s="36"/>
      <c r="VCL115" s="38"/>
      <c r="VCM115" s="38"/>
      <c r="VCS115" s="36"/>
      <c r="VCT115" s="38"/>
      <c r="VCU115" s="38"/>
      <c r="VDA115" s="36"/>
      <c r="VDB115" s="38"/>
      <c r="VDC115" s="38"/>
      <c r="VDI115" s="36"/>
      <c r="VDJ115" s="38"/>
      <c r="VDK115" s="38"/>
      <c r="VDQ115" s="36"/>
      <c r="VDR115" s="38"/>
      <c r="VDS115" s="38"/>
      <c r="VDY115" s="36"/>
      <c r="VDZ115" s="38"/>
      <c r="VEA115" s="38"/>
      <c r="VEG115" s="36"/>
      <c r="VEH115" s="38"/>
      <c r="VEI115" s="38"/>
      <c r="VEO115" s="36"/>
      <c r="VEP115" s="38"/>
      <c r="VEQ115" s="38"/>
      <c r="VEW115" s="36"/>
      <c r="VEX115" s="38"/>
      <c r="VEY115" s="38"/>
      <c r="VFE115" s="36"/>
      <c r="VFF115" s="38"/>
      <c r="VFG115" s="38"/>
      <c r="VFM115" s="36"/>
      <c r="VFN115" s="38"/>
      <c r="VFO115" s="38"/>
      <c r="VFU115" s="36"/>
      <c r="VFV115" s="38"/>
      <c r="VFW115" s="38"/>
      <c r="VGC115" s="36"/>
      <c r="VGD115" s="38"/>
      <c r="VGE115" s="38"/>
      <c r="VGK115" s="36"/>
      <c r="VGL115" s="38"/>
      <c r="VGM115" s="38"/>
      <c r="VGS115" s="36"/>
      <c r="VGT115" s="38"/>
      <c r="VGU115" s="38"/>
      <c r="VHA115" s="36"/>
      <c r="VHB115" s="38"/>
      <c r="VHC115" s="38"/>
      <c r="VHI115" s="36"/>
      <c r="VHJ115" s="38"/>
      <c r="VHK115" s="38"/>
      <c r="VHQ115" s="36"/>
      <c r="VHR115" s="38"/>
      <c r="VHS115" s="38"/>
      <c r="VHY115" s="36"/>
      <c r="VHZ115" s="38"/>
      <c r="VIA115" s="38"/>
      <c r="VIG115" s="36"/>
      <c r="VIH115" s="38"/>
      <c r="VII115" s="38"/>
      <c r="VIO115" s="36"/>
      <c r="VIP115" s="38"/>
      <c r="VIQ115" s="38"/>
      <c r="VIW115" s="36"/>
      <c r="VIX115" s="38"/>
      <c r="VIY115" s="38"/>
      <c r="VJE115" s="36"/>
      <c r="VJF115" s="38"/>
      <c r="VJG115" s="38"/>
      <c r="VJM115" s="36"/>
      <c r="VJN115" s="38"/>
      <c r="VJO115" s="38"/>
      <c r="VJU115" s="36"/>
      <c r="VJV115" s="38"/>
      <c r="VJW115" s="38"/>
      <c r="VKC115" s="36"/>
      <c r="VKD115" s="38"/>
      <c r="VKE115" s="38"/>
      <c r="VKK115" s="36"/>
      <c r="VKL115" s="38"/>
      <c r="VKM115" s="38"/>
      <c r="VKS115" s="36"/>
      <c r="VKT115" s="38"/>
      <c r="VKU115" s="38"/>
      <c r="VLA115" s="36"/>
      <c r="VLB115" s="38"/>
      <c r="VLC115" s="38"/>
      <c r="VLI115" s="36"/>
      <c r="VLJ115" s="38"/>
      <c r="VLK115" s="38"/>
      <c r="VLQ115" s="36"/>
      <c r="VLR115" s="38"/>
      <c r="VLS115" s="38"/>
      <c r="VLY115" s="36"/>
      <c r="VLZ115" s="38"/>
      <c r="VMA115" s="38"/>
      <c r="VMG115" s="36"/>
      <c r="VMH115" s="38"/>
      <c r="VMI115" s="38"/>
      <c r="VMO115" s="36"/>
      <c r="VMP115" s="38"/>
      <c r="VMQ115" s="38"/>
      <c r="VMW115" s="36"/>
      <c r="VMX115" s="38"/>
      <c r="VMY115" s="38"/>
      <c r="VNE115" s="36"/>
      <c r="VNF115" s="38"/>
      <c r="VNG115" s="38"/>
      <c r="VNM115" s="36"/>
      <c r="VNN115" s="38"/>
      <c r="VNO115" s="38"/>
      <c r="VNU115" s="36"/>
      <c r="VNV115" s="38"/>
      <c r="VNW115" s="38"/>
      <c r="VOC115" s="36"/>
      <c r="VOD115" s="38"/>
      <c r="VOE115" s="38"/>
      <c r="VOK115" s="36"/>
      <c r="VOL115" s="38"/>
      <c r="VOM115" s="38"/>
      <c r="VOS115" s="36"/>
      <c r="VOT115" s="38"/>
      <c r="VOU115" s="38"/>
      <c r="VPA115" s="36"/>
      <c r="VPB115" s="38"/>
      <c r="VPC115" s="38"/>
      <c r="VPI115" s="36"/>
      <c r="VPJ115" s="38"/>
      <c r="VPK115" s="38"/>
      <c r="VPQ115" s="36"/>
      <c r="VPR115" s="38"/>
      <c r="VPS115" s="38"/>
      <c r="VPY115" s="36"/>
      <c r="VPZ115" s="38"/>
      <c r="VQA115" s="38"/>
      <c r="VQG115" s="36"/>
      <c r="VQH115" s="38"/>
      <c r="VQI115" s="38"/>
      <c r="VQO115" s="36"/>
      <c r="VQP115" s="38"/>
      <c r="VQQ115" s="38"/>
      <c r="VQW115" s="36"/>
      <c r="VQX115" s="38"/>
      <c r="VQY115" s="38"/>
      <c r="VRE115" s="36"/>
      <c r="VRF115" s="38"/>
      <c r="VRG115" s="38"/>
      <c r="VRM115" s="36"/>
      <c r="VRN115" s="38"/>
      <c r="VRO115" s="38"/>
      <c r="VRU115" s="36"/>
      <c r="VRV115" s="38"/>
      <c r="VRW115" s="38"/>
      <c r="VSC115" s="36"/>
      <c r="VSD115" s="38"/>
      <c r="VSE115" s="38"/>
      <c r="VSK115" s="36"/>
      <c r="VSL115" s="38"/>
      <c r="VSM115" s="38"/>
      <c r="VSS115" s="36"/>
      <c r="VST115" s="38"/>
      <c r="VSU115" s="38"/>
      <c r="VTA115" s="36"/>
      <c r="VTB115" s="38"/>
      <c r="VTC115" s="38"/>
      <c r="VTI115" s="36"/>
      <c r="VTJ115" s="38"/>
      <c r="VTK115" s="38"/>
      <c r="VTQ115" s="36"/>
      <c r="VTR115" s="38"/>
      <c r="VTS115" s="38"/>
      <c r="VTY115" s="36"/>
      <c r="VTZ115" s="38"/>
      <c r="VUA115" s="38"/>
      <c r="VUG115" s="36"/>
      <c r="VUH115" s="38"/>
      <c r="VUI115" s="38"/>
      <c r="VUO115" s="36"/>
      <c r="VUP115" s="38"/>
      <c r="VUQ115" s="38"/>
      <c r="VUW115" s="36"/>
      <c r="VUX115" s="38"/>
      <c r="VUY115" s="38"/>
      <c r="VVE115" s="36"/>
      <c r="VVF115" s="38"/>
      <c r="VVG115" s="38"/>
      <c r="VVM115" s="36"/>
      <c r="VVN115" s="38"/>
      <c r="VVO115" s="38"/>
      <c r="VVU115" s="36"/>
      <c r="VVV115" s="38"/>
      <c r="VVW115" s="38"/>
      <c r="VWC115" s="36"/>
      <c r="VWD115" s="38"/>
      <c r="VWE115" s="38"/>
      <c r="VWK115" s="36"/>
      <c r="VWL115" s="38"/>
      <c r="VWM115" s="38"/>
      <c r="VWS115" s="36"/>
      <c r="VWT115" s="38"/>
      <c r="VWU115" s="38"/>
      <c r="VXA115" s="36"/>
      <c r="VXB115" s="38"/>
      <c r="VXC115" s="38"/>
      <c r="VXI115" s="36"/>
      <c r="VXJ115" s="38"/>
      <c r="VXK115" s="38"/>
      <c r="VXQ115" s="36"/>
      <c r="VXR115" s="38"/>
      <c r="VXS115" s="38"/>
      <c r="VXY115" s="36"/>
      <c r="VXZ115" s="38"/>
      <c r="VYA115" s="38"/>
      <c r="VYG115" s="36"/>
      <c r="VYH115" s="38"/>
      <c r="VYI115" s="38"/>
      <c r="VYO115" s="36"/>
      <c r="VYP115" s="38"/>
      <c r="VYQ115" s="38"/>
      <c r="VYW115" s="36"/>
      <c r="VYX115" s="38"/>
      <c r="VYY115" s="38"/>
      <c r="VZE115" s="36"/>
      <c r="VZF115" s="38"/>
      <c r="VZG115" s="38"/>
      <c r="VZM115" s="36"/>
      <c r="VZN115" s="38"/>
      <c r="VZO115" s="38"/>
      <c r="VZU115" s="36"/>
      <c r="VZV115" s="38"/>
      <c r="VZW115" s="38"/>
      <c r="WAC115" s="36"/>
      <c r="WAD115" s="38"/>
      <c r="WAE115" s="38"/>
      <c r="WAK115" s="36"/>
      <c r="WAL115" s="38"/>
      <c r="WAM115" s="38"/>
      <c r="WAS115" s="36"/>
      <c r="WAT115" s="38"/>
      <c r="WAU115" s="38"/>
      <c r="WBA115" s="36"/>
      <c r="WBB115" s="38"/>
      <c r="WBC115" s="38"/>
      <c r="WBI115" s="36"/>
      <c r="WBJ115" s="38"/>
      <c r="WBK115" s="38"/>
      <c r="WBQ115" s="36"/>
      <c r="WBR115" s="38"/>
      <c r="WBS115" s="38"/>
      <c r="WBY115" s="36"/>
      <c r="WBZ115" s="38"/>
      <c r="WCA115" s="38"/>
      <c r="WCG115" s="36"/>
      <c r="WCH115" s="38"/>
      <c r="WCI115" s="38"/>
      <c r="WCO115" s="36"/>
      <c r="WCP115" s="38"/>
      <c r="WCQ115" s="38"/>
      <c r="WCW115" s="36"/>
      <c r="WCX115" s="38"/>
      <c r="WCY115" s="38"/>
      <c r="WDE115" s="36"/>
      <c r="WDF115" s="38"/>
      <c r="WDG115" s="38"/>
      <c r="WDM115" s="36"/>
      <c r="WDN115" s="38"/>
      <c r="WDO115" s="38"/>
      <c r="WDU115" s="36"/>
      <c r="WDV115" s="38"/>
      <c r="WDW115" s="38"/>
      <c r="WEC115" s="36"/>
      <c r="WED115" s="38"/>
      <c r="WEE115" s="38"/>
      <c r="WEK115" s="36"/>
      <c r="WEL115" s="38"/>
      <c r="WEM115" s="38"/>
      <c r="WES115" s="36"/>
      <c r="WET115" s="38"/>
      <c r="WEU115" s="38"/>
      <c r="WFA115" s="36"/>
      <c r="WFB115" s="38"/>
      <c r="WFC115" s="38"/>
      <c r="WFI115" s="36"/>
      <c r="WFJ115" s="38"/>
      <c r="WFK115" s="38"/>
      <c r="WFQ115" s="36"/>
      <c r="WFR115" s="38"/>
      <c r="WFS115" s="38"/>
      <c r="WFY115" s="36"/>
      <c r="WFZ115" s="38"/>
      <c r="WGA115" s="38"/>
      <c r="WGG115" s="36"/>
      <c r="WGH115" s="38"/>
      <c r="WGI115" s="38"/>
      <c r="WGO115" s="36"/>
      <c r="WGP115" s="38"/>
      <c r="WGQ115" s="38"/>
      <c r="WGW115" s="36"/>
      <c r="WGX115" s="38"/>
      <c r="WGY115" s="38"/>
      <c r="WHE115" s="36"/>
      <c r="WHF115" s="38"/>
      <c r="WHG115" s="38"/>
      <c r="WHM115" s="36"/>
      <c r="WHN115" s="38"/>
      <c r="WHO115" s="38"/>
      <c r="WHU115" s="36"/>
      <c r="WHV115" s="38"/>
      <c r="WHW115" s="38"/>
      <c r="WIC115" s="36"/>
      <c r="WID115" s="38"/>
      <c r="WIE115" s="38"/>
      <c r="WIK115" s="36"/>
      <c r="WIL115" s="38"/>
      <c r="WIM115" s="38"/>
      <c r="WIS115" s="36"/>
      <c r="WIT115" s="38"/>
      <c r="WIU115" s="38"/>
      <c r="WJA115" s="36"/>
      <c r="WJB115" s="38"/>
      <c r="WJC115" s="38"/>
      <c r="WJI115" s="36"/>
      <c r="WJJ115" s="38"/>
      <c r="WJK115" s="38"/>
      <c r="WJQ115" s="36"/>
      <c r="WJR115" s="38"/>
      <c r="WJS115" s="38"/>
      <c r="WJY115" s="36"/>
      <c r="WJZ115" s="38"/>
      <c r="WKA115" s="38"/>
      <c r="WKG115" s="36"/>
      <c r="WKH115" s="38"/>
      <c r="WKI115" s="38"/>
      <c r="WKO115" s="36"/>
      <c r="WKP115" s="38"/>
      <c r="WKQ115" s="38"/>
      <c r="WKW115" s="36"/>
      <c r="WKX115" s="38"/>
      <c r="WKY115" s="38"/>
      <c r="WLE115" s="36"/>
      <c r="WLF115" s="38"/>
      <c r="WLG115" s="38"/>
      <c r="WLM115" s="36"/>
      <c r="WLN115" s="38"/>
      <c r="WLO115" s="38"/>
      <c r="WLU115" s="36"/>
      <c r="WLV115" s="38"/>
      <c r="WLW115" s="38"/>
      <c r="WMC115" s="36"/>
      <c r="WMD115" s="38"/>
      <c r="WME115" s="38"/>
      <c r="WMK115" s="36"/>
      <c r="WML115" s="38"/>
      <c r="WMM115" s="38"/>
      <c r="WMS115" s="36"/>
      <c r="WMT115" s="38"/>
      <c r="WMU115" s="38"/>
      <c r="WNA115" s="36"/>
      <c r="WNB115" s="38"/>
      <c r="WNC115" s="38"/>
      <c r="WNI115" s="36"/>
      <c r="WNJ115" s="38"/>
      <c r="WNK115" s="38"/>
      <c r="WNQ115" s="36"/>
      <c r="WNR115" s="38"/>
      <c r="WNS115" s="38"/>
      <c r="WNY115" s="36"/>
      <c r="WNZ115" s="38"/>
      <c r="WOA115" s="38"/>
      <c r="WOG115" s="36"/>
      <c r="WOH115" s="38"/>
      <c r="WOI115" s="38"/>
      <c r="WOO115" s="36"/>
      <c r="WOP115" s="38"/>
      <c r="WOQ115" s="38"/>
      <c r="WOW115" s="36"/>
      <c r="WOX115" s="38"/>
      <c r="WOY115" s="38"/>
      <c r="WPE115" s="36"/>
      <c r="WPF115" s="38"/>
      <c r="WPG115" s="38"/>
      <c r="WPM115" s="36"/>
      <c r="WPN115" s="38"/>
      <c r="WPO115" s="38"/>
      <c r="WPU115" s="36"/>
      <c r="WPV115" s="38"/>
      <c r="WPW115" s="38"/>
      <c r="WQC115" s="36"/>
      <c r="WQD115" s="38"/>
      <c r="WQE115" s="38"/>
      <c r="WQK115" s="36"/>
      <c r="WQL115" s="38"/>
      <c r="WQM115" s="38"/>
      <c r="WQS115" s="36"/>
      <c r="WQT115" s="38"/>
      <c r="WQU115" s="38"/>
      <c r="WRA115" s="36"/>
      <c r="WRB115" s="38"/>
      <c r="WRC115" s="38"/>
      <c r="WRI115" s="36"/>
      <c r="WRJ115" s="38"/>
      <c r="WRK115" s="38"/>
      <c r="WRQ115" s="36"/>
      <c r="WRR115" s="38"/>
      <c r="WRS115" s="38"/>
      <c r="WRY115" s="36"/>
      <c r="WRZ115" s="38"/>
      <c r="WSA115" s="38"/>
      <c r="WSG115" s="36"/>
      <c r="WSH115" s="38"/>
      <c r="WSI115" s="38"/>
      <c r="WSO115" s="36"/>
      <c r="WSP115" s="38"/>
      <c r="WSQ115" s="38"/>
      <c r="WSW115" s="36"/>
      <c r="WSX115" s="38"/>
      <c r="WSY115" s="38"/>
      <c r="WTE115" s="36"/>
      <c r="WTF115" s="38"/>
      <c r="WTG115" s="38"/>
      <c r="WTM115" s="36"/>
      <c r="WTN115" s="38"/>
      <c r="WTO115" s="38"/>
      <c r="WTU115" s="36"/>
      <c r="WTV115" s="38"/>
      <c r="WTW115" s="38"/>
      <c r="WUC115" s="36"/>
      <c r="WUD115" s="38"/>
      <c r="WUE115" s="38"/>
      <c r="WUK115" s="36"/>
      <c r="WUL115" s="38"/>
      <c r="WUM115" s="38"/>
      <c r="WUS115" s="36"/>
      <c r="WUT115" s="38"/>
      <c r="WUU115" s="38"/>
      <c r="WVA115" s="36"/>
      <c r="WVB115" s="38"/>
      <c r="WVC115" s="38"/>
      <c r="WVI115" s="36"/>
      <c r="WVJ115" s="38"/>
      <c r="WVK115" s="38"/>
      <c r="WVQ115" s="36"/>
      <c r="WVR115" s="38"/>
      <c r="WVS115" s="38"/>
      <c r="WVY115" s="36"/>
      <c r="WVZ115" s="38"/>
      <c r="WWA115" s="38"/>
      <c r="WWG115" s="36"/>
      <c r="WWH115" s="38"/>
      <c r="WWI115" s="38"/>
      <c r="WWO115" s="36"/>
      <c r="WWP115" s="38"/>
      <c r="WWQ115" s="38"/>
      <c r="WWW115" s="36"/>
      <c r="WWX115" s="38"/>
      <c r="WWY115" s="38"/>
      <c r="WXE115" s="36"/>
      <c r="WXF115" s="38"/>
      <c r="WXG115" s="38"/>
      <c r="WXM115" s="36"/>
      <c r="WXN115" s="38"/>
      <c r="WXO115" s="38"/>
      <c r="WXU115" s="36"/>
      <c r="WXV115" s="38"/>
      <c r="WXW115" s="38"/>
      <c r="WYC115" s="36"/>
      <c r="WYD115" s="38"/>
      <c r="WYE115" s="38"/>
      <c r="WYK115" s="36"/>
      <c r="WYL115" s="38"/>
      <c r="WYM115" s="38"/>
      <c r="WYS115" s="36"/>
      <c r="WYT115" s="38"/>
      <c r="WYU115" s="38"/>
      <c r="WZA115" s="36"/>
      <c r="WZB115" s="38"/>
      <c r="WZC115" s="38"/>
      <c r="WZI115" s="36"/>
      <c r="WZJ115" s="38"/>
      <c r="WZK115" s="38"/>
      <c r="WZQ115" s="36"/>
      <c r="WZR115" s="38"/>
      <c r="WZS115" s="38"/>
      <c r="WZY115" s="36"/>
      <c r="WZZ115" s="38"/>
      <c r="XAA115" s="38"/>
      <c r="XAG115" s="36"/>
      <c r="XAH115" s="38"/>
      <c r="XAI115" s="38"/>
      <c r="XAO115" s="36"/>
      <c r="XAP115" s="38"/>
      <c r="XAQ115" s="38"/>
      <c r="XAW115" s="36"/>
      <c r="XAX115" s="38"/>
      <c r="XAY115" s="38"/>
      <c r="XBE115" s="36"/>
      <c r="XBF115" s="38"/>
      <c r="XBG115" s="38"/>
      <c r="XBM115" s="36"/>
      <c r="XBN115" s="38"/>
      <c r="XBO115" s="38"/>
      <c r="XBU115" s="36"/>
      <c r="XBV115" s="38"/>
      <c r="XBW115" s="38"/>
      <c r="XCC115" s="36"/>
      <c r="XCD115" s="38"/>
      <c r="XCE115" s="38"/>
      <c r="XCK115" s="36"/>
      <c r="XCL115" s="38"/>
      <c r="XCM115" s="38"/>
      <c r="XCS115" s="36"/>
      <c r="XCT115" s="38"/>
      <c r="XCU115" s="38"/>
      <c r="XDA115" s="36"/>
      <c r="XDB115" s="38"/>
      <c r="XDC115" s="38"/>
      <c r="XDI115" s="36"/>
      <c r="XDJ115" s="38"/>
      <c r="XDK115" s="38"/>
      <c r="XDQ115" s="36"/>
      <c r="XDR115" s="38"/>
      <c r="XDS115" s="38"/>
      <c r="XDY115" s="36"/>
      <c r="XDZ115" s="38"/>
      <c r="XEA115" s="38"/>
      <c r="XEG115" s="36"/>
      <c r="XEH115" s="38"/>
      <c r="XEI115" s="38"/>
      <c r="XEO115" s="36"/>
      <c r="XEP115" s="38"/>
      <c r="XEQ115" s="38"/>
      <c r="XEW115" s="36"/>
      <c r="XEX115" s="38"/>
      <c r="XEY115" s="38"/>
    </row>
    <row r="116" spans="1:1019 1025:2043 2049:3067 3073:4091 4097:5115 5121:6139 6145:7163 7169:8187 8193:9211 9217:10235 10241:11259 11265:12283 12289:13307 13313:14331 14337:15355 15361:16379" s="24" customFormat="1" ht="15" customHeight="1">
      <c r="A116" s="107"/>
      <c r="B116" s="18" t="s">
        <v>24</v>
      </c>
      <c r="C116" s="38">
        <v>980860.42</v>
      </c>
      <c r="D116" s="24">
        <v>221359.66000000003</v>
      </c>
      <c r="E116" s="24">
        <v>54475.260000000009</v>
      </c>
      <c r="F116" s="24">
        <v>513041</v>
      </c>
      <c r="G116" s="24">
        <v>189865</v>
      </c>
      <c r="H116" s="24">
        <v>2119.5</v>
      </c>
      <c r="I116" s="36"/>
      <c r="J116" s="38"/>
      <c r="K116" s="38"/>
      <c r="Q116" s="36"/>
      <c r="R116" s="38"/>
      <c r="S116" s="38"/>
      <c r="Y116" s="36"/>
      <c r="Z116" s="38"/>
      <c r="AA116" s="38"/>
      <c r="AG116" s="36"/>
      <c r="AH116" s="38"/>
      <c r="AI116" s="38"/>
      <c r="AO116" s="36"/>
      <c r="AP116" s="38"/>
      <c r="AQ116" s="38"/>
      <c r="AW116" s="36"/>
      <c r="AX116" s="38"/>
      <c r="AY116" s="38"/>
      <c r="BE116" s="36"/>
      <c r="BF116" s="38"/>
      <c r="BG116" s="38"/>
      <c r="BM116" s="36"/>
      <c r="BN116" s="38"/>
      <c r="BO116" s="38"/>
      <c r="BU116" s="36"/>
      <c r="BV116" s="38"/>
      <c r="BW116" s="38"/>
      <c r="CC116" s="36"/>
      <c r="CD116" s="38"/>
      <c r="CE116" s="38"/>
      <c r="CK116" s="36"/>
      <c r="CL116" s="38"/>
      <c r="CM116" s="38"/>
      <c r="CS116" s="36"/>
      <c r="CT116" s="38"/>
      <c r="CU116" s="38"/>
      <c r="DA116" s="36"/>
      <c r="DB116" s="38"/>
      <c r="DC116" s="38"/>
      <c r="DI116" s="36"/>
      <c r="DJ116" s="38"/>
      <c r="DK116" s="38"/>
      <c r="DQ116" s="36"/>
      <c r="DR116" s="38"/>
      <c r="DS116" s="38"/>
      <c r="DY116" s="36"/>
      <c r="DZ116" s="38"/>
      <c r="EA116" s="38"/>
      <c r="EG116" s="36"/>
      <c r="EH116" s="38"/>
      <c r="EI116" s="38"/>
      <c r="EO116" s="36"/>
      <c r="EP116" s="38"/>
      <c r="EQ116" s="38"/>
      <c r="EW116" s="36"/>
      <c r="EX116" s="38"/>
      <c r="EY116" s="38"/>
      <c r="FE116" s="36"/>
      <c r="FF116" s="38"/>
      <c r="FG116" s="38"/>
      <c r="FM116" s="36"/>
      <c r="FN116" s="38"/>
      <c r="FO116" s="38"/>
      <c r="FU116" s="36"/>
      <c r="FV116" s="38"/>
      <c r="FW116" s="38"/>
      <c r="GC116" s="36"/>
      <c r="GD116" s="38"/>
      <c r="GE116" s="38"/>
      <c r="GK116" s="36"/>
      <c r="GL116" s="38"/>
      <c r="GM116" s="38"/>
      <c r="GS116" s="36"/>
      <c r="GT116" s="38"/>
      <c r="GU116" s="38"/>
      <c r="HA116" s="36"/>
      <c r="HB116" s="38"/>
      <c r="HC116" s="38"/>
      <c r="HI116" s="36"/>
      <c r="HJ116" s="38"/>
      <c r="HK116" s="38"/>
      <c r="HQ116" s="36"/>
      <c r="HR116" s="38"/>
      <c r="HS116" s="38"/>
      <c r="HY116" s="36"/>
      <c r="HZ116" s="38"/>
      <c r="IA116" s="38"/>
      <c r="IG116" s="36"/>
      <c r="IH116" s="38"/>
      <c r="II116" s="38"/>
      <c r="IO116" s="36"/>
      <c r="IP116" s="38"/>
      <c r="IQ116" s="38"/>
      <c r="IW116" s="36"/>
      <c r="IX116" s="38"/>
      <c r="IY116" s="38"/>
      <c r="JE116" s="36"/>
      <c r="JF116" s="38"/>
      <c r="JG116" s="38"/>
      <c r="JM116" s="36"/>
      <c r="JN116" s="38"/>
      <c r="JO116" s="38"/>
      <c r="JU116" s="36"/>
      <c r="JV116" s="38"/>
      <c r="JW116" s="38"/>
      <c r="KC116" s="36"/>
      <c r="KD116" s="38"/>
      <c r="KE116" s="38"/>
      <c r="KK116" s="36"/>
      <c r="KL116" s="38"/>
      <c r="KM116" s="38"/>
      <c r="KS116" s="36"/>
      <c r="KT116" s="38"/>
      <c r="KU116" s="38"/>
      <c r="LA116" s="36"/>
      <c r="LB116" s="38"/>
      <c r="LC116" s="38"/>
      <c r="LI116" s="36"/>
      <c r="LJ116" s="38"/>
      <c r="LK116" s="38"/>
      <c r="LQ116" s="36"/>
      <c r="LR116" s="38"/>
      <c r="LS116" s="38"/>
      <c r="LY116" s="36"/>
      <c r="LZ116" s="38"/>
      <c r="MA116" s="38"/>
      <c r="MG116" s="36"/>
      <c r="MH116" s="38"/>
      <c r="MI116" s="38"/>
      <c r="MO116" s="36"/>
      <c r="MP116" s="38"/>
      <c r="MQ116" s="38"/>
      <c r="MW116" s="36"/>
      <c r="MX116" s="38"/>
      <c r="MY116" s="38"/>
      <c r="NE116" s="36"/>
      <c r="NF116" s="38"/>
      <c r="NG116" s="38"/>
      <c r="NM116" s="36"/>
      <c r="NN116" s="38"/>
      <c r="NO116" s="38"/>
      <c r="NU116" s="36"/>
      <c r="NV116" s="38"/>
      <c r="NW116" s="38"/>
      <c r="OC116" s="36"/>
      <c r="OD116" s="38"/>
      <c r="OE116" s="38"/>
      <c r="OK116" s="36"/>
      <c r="OL116" s="38"/>
      <c r="OM116" s="38"/>
      <c r="OS116" s="36"/>
      <c r="OT116" s="38"/>
      <c r="OU116" s="38"/>
      <c r="PA116" s="36"/>
      <c r="PB116" s="38"/>
      <c r="PC116" s="38"/>
      <c r="PI116" s="36"/>
      <c r="PJ116" s="38"/>
      <c r="PK116" s="38"/>
      <c r="PQ116" s="36"/>
      <c r="PR116" s="38"/>
      <c r="PS116" s="38"/>
      <c r="PY116" s="36"/>
      <c r="PZ116" s="38"/>
      <c r="QA116" s="38"/>
      <c r="QG116" s="36"/>
      <c r="QH116" s="38"/>
      <c r="QI116" s="38"/>
      <c r="QO116" s="36"/>
      <c r="QP116" s="38"/>
      <c r="QQ116" s="38"/>
      <c r="QW116" s="36"/>
      <c r="QX116" s="38"/>
      <c r="QY116" s="38"/>
      <c r="RE116" s="36"/>
      <c r="RF116" s="38"/>
      <c r="RG116" s="38"/>
      <c r="RM116" s="36"/>
      <c r="RN116" s="38"/>
      <c r="RO116" s="38"/>
      <c r="RU116" s="36"/>
      <c r="RV116" s="38"/>
      <c r="RW116" s="38"/>
      <c r="SC116" s="36"/>
      <c r="SD116" s="38"/>
      <c r="SE116" s="38"/>
      <c r="SK116" s="36"/>
      <c r="SL116" s="38"/>
      <c r="SM116" s="38"/>
      <c r="SS116" s="36"/>
      <c r="ST116" s="38"/>
      <c r="SU116" s="38"/>
      <c r="TA116" s="36"/>
      <c r="TB116" s="38"/>
      <c r="TC116" s="38"/>
      <c r="TI116" s="36"/>
      <c r="TJ116" s="38"/>
      <c r="TK116" s="38"/>
      <c r="TQ116" s="36"/>
      <c r="TR116" s="38"/>
      <c r="TS116" s="38"/>
      <c r="TY116" s="36"/>
      <c r="TZ116" s="38"/>
      <c r="UA116" s="38"/>
      <c r="UG116" s="36"/>
      <c r="UH116" s="38"/>
      <c r="UI116" s="38"/>
      <c r="UO116" s="36"/>
      <c r="UP116" s="38"/>
      <c r="UQ116" s="38"/>
      <c r="UW116" s="36"/>
      <c r="UX116" s="38"/>
      <c r="UY116" s="38"/>
      <c r="VE116" s="36"/>
      <c r="VF116" s="38"/>
      <c r="VG116" s="38"/>
      <c r="VM116" s="36"/>
      <c r="VN116" s="38"/>
      <c r="VO116" s="38"/>
      <c r="VU116" s="36"/>
      <c r="VV116" s="38"/>
      <c r="VW116" s="38"/>
      <c r="WC116" s="36"/>
      <c r="WD116" s="38"/>
      <c r="WE116" s="38"/>
      <c r="WK116" s="36"/>
      <c r="WL116" s="38"/>
      <c r="WM116" s="38"/>
      <c r="WS116" s="36"/>
      <c r="WT116" s="38"/>
      <c r="WU116" s="38"/>
      <c r="XA116" s="36"/>
      <c r="XB116" s="38"/>
      <c r="XC116" s="38"/>
      <c r="XI116" s="36"/>
      <c r="XJ116" s="38"/>
      <c r="XK116" s="38"/>
      <c r="XQ116" s="36"/>
      <c r="XR116" s="38"/>
      <c r="XS116" s="38"/>
      <c r="XY116" s="36"/>
      <c r="XZ116" s="38"/>
      <c r="YA116" s="38"/>
      <c r="YG116" s="36"/>
      <c r="YH116" s="38"/>
      <c r="YI116" s="38"/>
      <c r="YO116" s="36"/>
      <c r="YP116" s="38"/>
      <c r="YQ116" s="38"/>
      <c r="YW116" s="36"/>
      <c r="YX116" s="38"/>
      <c r="YY116" s="38"/>
      <c r="ZE116" s="36"/>
      <c r="ZF116" s="38"/>
      <c r="ZG116" s="38"/>
      <c r="ZM116" s="36"/>
      <c r="ZN116" s="38"/>
      <c r="ZO116" s="38"/>
      <c r="ZU116" s="36"/>
      <c r="ZV116" s="38"/>
      <c r="ZW116" s="38"/>
      <c r="AAC116" s="36"/>
      <c r="AAD116" s="38"/>
      <c r="AAE116" s="38"/>
      <c r="AAK116" s="36"/>
      <c r="AAL116" s="38"/>
      <c r="AAM116" s="38"/>
      <c r="AAS116" s="36"/>
      <c r="AAT116" s="38"/>
      <c r="AAU116" s="38"/>
      <c r="ABA116" s="36"/>
      <c r="ABB116" s="38"/>
      <c r="ABC116" s="38"/>
      <c r="ABI116" s="36"/>
      <c r="ABJ116" s="38"/>
      <c r="ABK116" s="38"/>
      <c r="ABQ116" s="36"/>
      <c r="ABR116" s="38"/>
      <c r="ABS116" s="38"/>
      <c r="ABY116" s="36"/>
      <c r="ABZ116" s="38"/>
      <c r="ACA116" s="38"/>
      <c r="ACG116" s="36"/>
      <c r="ACH116" s="38"/>
      <c r="ACI116" s="38"/>
      <c r="ACO116" s="36"/>
      <c r="ACP116" s="38"/>
      <c r="ACQ116" s="38"/>
      <c r="ACW116" s="36"/>
      <c r="ACX116" s="38"/>
      <c r="ACY116" s="38"/>
      <c r="ADE116" s="36"/>
      <c r="ADF116" s="38"/>
      <c r="ADG116" s="38"/>
      <c r="ADM116" s="36"/>
      <c r="ADN116" s="38"/>
      <c r="ADO116" s="38"/>
      <c r="ADU116" s="36"/>
      <c r="ADV116" s="38"/>
      <c r="ADW116" s="38"/>
      <c r="AEC116" s="36"/>
      <c r="AED116" s="38"/>
      <c r="AEE116" s="38"/>
      <c r="AEK116" s="36"/>
      <c r="AEL116" s="38"/>
      <c r="AEM116" s="38"/>
      <c r="AES116" s="36"/>
      <c r="AET116" s="38"/>
      <c r="AEU116" s="38"/>
      <c r="AFA116" s="36"/>
      <c r="AFB116" s="38"/>
      <c r="AFC116" s="38"/>
      <c r="AFI116" s="36"/>
      <c r="AFJ116" s="38"/>
      <c r="AFK116" s="38"/>
      <c r="AFQ116" s="36"/>
      <c r="AFR116" s="38"/>
      <c r="AFS116" s="38"/>
      <c r="AFY116" s="36"/>
      <c r="AFZ116" s="38"/>
      <c r="AGA116" s="38"/>
      <c r="AGG116" s="36"/>
      <c r="AGH116" s="38"/>
      <c r="AGI116" s="38"/>
      <c r="AGO116" s="36"/>
      <c r="AGP116" s="38"/>
      <c r="AGQ116" s="38"/>
      <c r="AGW116" s="36"/>
      <c r="AGX116" s="38"/>
      <c r="AGY116" s="38"/>
      <c r="AHE116" s="36"/>
      <c r="AHF116" s="38"/>
      <c r="AHG116" s="38"/>
      <c r="AHM116" s="36"/>
      <c r="AHN116" s="38"/>
      <c r="AHO116" s="38"/>
      <c r="AHU116" s="36"/>
      <c r="AHV116" s="38"/>
      <c r="AHW116" s="38"/>
      <c r="AIC116" s="36"/>
      <c r="AID116" s="38"/>
      <c r="AIE116" s="38"/>
      <c r="AIK116" s="36"/>
      <c r="AIL116" s="38"/>
      <c r="AIM116" s="38"/>
      <c r="AIS116" s="36"/>
      <c r="AIT116" s="38"/>
      <c r="AIU116" s="38"/>
      <c r="AJA116" s="36"/>
      <c r="AJB116" s="38"/>
      <c r="AJC116" s="38"/>
      <c r="AJI116" s="36"/>
      <c r="AJJ116" s="38"/>
      <c r="AJK116" s="38"/>
      <c r="AJQ116" s="36"/>
      <c r="AJR116" s="38"/>
      <c r="AJS116" s="38"/>
      <c r="AJY116" s="36"/>
      <c r="AJZ116" s="38"/>
      <c r="AKA116" s="38"/>
      <c r="AKG116" s="36"/>
      <c r="AKH116" s="38"/>
      <c r="AKI116" s="38"/>
      <c r="AKO116" s="36"/>
      <c r="AKP116" s="38"/>
      <c r="AKQ116" s="38"/>
      <c r="AKW116" s="36"/>
      <c r="AKX116" s="38"/>
      <c r="AKY116" s="38"/>
      <c r="ALE116" s="36"/>
      <c r="ALF116" s="38"/>
      <c r="ALG116" s="38"/>
      <c r="ALM116" s="36"/>
      <c r="ALN116" s="38"/>
      <c r="ALO116" s="38"/>
      <c r="ALU116" s="36"/>
      <c r="ALV116" s="38"/>
      <c r="ALW116" s="38"/>
      <c r="AMC116" s="36"/>
      <c r="AMD116" s="38"/>
      <c r="AME116" s="38"/>
      <c r="AMK116" s="36"/>
      <c r="AML116" s="38"/>
      <c r="AMM116" s="38"/>
      <c r="AMS116" s="36"/>
      <c r="AMT116" s="38"/>
      <c r="AMU116" s="38"/>
      <c r="ANA116" s="36"/>
      <c r="ANB116" s="38"/>
      <c r="ANC116" s="38"/>
      <c r="ANI116" s="36"/>
      <c r="ANJ116" s="38"/>
      <c r="ANK116" s="38"/>
      <c r="ANQ116" s="36"/>
      <c r="ANR116" s="38"/>
      <c r="ANS116" s="38"/>
      <c r="ANY116" s="36"/>
      <c r="ANZ116" s="38"/>
      <c r="AOA116" s="38"/>
      <c r="AOG116" s="36"/>
      <c r="AOH116" s="38"/>
      <c r="AOI116" s="38"/>
      <c r="AOO116" s="36"/>
      <c r="AOP116" s="38"/>
      <c r="AOQ116" s="38"/>
      <c r="AOW116" s="36"/>
      <c r="AOX116" s="38"/>
      <c r="AOY116" s="38"/>
      <c r="APE116" s="36"/>
      <c r="APF116" s="38"/>
      <c r="APG116" s="38"/>
      <c r="APM116" s="36"/>
      <c r="APN116" s="38"/>
      <c r="APO116" s="38"/>
      <c r="APU116" s="36"/>
      <c r="APV116" s="38"/>
      <c r="APW116" s="38"/>
      <c r="AQC116" s="36"/>
      <c r="AQD116" s="38"/>
      <c r="AQE116" s="38"/>
      <c r="AQK116" s="36"/>
      <c r="AQL116" s="38"/>
      <c r="AQM116" s="38"/>
      <c r="AQS116" s="36"/>
      <c r="AQT116" s="38"/>
      <c r="AQU116" s="38"/>
      <c r="ARA116" s="36"/>
      <c r="ARB116" s="38"/>
      <c r="ARC116" s="38"/>
      <c r="ARI116" s="36"/>
      <c r="ARJ116" s="38"/>
      <c r="ARK116" s="38"/>
      <c r="ARQ116" s="36"/>
      <c r="ARR116" s="38"/>
      <c r="ARS116" s="38"/>
      <c r="ARY116" s="36"/>
      <c r="ARZ116" s="38"/>
      <c r="ASA116" s="38"/>
      <c r="ASG116" s="36"/>
      <c r="ASH116" s="38"/>
      <c r="ASI116" s="38"/>
      <c r="ASO116" s="36"/>
      <c r="ASP116" s="38"/>
      <c r="ASQ116" s="38"/>
      <c r="ASW116" s="36"/>
      <c r="ASX116" s="38"/>
      <c r="ASY116" s="38"/>
      <c r="ATE116" s="36"/>
      <c r="ATF116" s="38"/>
      <c r="ATG116" s="38"/>
      <c r="ATM116" s="36"/>
      <c r="ATN116" s="38"/>
      <c r="ATO116" s="38"/>
      <c r="ATU116" s="36"/>
      <c r="ATV116" s="38"/>
      <c r="ATW116" s="38"/>
      <c r="AUC116" s="36"/>
      <c r="AUD116" s="38"/>
      <c r="AUE116" s="38"/>
      <c r="AUK116" s="36"/>
      <c r="AUL116" s="38"/>
      <c r="AUM116" s="38"/>
      <c r="AUS116" s="36"/>
      <c r="AUT116" s="38"/>
      <c r="AUU116" s="38"/>
      <c r="AVA116" s="36"/>
      <c r="AVB116" s="38"/>
      <c r="AVC116" s="38"/>
      <c r="AVI116" s="36"/>
      <c r="AVJ116" s="38"/>
      <c r="AVK116" s="38"/>
      <c r="AVQ116" s="36"/>
      <c r="AVR116" s="38"/>
      <c r="AVS116" s="38"/>
      <c r="AVY116" s="36"/>
      <c r="AVZ116" s="38"/>
      <c r="AWA116" s="38"/>
      <c r="AWG116" s="36"/>
      <c r="AWH116" s="38"/>
      <c r="AWI116" s="38"/>
      <c r="AWO116" s="36"/>
      <c r="AWP116" s="38"/>
      <c r="AWQ116" s="38"/>
      <c r="AWW116" s="36"/>
      <c r="AWX116" s="38"/>
      <c r="AWY116" s="38"/>
      <c r="AXE116" s="36"/>
      <c r="AXF116" s="38"/>
      <c r="AXG116" s="38"/>
      <c r="AXM116" s="36"/>
      <c r="AXN116" s="38"/>
      <c r="AXO116" s="38"/>
      <c r="AXU116" s="36"/>
      <c r="AXV116" s="38"/>
      <c r="AXW116" s="38"/>
      <c r="AYC116" s="36"/>
      <c r="AYD116" s="38"/>
      <c r="AYE116" s="38"/>
      <c r="AYK116" s="36"/>
      <c r="AYL116" s="38"/>
      <c r="AYM116" s="38"/>
      <c r="AYS116" s="36"/>
      <c r="AYT116" s="38"/>
      <c r="AYU116" s="38"/>
      <c r="AZA116" s="36"/>
      <c r="AZB116" s="38"/>
      <c r="AZC116" s="38"/>
      <c r="AZI116" s="36"/>
      <c r="AZJ116" s="38"/>
      <c r="AZK116" s="38"/>
      <c r="AZQ116" s="36"/>
      <c r="AZR116" s="38"/>
      <c r="AZS116" s="38"/>
      <c r="AZY116" s="36"/>
      <c r="AZZ116" s="38"/>
      <c r="BAA116" s="38"/>
      <c r="BAG116" s="36"/>
      <c r="BAH116" s="38"/>
      <c r="BAI116" s="38"/>
      <c r="BAO116" s="36"/>
      <c r="BAP116" s="38"/>
      <c r="BAQ116" s="38"/>
      <c r="BAW116" s="36"/>
      <c r="BAX116" s="38"/>
      <c r="BAY116" s="38"/>
      <c r="BBE116" s="36"/>
      <c r="BBF116" s="38"/>
      <c r="BBG116" s="38"/>
      <c r="BBM116" s="36"/>
      <c r="BBN116" s="38"/>
      <c r="BBO116" s="38"/>
      <c r="BBU116" s="36"/>
      <c r="BBV116" s="38"/>
      <c r="BBW116" s="38"/>
      <c r="BCC116" s="36"/>
      <c r="BCD116" s="38"/>
      <c r="BCE116" s="38"/>
      <c r="BCK116" s="36"/>
      <c r="BCL116" s="38"/>
      <c r="BCM116" s="38"/>
      <c r="BCS116" s="36"/>
      <c r="BCT116" s="38"/>
      <c r="BCU116" s="38"/>
      <c r="BDA116" s="36"/>
      <c r="BDB116" s="38"/>
      <c r="BDC116" s="38"/>
      <c r="BDI116" s="36"/>
      <c r="BDJ116" s="38"/>
      <c r="BDK116" s="38"/>
      <c r="BDQ116" s="36"/>
      <c r="BDR116" s="38"/>
      <c r="BDS116" s="38"/>
      <c r="BDY116" s="36"/>
      <c r="BDZ116" s="38"/>
      <c r="BEA116" s="38"/>
      <c r="BEG116" s="36"/>
      <c r="BEH116" s="38"/>
      <c r="BEI116" s="38"/>
      <c r="BEO116" s="36"/>
      <c r="BEP116" s="38"/>
      <c r="BEQ116" s="38"/>
      <c r="BEW116" s="36"/>
      <c r="BEX116" s="38"/>
      <c r="BEY116" s="38"/>
      <c r="BFE116" s="36"/>
      <c r="BFF116" s="38"/>
      <c r="BFG116" s="38"/>
      <c r="BFM116" s="36"/>
      <c r="BFN116" s="38"/>
      <c r="BFO116" s="38"/>
      <c r="BFU116" s="36"/>
      <c r="BFV116" s="38"/>
      <c r="BFW116" s="38"/>
      <c r="BGC116" s="36"/>
      <c r="BGD116" s="38"/>
      <c r="BGE116" s="38"/>
      <c r="BGK116" s="36"/>
      <c r="BGL116" s="38"/>
      <c r="BGM116" s="38"/>
      <c r="BGS116" s="36"/>
      <c r="BGT116" s="38"/>
      <c r="BGU116" s="38"/>
      <c r="BHA116" s="36"/>
      <c r="BHB116" s="38"/>
      <c r="BHC116" s="38"/>
      <c r="BHI116" s="36"/>
      <c r="BHJ116" s="38"/>
      <c r="BHK116" s="38"/>
      <c r="BHQ116" s="36"/>
      <c r="BHR116" s="38"/>
      <c r="BHS116" s="38"/>
      <c r="BHY116" s="36"/>
      <c r="BHZ116" s="38"/>
      <c r="BIA116" s="38"/>
      <c r="BIG116" s="36"/>
      <c r="BIH116" s="38"/>
      <c r="BII116" s="38"/>
      <c r="BIO116" s="36"/>
      <c r="BIP116" s="38"/>
      <c r="BIQ116" s="38"/>
      <c r="BIW116" s="36"/>
      <c r="BIX116" s="38"/>
      <c r="BIY116" s="38"/>
      <c r="BJE116" s="36"/>
      <c r="BJF116" s="38"/>
      <c r="BJG116" s="38"/>
      <c r="BJM116" s="36"/>
      <c r="BJN116" s="38"/>
      <c r="BJO116" s="38"/>
      <c r="BJU116" s="36"/>
      <c r="BJV116" s="38"/>
      <c r="BJW116" s="38"/>
      <c r="BKC116" s="36"/>
      <c r="BKD116" s="38"/>
      <c r="BKE116" s="38"/>
      <c r="BKK116" s="36"/>
      <c r="BKL116" s="38"/>
      <c r="BKM116" s="38"/>
      <c r="BKS116" s="36"/>
      <c r="BKT116" s="38"/>
      <c r="BKU116" s="38"/>
      <c r="BLA116" s="36"/>
      <c r="BLB116" s="38"/>
      <c r="BLC116" s="38"/>
      <c r="BLI116" s="36"/>
      <c r="BLJ116" s="38"/>
      <c r="BLK116" s="38"/>
      <c r="BLQ116" s="36"/>
      <c r="BLR116" s="38"/>
      <c r="BLS116" s="38"/>
      <c r="BLY116" s="36"/>
      <c r="BLZ116" s="38"/>
      <c r="BMA116" s="38"/>
      <c r="BMG116" s="36"/>
      <c r="BMH116" s="38"/>
      <c r="BMI116" s="38"/>
      <c r="BMO116" s="36"/>
      <c r="BMP116" s="38"/>
      <c r="BMQ116" s="38"/>
      <c r="BMW116" s="36"/>
      <c r="BMX116" s="38"/>
      <c r="BMY116" s="38"/>
      <c r="BNE116" s="36"/>
      <c r="BNF116" s="38"/>
      <c r="BNG116" s="38"/>
      <c r="BNM116" s="36"/>
      <c r="BNN116" s="38"/>
      <c r="BNO116" s="38"/>
      <c r="BNU116" s="36"/>
      <c r="BNV116" s="38"/>
      <c r="BNW116" s="38"/>
      <c r="BOC116" s="36"/>
      <c r="BOD116" s="38"/>
      <c r="BOE116" s="38"/>
      <c r="BOK116" s="36"/>
      <c r="BOL116" s="38"/>
      <c r="BOM116" s="38"/>
      <c r="BOS116" s="36"/>
      <c r="BOT116" s="38"/>
      <c r="BOU116" s="38"/>
      <c r="BPA116" s="36"/>
      <c r="BPB116" s="38"/>
      <c r="BPC116" s="38"/>
      <c r="BPI116" s="36"/>
      <c r="BPJ116" s="38"/>
      <c r="BPK116" s="38"/>
      <c r="BPQ116" s="36"/>
      <c r="BPR116" s="38"/>
      <c r="BPS116" s="38"/>
      <c r="BPY116" s="36"/>
      <c r="BPZ116" s="38"/>
      <c r="BQA116" s="38"/>
      <c r="BQG116" s="36"/>
      <c r="BQH116" s="38"/>
      <c r="BQI116" s="38"/>
      <c r="BQO116" s="36"/>
      <c r="BQP116" s="38"/>
      <c r="BQQ116" s="38"/>
      <c r="BQW116" s="36"/>
      <c r="BQX116" s="38"/>
      <c r="BQY116" s="38"/>
      <c r="BRE116" s="36"/>
      <c r="BRF116" s="38"/>
      <c r="BRG116" s="38"/>
      <c r="BRM116" s="36"/>
      <c r="BRN116" s="38"/>
      <c r="BRO116" s="38"/>
      <c r="BRU116" s="36"/>
      <c r="BRV116" s="38"/>
      <c r="BRW116" s="38"/>
      <c r="BSC116" s="36"/>
      <c r="BSD116" s="38"/>
      <c r="BSE116" s="38"/>
      <c r="BSK116" s="36"/>
      <c r="BSL116" s="38"/>
      <c r="BSM116" s="38"/>
      <c r="BSS116" s="36"/>
      <c r="BST116" s="38"/>
      <c r="BSU116" s="38"/>
      <c r="BTA116" s="36"/>
      <c r="BTB116" s="38"/>
      <c r="BTC116" s="38"/>
      <c r="BTI116" s="36"/>
      <c r="BTJ116" s="38"/>
      <c r="BTK116" s="38"/>
      <c r="BTQ116" s="36"/>
      <c r="BTR116" s="38"/>
      <c r="BTS116" s="38"/>
      <c r="BTY116" s="36"/>
      <c r="BTZ116" s="38"/>
      <c r="BUA116" s="38"/>
      <c r="BUG116" s="36"/>
      <c r="BUH116" s="38"/>
      <c r="BUI116" s="38"/>
      <c r="BUO116" s="36"/>
      <c r="BUP116" s="38"/>
      <c r="BUQ116" s="38"/>
      <c r="BUW116" s="36"/>
      <c r="BUX116" s="38"/>
      <c r="BUY116" s="38"/>
      <c r="BVE116" s="36"/>
      <c r="BVF116" s="38"/>
      <c r="BVG116" s="38"/>
      <c r="BVM116" s="36"/>
      <c r="BVN116" s="38"/>
      <c r="BVO116" s="38"/>
      <c r="BVU116" s="36"/>
      <c r="BVV116" s="38"/>
      <c r="BVW116" s="38"/>
      <c r="BWC116" s="36"/>
      <c r="BWD116" s="38"/>
      <c r="BWE116" s="38"/>
      <c r="BWK116" s="36"/>
      <c r="BWL116" s="38"/>
      <c r="BWM116" s="38"/>
      <c r="BWS116" s="36"/>
      <c r="BWT116" s="38"/>
      <c r="BWU116" s="38"/>
      <c r="BXA116" s="36"/>
      <c r="BXB116" s="38"/>
      <c r="BXC116" s="38"/>
      <c r="BXI116" s="36"/>
      <c r="BXJ116" s="38"/>
      <c r="BXK116" s="38"/>
      <c r="BXQ116" s="36"/>
      <c r="BXR116" s="38"/>
      <c r="BXS116" s="38"/>
      <c r="BXY116" s="36"/>
      <c r="BXZ116" s="38"/>
      <c r="BYA116" s="38"/>
      <c r="BYG116" s="36"/>
      <c r="BYH116" s="38"/>
      <c r="BYI116" s="38"/>
      <c r="BYO116" s="36"/>
      <c r="BYP116" s="38"/>
      <c r="BYQ116" s="38"/>
      <c r="BYW116" s="36"/>
      <c r="BYX116" s="38"/>
      <c r="BYY116" s="38"/>
      <c r="BZE116" s="36"/>
      <c r="BZF116" s="38"/>
      <c r="BZG116" s="38"/>
      <c r="BZM116" s="36"/>
      <c r="BZN116" s="38"/>
      <c r="BZO116" s="38"/>
      <c r="BZU116" s="36"/>
      <c r="BZV116" s="38"/>
      <c r="BZW116" s="38"/>
      <c r="CAC116" s="36"/>
      <c r="CAD116" s="38"/>
      <c r="CAE116" s="38"/>
      <c r="CAK116" s="36"/>
      <c r="CAL116" s="38"/>
      <c r="CAM116" s="38"/>
      <c r="CAS116" s="36"/>
      <c r="CAT116" s="38"/>
      <c r="CAU116" s="38"/>
      <c r="CBA116" s="36"/>
      <c r="CBB116" s="38"/>
      <c r="CBC116" s="38"/>
      <c r="CBI116" s="36"/>
      <c r="CBJ116" s="38"/>
      <c r="CBK116" s="38"/>
      <c r="CBQ116" s="36"/>
      <c r="CBR116" s="38"/>
      <c r="CBS116" s="38"/>
      <c r="CBY116" s="36"/>
      <c r="CBZ116" s="38"/>
      <c r="CCA116" s="38"/>
      <c r="CCG116" s="36"/>
      <c r="CCH116" s="38"/>
      <c r="CCI116" s="38"/>
      <c r="CCO116" s="36"/>
      <c r="CCP116" s="38"/>
      <c r="CCQ116" s="38"/>
      <c r="CCW116" s="36"/>
      <c r="CCX116" s="38"/>
      <c r="CCY116" s="38"/>
      <c r="CDE116" s="36"/>
      <c r="CDF116" s="38"/>
      <c r="CDG116" s="38"/>
      <c r="CDM116" s="36"/>
      <c r="CDN116" s="38"/>
      <c r="CDO116" s="38"/>
      <c r="CDU116" s="36"/>
      <c r="CDV116" s="38"/>
      <c r="CDW116" s="38"/>
      <c r="CEC116" s="36"/>
      <c r="CED116" s="38"/>
      <c r="CEE116" s="38"/>
      <c r="CEK116" s="36"/>
      <c r="CEL116" s="38"/>
      <c r="CEM116" s="38"/>
      <c r="CES116" s="36"/>
      <c r="CET116" s="38"/>
      <c r="CEU116" s="38"/>
      <c r="CFA116" s="36"/>
      <c r="CFB116" s="38"/>
      <c r="CFC116" s="38"/>
      <c r="CFI116" s="36"/>
      <c r="CFJ116" s="38"/>
      <c r="CFK116" s="38"/>
      <c r="CFQ116" s="36"/>
      <c r="CFR116" s="38"/>
      <c r="CFS116" s="38"/>
      <c r="CFY116" s="36"/>
      <c r="CFZ116" s="38"/>
      <c r="CGA116" s="38"/>
      <c r="CGG116" s="36"/>
      <c r="CGH116" s="38"/>
      <c r="CGI116" s="38"/>
      <c r="CGO116" s="36"/>
      <c r="CGP116" s="38"/>
      <c r="CGQ116" s="38"/>
      <c r="CGW116" s="36"/>
      <c r="CGX116" s="38"/>
      <c r="CGY116" s="38"/>
      <c r="CHE116" s="36"/>
      <c r="CHF116" s="38"/>
      <c r="CHG116" s="38"/>
      <c r="CHM116" s="36"/>
      <c r="CHN116" s="38"/>
      <c r="CHO116" s="38"/>
      <c r="CHU116" s="36"/>
      <c r="CHV116" s="38"/>
      <c r="CHW116" s="38"/>
      <c r="CIC116" s="36"/>
      <c r="CID116" s="38"/>
      <c r="CIE116" s="38"/>
      <c r="CIK116" s="36"/>
      <c r="CIL116" s="38"/>
      <c r="CIM116" s="38"/>
      <c r="CIS116" s="36"/>
      <c r="CIT116" s="38"/>
      <c r="CIU116" s="38"/>
      <c r="CJA116" s="36"/>
      <c r="CJB116" s="38"/>
      <c r="CJC116" s="38"/>
      <c r="CJI116" s="36"/>
      <c r="CJJ116" s="38"/>
      <c r="CJK116" s="38"/>
      <c r="CJQ116" s="36"/>
      <c r="CJR116" s="38"/>
      <c r="CJS116" s="38"/>
      <c r="CJY116" s="36"/>
      <c r="CJZ116" s="38"/>
      <c r="CKA116" s="38"/>
      <c r="CKG116" s="36"/>
      <c r="CKH116" s="38"/>
      <c r="CKI116" s="38"/>
      <c r="CKO116" s="36"/>
      <c r="CKP116" s="38"/>
      <c r="CKQ116" s="38"/>
      <c r="CKW116" s="36"/>
      <c r="CKX116" s="38"/>
      <c r="CKY116" s="38"/>
      <c r="CLE116" s="36"/>
      <c r="CLF116" s="38"/>
      <c r="CLG116" s="38"/>
      <c r="CLM116" s="36"/>
      <c r="CLN116" s="38"/>
      <c r="CLO116" s="38"/>
      <c r="CLU116" s="36"/>
      <c r="CLV116" s="38"/>
      <c r="CLW116" s="38"/>
      <c r="CMC116" s="36"/>
      <c r="CMD116" s="38"/>
      <c r="CME116" s="38"/>
      <c r="CMK116" s="36"/>
      <c r="CML116" s="38"/>
      <c r="CMM116" s="38"/>
      <c r="CMS116" s="36"/>
      <c r="CMT116" s="38"/>
      <c r="CMU116" s="38"/>
      <c r="CNA116" s="36"/>
      <c r="CNB116" s="38"/>
      <c r="CNC116" s="38"/>
      <c r="CNI116" s="36"/>
      <c r="CNJ116" s="38"/>
      <c r="CNK116" s="38"/>
      <c r="CNQ116" s="36"/>
      <c r="CNR116" s="38"/>
      <c r="CNS116" s="38"/>
      <c r="CNY116" s="36"/>
      <c r="CNZ116" s="38"/>
      <c r="COA116" s="38"/>
      <c r="COG116" s="36"/>
      <c r="COH116" s="38"/>
      <c r="COI116" s="38"/>
      <c r="COO116" s="36"/>
      <c r="COP116" s="38"/>
      <c r="COQ116" s="38"/>
      <c r="COW116" s="36"/>
      <c r="COX116" s="38"/>
      <c r="COY116" s="38"/>
      <c r="CPE116" s="36"/>
      <c r="CPF116" s="38"/>
      <c r="CPG116" s="38"/>
      <c r="CPM116" s="36"/>
      <c r="CPN116" s="38"/>
      <c r="CPO116" s="38"/>
      <c r="CPU116" s="36"/>
      <c r="CPV116" s="38"/>
      <c r="CPW116" s="38"/>
      <c r="CQC116" s="36"/>
      <c r="CQD116" s="38"/>
      <c r="CQE116" s="38"/>
      <c r="CQK116" s="36"/>
      <c r="CQL116" s="38"/>
      <c r="CQM116" s="38"/>
      <c r="CQS116" s="36"/>
      <c r="CQT116" s="38"/>
      <c r="CQU116" s="38"/>
      <c r="CRA116" s="36"/>
      <c r="CRB116" s="38"/>
      <c r="CRC116" s="38"/>
      <c r="CRI116" s="36"/>
      <c r="CRJ116" s="38"/>
      <c r="CRK116" s="38"/>
      <c r="CRQ116" s="36"/>
      <c r="CRR116" s="38"/>
      <c r="CRS116" s="38"/>
      <c r="CRY116" s="36"/>
      <c r="CRZ116" s="38"/>
      <c r="CSA116" s="38"/>
      <c r="CSG116" s="36"/>
      <c r="CSH116" s="38"/>
      <c r="CSI116" s="38"/>
      <c r="CSO116" s="36"/>
      <c r="CSP116" s="38"/>
      <c r="CSQ116" s="38"/>
      <c r="CSW116" s="36"/>
      <c r="CSX116" s="38"/>
      <c r="CSY116" s="38"/>
      <c r="CTE116" s="36"/>
      <c r="CTF116" s="38"/>
      <c r="CTG116" s="38"/>
      <c r="CTM116" s="36"/>
      <c r="CTN116" s="38"/>
      <c r="CTO116" s="38"/>
      <c r="CTU116" s="36"/>
      <c r="CTV116" s="38"/>
      <c r="CTW116" s="38"/>
      <c r="CUC116" s="36"/>
      <c r="CUD116" s="38"/>
      <c r="CUE116" s="38"/>
      <c r="CUK116" s="36"/>
      <c r="CUL116" s="38"/>
      <c r="CUM116" s="38"/>
      <c r="CUS116" s="36"/>
      <c r="CUT116" s="38"/>
      <c r="CUU116" s="38"/>
      <c r="CVA116" s="36"/>
      <c r="CVB116" s="38"/>
      <c r="CVC116" s="38"/>
      <c r="CVI116" s="36"/>
      <c r="CVJ116" s="38"/>
      <c r="CVK116" s="38"/>
      <c r="CVQ116" s="36"/>
      <c r="CVR116" s="38"/>
      <c r="CVS116" s="38"/>
      <c r="CVY116" s="36"/>
      <c r="CVZ116" s="38"/>
      <c r="CWA116" s="38"/>
      <c r="CWG116" s="36"/>
      <c r="CWH116" s="38"/>
      <c r="CWI116" s="38"/>
      <c r="CWO116" s="36"/>
      <c r="CWP116" s="38"/>
      <c r="CWQ116" s="38"/>
      <c r="CWW116" s="36"/>
      <c r="CWX116" s="38"/>
      <c r="CWY116" s="38"/>
      <c r="CXE116" s="36"/>
      <c r="CXF116" s="38"/>
      <c r="CXG116" s="38"/>
      <c r="CXM116" s="36"/>
      <c r="CXN116" s="38"/>
      <c r="CXO116" s="38"/>
      <c r="CXU116" s="36"/>
      <c r="CXV116" s="38"/>
      <c r="CXW116" s="38"/>
      <c r="CYC116" s="36"/>
      <c r="CYD116" s="38"/>
      <c r="CYE116" s="38"/>
      <c r="CYK116" s="36"/>
      <c r="CYL116" s="38"/>
      <c r="CYM116" s="38"/>
      <c r="CYS116" s="36"/>
      <c r="CYT116" s="38"/>
      <c r="CYU116" s="38"/>
      <c r="CZA116" s="36"/>
      <c r="CZB116" s="38"/>
      <c r="CZC116" s="38"/>
      <c r="CZI116" s="36"/>
      <c r="CZJ116" s="38"/>
      <c r="CZK116" s="38"/>
      <c r="CZQ116" s="36"/>
      <c r="CZR116" s="38"/>
      <c r="CZS116" s="38"/>
      <c r="CZY116" s="36"/>
      <c r="CZZ116" s="38"/>
      <c r="DAA116" s="38"/>
      <c r="DAG116" s="36"/>
      <c r="DAH116" s="38"/>
      <c r="DAI116" s="38"/>
      <c r="DAO116" s="36"/>
      <c r="DAP116" s="38"/>
      <c r="DAQ116" s="38"/>
      <c r="DAW116" s="36"/>
      <c r="DAX116" s="38"/>
      <c r="DAY116" s="38"/>
      <c r="DBE116" s="36"/>
      <c r="DBF116" s="38"/>
      <c r="DBG116" s="38"/>
      <c r="DBM116" s="36"/>
      <c r="DBN116" s="38"/>
      <c r="DBO116" s="38"/>
      <c r="DBU116" s="36"/>
      <c r="DBV116" s="38"/>
      <c r="DBW116" s="38"/>
      <c r="DCC116" s="36"/>
      <c r="DCD116" s="38"/>
      <c r="DCE116" s="38"/>
      <c r="DCK116" s="36"/>
      <c r="DCL116" s="38"/>
      <c r="DCM116" s="38"/>
      <c r="DCS116" s="36"/>
      <c r="DCT116" s="38"/>
      <c r="DCU116" s="38"/>
      <c r="DDA116" s="36"/>
      <c r="DDB116" s="38"/>
      <c r="DDC116" s="38"/>
      <c r="DDI116" s="36"/>
      <c r="DDJ116" s="38"/>
      <c r="DDK116" s="38"/>
      <c r="DDQ116" s="36"/>
      <c r="DDR116" s="38"/>
      <c r="DDS116" s="38"/>
      <c r="DDY116" s="36"/>
      <c r="DDZ116" s="38"/>
      <c r="DEA116" s="38"/>
      <c r="DEG116" s="36"/>
      <c r="DEH116" s="38"/>
      <c r="DEI116" s="38"/>
      <c r="DEO116" s="36"/>
      <c r="DEP116" s="38"/>
      <c r="DEQ116" s="38"/>
      <c r="DEW116" s="36"/>
      <c r="DEX116" s="38"/>
      <c r="DEY116" s="38"/>
      <c r="DFE116" s="36"/>
      <c r="DFF116" s="38"/>
      <c r="DFG116" s="38"/>
      <c r="DFM116" s="36"/>
      <c r="DFN116" s="38"/>
      <c r="DFO116" s="38"/>
      <c r="DFU116" s="36"/>
      <c r="DFV116" s="38"/>
      <c r="DFW116" s="38"/>
      <c r="DGC116" s="36"/>
      <c r="DGD116" s="38"/>
      <c r="DGE116" s="38"/>
      <c r="DGK116" s="36"/>
      <c r="DGL116" s="38"/>
      <c r="DGM116" s="38"/>
      <c r="DGS116" s="36"/>
      <c r="DGT116" s="38"/>
      <c r="DGU116" s="38"/>
      <c r="DHA116" s="36"/>
      <c r="DHB116" s="38"/>
      <c r="DHC116" s="38"/>
      <c r="DHI116" s="36"/>
      <c r="DHJ116" s="38"/>
      <c r="DHK116" s="38"/>
      <c r="DHQ116" s="36"/>
      <c r="DHR116" s="38"/>
      <c r="DHS116" s="38"/>
      <c r="DHY116" s="36"/>
      <c r="DHZ116" s="38"/>
      <c r="DIA116" s="38"/>
      <c r="DIG116" s="36"/>
      <c r="DIH116" s="38"/>
      <c r="DII116" s="38"/>
      <c r="DIO116" s="36"/>
      <c r="DIP116" s="38"/>
      <c r="DIQ116" s="38"/>
      <c r="DIW116" s="36"/>
      <c r="DIX116" s="38"/>
      <c r="DIY116" s="38"/>
      <c r="DJE116" s="36"/>
      <c r="DJF116" s="38"/>
      <c r="DJG116" s="38"/>
      <c r="DJM116" s="36"/>
      <c r="DJN116" s="38"/>
      <c r="DJO116" s="38"/>
      <c r="DJU116" s="36"/>
      <c r="DJV116" s="38"/>
      <c r="DJW116" s="38"/>
      <c r="DKC116" s="36"/>
      <c r="DKD116" s="38"/>
      <c r="DKE116" s="38"/>
      <c r="DKK116" s="36"/>
      <c r="DKL116" s="38"/>
      <c r="DKM116" s="38"/>
      <c r="DKS116" s="36"/>
      <c r="DKT116" s="38"/>
      <c r="DKU116" s="38"/>
      <c r="DLA116" s="36"/>
      <c r="DLB116" s="38"/>
      <c r="DLC116" s="38"/>
      <c r="DLI116" s="36"/>
      <c r="DLJ116" s="38"/>
      <c r="DLK116" s="38"/>
      <c r="DLQ116" s="36"/>
      <c r="DLR116" s="38"/>
      <c r="DLS116" s="38"/>
      <c r="DLY116" s="36"/>
      <c r="DLZ116" s="38"/>
      <c r="DMA116" s="38"/>
      <c r="DMG116" s="36"/>
      <c r="DMH116" s="38"/>
      <c r="DMI116" s="38"/>
      <c r="DMO116" s="36"/>
      <c r="DMP116" s="38"/>
      <c r="DMQ116" s="38"/>
      <c r="DMW116" s="36"/>
      <c r="DMX116" s="38"/>
      <c r="DMY116" s="38"/>
      <c r="DNE116" s="36"/>
      <c r="DNF116" s="38"/>
      <c r="DNG116" s="38"/>
      <c r="DNM116" s="36"/>
      <c r="DNN116" s="38"/>
      <c r="DNO116" s="38"/>
      <c r="DNU116" s="36"/>
      <c r="DNV116" s="38"/>
      <c r="DNW116" s="38"/>
      <c r="DOC116" s="36"/>
      <c r="DOD116" s="38"/>
      <c r="DOE116" s="38"/>
      <c r="DOK116" s="36"/>
      <c r="DOL116" s="38"/>
      <c r="DOM116" s="38"/>
      <c r="DOS116" s="36"/>
      <c r="DOT116" s="38"/>
      <c r="DOU116" s="38"/>
      <c r="DPA116" s="36"/>
      <c r="DPB116" s="38"/>
      <c r="DPC116" s="38"/>
      <c r="DPI116" s="36"/>
      <c r="DPJ116" s="38"/>
      <c r="DPK116" s="38"/>
      <c r="DPQ116" s="36"/>
      <c r="DPR116" s="38"/>
      <c r="DPS116" s="38"/>
      <c r="DPY116" s="36"/>
      <c r="DPZ116" s="38"/>
      <c r="DQA116" s="38"/>
      <c r="DQG116" s="36"/>
      <c r="DQH116" s="38"/>
      <c r="DQI116" s="38"/>
      <c r="DQO116" s="36"/>
      <c r="DQP116" s="38"/>
      <c r="DQQ116" s="38"/>
      <c r="DQW116" s="36"/>
      <c r="DQX116" s="38"/>
      <c r="DQY116" s="38"/>
      <c r="DRE116" s="36"/>
      <c r="DRF116" s="38"/>
      <c r="DRG116" s="38"/>
      <c r="DRM116" s="36"/>
      <c r="DRN116" s="38"/>
      <c r="DRO116" s="38"/>
      <c r="DRU116" s="36"/>
      <c r="DRV116" s="38"/>
      <c r="DRW116" s="38"/>
      <c r="DSC116" s="36"/>
      <c r="DSD116" s="38"/>
      <c r="DSE116" s="38"/>
      <c r="DSK116" s="36"/>
      <c r="DSL116" s="38"/>
      <c r="DSM116" s="38"/>
      <c r="DSS116" s="36"/>
      <c r="DST116" s="38"/>
      <c r="DSU116" s="38"/>
      <c r="DTA116" s="36"/>
      <c r="DTB116" s="38"/>
      <c r="DTC116" s="38"/>
      <c r="DTI116" s="36"/>
      <c r="DTJ116" s="38"/>
      <c r="DTK116" s="38"/>
      <c r="DTQ116" s="36"/>
      <c r="DTR116" s="38"/>
      <c r="DTS116" s="38"/>
      <c r="DTY116" s="36"/>
      <c r="DTZ116" s="38"/>
      <c r="DUA116" s="38"/>
      <c r="DUG116" s="36"/>
      <c r="DUH116" s="38"/>
      <c r="DUI116" s="38"/>
      <c r="DUO116" s="36"/>
      <c r="DUP116" s="38"/>
      <c r="DUQ116" s="38"/>
      <c r="DUW116" s="36"/>
      <c r="DUX116" s="38"/>
      <c r="DUY116" s="38"/>
      <c r="DVE116" s="36"/>
      <c r="DVF116" s="38"/>
      <c r="DVG116" s="38"/>
      <c r="DVM116" s="36"/>
      <c r="DVN116" s="38"/>
      <c r="DVO116" s="38"/>
      <c r="DVU116" s="36"/>
      <c r="DVV116" s="38"/>
      <c r="DVW116" s="38"/>
      <c r="DWC116" s="36"/>
      <c r="DWD116" s="38"/>
      <c r="DWE116" s="38"/>
      <c r="DWK116" s="36"/>
      <c r="DWL116" s="38"/>
      <c r="DWM116" s="38"/>
      <c r="DWS116" s="36"/>
      <c r="DWT116" s="38"/>
      <c r="DWU116" s="38"/>
      <c r="DXA116" s="36"/>
      <c r="DXB116" s="38"/>
      <c r="DXC116" s="38"/>
      <c r="DXI116" s="36"/>
      <c r="DXJ116" s="38"/>
      <c r="DXK116" s="38"/>
      <c r="DXQ116" s="36"/>
      <c r="DXR116" s="38"/>
      <c r="DXS116" s="38"/>
      <c r="DXY116" s="36"/>
      <c r="DXZ116" s="38"/>
      <c r="DYA116" s="38"/>
      <c r="DYG116" s="36"/>
      <c r="DYH116" s="38"/>
      <c r="DYI116" s="38"/>
      <c r="DYO116" s="36"/>
      <c r="DYP116" s="38"/>
      <c r="DYQ116" s="38"/>
      <c r="DYW116" s="36"/>
      <c r="DYX116" s="38"/>
      <c r="DYY116" s="38"/>
      <c r="DZE116" s="36"/>
      <c r="DZF116" s="38"/>
      <c r="DZG116" s="38"/>
      <c r="DZM116" s="36"/>
      <c r="DZN116" s="38"/>
      <c r="DZO116" s="38"/>
      <c r="DZU116" s="36"/>
      <c r="DZV116" s="38"/>
      <c r="DZW116" s="38"/>
      <c r="EAC116" s="36"/>
      <c r="EAD116" s="38"/>
      <c r="EAE116" s="38"/>
      <c r="EAK116" s="36"/>
      <c r="EAL116" s="38"/>
      <c r="EAM116" s="38"/>
      <c r="EAS116" s="36"/>
      <c r="EAT116" s="38"/>
      <c r="EAU116" s="38"/>
      <c r="EBA116" s="36"/>
      <c r="EBB116" s="38"/>
      <c r="EBC116" s="38"/>
      <c r="EBI116" s="36"/>
      <c r="EBJ116" s="38"/>
      <c r="EBK116" s="38"/>
      <c r="EBQ116" s="36"/>
      <c r="EBR116" s="38"/>
      <c r="EBS116" s="38"/>
      <c r="EBY116" s="36"/>
      <c r="EBZ116" s="38"/>
      <c r="ECA116" s="38"/>
      <c r="ECG116" s="36"/>
      <c r="ECH116" s="38"/>
      <c r="ECI116" s="38"/>
      <c r="ECO116" s="36"/>
      <c r="ECP116" s="38"/>
      <c r="ECQ116" s="38"/>
      <c r="ECW116" s="36"/>
      <c r="ECX116" s="38"/>
      <c r="ECY116" s="38"/>
      <c r="EDE116" s="36"/>
      <c r="EDF116" s="38"/>
      <c r="EDG116" s="38"/>
      <c r="EDM116" s="36"/>
      <c r="EDN116" s="38"/>
      <c r="EDO116" s="38"/>
      <c r="EDU116" s="36"/>
      <c r="EDV116" s="38"/>
      <c r="EDW116" s="38"/>
      <c r="EEC116" s="36"/>
      <c r="EED116" s="38"/>
      <c r="EEE116" s="38"/>
      <c r="EEK116" s="36"/>
      <c r="EEL116" s="38"/>
      <c r="EEM116" s="38"/>
      <c r="EES116" s="36"/>
      <c r="EET116" s="38"/>
      <c r="EEU116" s="38"/>
      <c r="EFA116" s="36"/>
      <c r="EFB116" s="38"/>
      <c r="EFC116" s="38"/>
      <c r="EFI116" s="36"/>
      <c r="EFJ116" s="38"/>
      <c r="EFK116" s="38"/>
      <c r="EFQ116" s="36"/>
      <c r="EFR116" s="38"/>
      <c r="EFS116" s="38"/>
      <c r="EFY116" s="36"/>
      <c r="EFZ116" s="38"/>
      <c r="EGA116" s="38"/>
      <c r="EGG116" s="36"/>
      <c r="EGH116" s="38"/>
      <c r="EGI116" s="38"/>
      <c r="EGO116" s="36"/>
      <c r="EGP116" s="38"/>
      <c r="EGQ116" s="38"/>
      <c r="EGW116" s="36"/>
      <c r="EGX116" s="38"/>
      <c r="EGY116" s="38"/>
      <c r="EHE116" s="36"/>
      <c r="EHF116" s="38"/>
      <c r="EHG116" s="38"/>
      <c r="EHM116" s="36"/>
      <c r="EHN116" s="38"/>
      <c r="EHO116" s="38"/>
      <c r="EHU116" s="36"/>
      <c r="EHV116" s="38"/>
      <c r="EHW116" s="38"/>
      <c r="EIC116" s="36"/>
      <c r="EID116" s="38"/>
      <c r="EIE116" s="38"/>
      <c r="EIK116" s="36"/>
      <c r="EIL116" s="38"/>
      <c r="EIM116" s="38"/>
      <c r="EIS116" s="36"/>
      <c r="EIT116" s="38"/>
      <c r="EIU116" s="38"/>
      <c r="EJA116" s="36"/>
      <c r="EJB116" s="38"/>
      <c r="EJC116" s="38"/>
      <c r="EJI116" s="36"/>
      <c r="EJJ116" s="38"/>
      <c r="EJK116" s="38"/>
      <c r="EJQ116" s="36"/>
      <c r="EJR116" s="38"/>
      <c r="EJS116" s="38"/>
      <c r="EJY116" s="36"/>
      <c r="EJZ116" s="38"/>
      <c r="EKA116" s="38"/>
      <c r="EKG116" s="36"/>
      <c r="EKH116" s="38"/>
      <c r="EKI116" s="38"/>
      <c r="EKO116" s="36"/>
      <c r="EKP116" s="38"/>
      <c r="EKQ116" s="38"/>
      <c r="EKW116" s="36"/>
      <c r="EKX116" s="38"/>
      <c r="EKY116" s="38"/>
      <c r="ELE116" s="36"/>
      <c r="ELF116" s="38"/>
      <c r="ELG116" s="38"/>
      <c r="ELM116" s="36"/>
      <c r="ELN116" s="38"/>
      <c r="ELO116" s="38"/>
      <c r="ELU116" s="36"/>
      <c r="ELV116" s="38"/>
      <c r="ELW116" s="38"/>
      <c r="EMC116" s="36"/>
      <c r="EMD116" s="38"/>
      <c r="EME116" s="38"/>
      <c r="EMK116" s="36"/>
      <c r="EML116" s="38"/>
      <c r="EMM116" s="38"/>
      <c r="EMS116" s="36"/>
      <c r="EMT116" s="38"/>
      <c r="EMU116" s="38"/>
      <c r="ENA116" s="36"/>
      <c r="ENB116" s="38"/>
      <c r="ENC116" s="38"/>
      <c r="ENI116" s="36"/>
      <c r="ENJ116" s="38"/>
      <c r="ENK116" s="38"/>
      <c r="ENQ116" s="36"/>
      <c r="ENR116" s="38"/>
      <c r="ENS116" s="38"/>
      <c r="ENY116" s="36"/>
      <c r="ENZ116" s="38"/>
      <c r="EOA116" s="38"/>
      <c r="EOG116" s="36"/>
      <c r="EOH116" s="38"/>
      <c r="EOI116" s="38"/>
      <c r="EOO116" s="36"/>
      <c r="EOP116" s="38"/>
      <c r="EOQ116" s="38"/>
      <c r="EOW116" s="36"/>
      <c r="EOX116" s="38"/>
      <c r="EOY116" s="38"/>
      <c r="EPE116" s="36"/>
      <c r="EPF116" s="38"/>
      <c r="EPG116" s="38"/>
      <c r="EPM116" s="36"/>
      <c r="EPN116" s="38"/>
      <c r="EPO116" s="38"/>
      <c r="EPU116" s="36"/>
      <c r="EPV116" s="38"/>
      <c r="EPW116" s="38"/>
      <c r="EQC116" s="36"/>
      <c r="EQD116" s="38"/>
      <c r="EQE116" s="38"/>
      <c r="EQK116" s="36"/>
      <c r="EQL116" s="38"/>
      <c r="EQM116" s="38"/>
      <c r="EQS116" s="36"/>
      <c r="EQT116" s="38"/>
      <c r="EQU116" s="38"/>
      <c r="ERA116" s="36"/>
      <c r="ERB116" s="38"/>
      <c r="ERC116" s="38"/>
      <c r="ERI116" s="36"/>
      <c r="ERJ116" s="38"/>
      <c r="ERK116" s="38"/>
      <c r="ERQ116" s="36"/>
      <c r="ERR116" s="38"/>
      <c r="ERS116" s="38"/>
      <c r="ERY116" s="36"/>
      <c r="ERZ116" s="38"/>
      <c r="ESA116" s="38"/>
      <c r="ESG116" s="36"/>
      <c r="ESH116" s="38"/>
      <c r="ESI116" s="38"/>
      <c r="ESO116" s="36"/>
      <c r="ESP116" s="38"/>
      <c r="ESQ116" s="38"/>
      <c r="ESW116" s="36"/>
      <c r="ESX116" s="38"/>
      <c r="ESY116" s="38"/>
      <c r="ETE116" s="36"/>
      <c r="ETF116" s="38"/>
      <c r="ETG116" s="38"/>
      <c r="ETM116" s="36"/>
      <c r="ETN116" s="38"/>
      <c r="ETO116" s="38"/>
      <c r="ETU116" s="36"/>
      <c r="ETV116" s="38"/>
      <c r="ETW116" s="38"/>
      <c r="EUC116" s="36"/>
      <c r="EUD116" s="38"/>
      <c r="EUE116" s="38"/>
      <c r="EUK116" s="36"/>
      <c r="EUL116" s="38"/>
      <c r="EUM116" s="38"/>
      <c r="EUS116" s="36"/>
      <c r="EUT116" s="38"/>
      <c r="EUU116" s="38"/>
      <c r="EVA116" s="36"/>
      <c r="EVB116" s="38"/>
      <c r="EVC116" s="38"/>
      <c r="EVI116" s="36"/>
      <c r="EVJ116" s="38"/>
      <c r="EVK116" s="38"/>
      <c r="EVQ116" s="36"/>
      <c r="EVR116" s="38"/>
      <c r="EVS116" s="38"/>
      <c r="EVY116" s="36"/>
      <c r="EVZ116" s="38"/>
      <c r="EWA116" s="38"/>
      <c r="EWG116" s="36"/>
      <c r="EWH116" s="38"/>
      <c r="EWI116" s="38"/>
      <c r="EWO116" s="36"/>
      <c r="EWP116" s="38"/>
      <c r="EWQ116" s="38"/>
      <c r="EWW116" s="36"/>
      <c r="EWX116" s="38"/>
      <c r="EWY116" s="38"/>
      <c r="EXE116" s="36"/>
      <c r="EXF116" s="38"/>
      <c r="EXG116" s="38"/>
      <c r="EXM116" s="36"/>
      <c r="EXN116" s="38"/>
      <c r="EXO116" s="38"/>
      <c r="EXU116" s="36"/>
      <c r="EXV116" s="38"/>
      <c r="EXW116" s="38"/>
      <c r="EYC116" s="36"/>
      <c r="EYD116" s="38"/>
      <c r="EYE116" s="38"/>
      <c r="EYK116" s="36"/>
      <c r="EYL116" s="38"/>
      <c r="EYM116" s="38"/>
      <c r="EYS116" s="36"/>
      <c r="EYT116" s="38"/>
      <c r="EYU116" s="38"/>
      <c r="EZA116" s="36"/>
      <c r="EZB116" s="38"/>
      <c r="EZC116" s="38"/>
      <c r="EZI116" s="36"/>
      <c r="EZJ116" s="38"/>
      <c r="EZK116" s="38"/>
      <c r="EZQ116" s="36"/>
      <c r="EZR116" s="38"/>
      <c r="EZS116" s="38"/>
      <c r="EZY116" s="36"/>
      <c r="EZZ116" s="38"/>
      <c r="FAA116" s="38"/>
      <c r="FAG116" s="36"/>
      <c r="FAH116" s="38"/>
      <c r="FAI116" s="38"/>
      <c r="FAO116" s="36"/>
      <c r="FAP116" s="38"/>
      <c r="FAQ116" s="38"/>
      <c r="FAW116" s="36"/>
      <c r="FAX116" s="38"/>
      <c r="FAY116" s="38"/>
      <c r="FBE116" s="36"/>
      <c r="FBF116" s="38"/>
      <c r="FBG116" s="38"/>
      <c r="FBM116" s="36"/>
      <c r="FBN116" s="38"/>
      <c r="FBO116" s="38"/>
      <c r="FBU116" s="36"/>
      <c r="FBV116" s="38"/>
      <c r="FBW116" s="38"/>
      <c r="FCC116" s="36"/>
      <c r="FCD116" s="38"/>
      <c r="FCE116" s="38"/>
      <c r="FCK116" s="36"/>
      <c r="FCL116" s="38"/>
      <c r="FCM116" s="38"/>
      <c r="FCS116" s="36"/>
      <c r="FCT116" s="38"/>
      <c r="FCU116" s="38"/>
      <c r="FDA116" s="36"/>
      <c r="FDB116" s="38"/>
      <c r="FDC116" s="38"/>
      <c r="FDI116" s="36"/>
      <c r="FDJ116" s="38"/>
      <c r="FDK116" s="38"/>
      <c r="FDQ116" s="36"/>
      <c r="FDR116" s="38"/>
      <c r="FDS116" s="38"/>
      <c r="FDY116" s="36"/>
      <c r="FDZ116" s="38"/>
      <c r="FEA116" s="38"/>
      <c r="FEG116" s="36"/>
      <c r="FEH116" s="38"/>
      <c r="FEI116" s="38"/>
      <c r="FEO116" s="36"/>
      <c r="FEP116" s="38"/>
      <c r="FEQ116" s="38"/>
      <c r="FEW116" s="36"/>
      <c r="FEX116" s="38"/>
      <c r="FEY116" s="38"/>
      <c r="FFE116" s="36"/>
      <c r="FFF116" s="38"/>
      <c r="FFG116" s="38"/>
      <c r="FFM116" s="36"/>
      <c r="FFN116" s="38"/>
      <c r="FFO116" s="38"/>
      <c r="FFU116" s="36"/>
      <c r="FFV116" s="38"/>
      <c r="FFW116" s="38"/>
      <c r="FGC116" s="36"/>
      <c r="FGD116" s="38"/>
      <c r="FGE116" s="38"/>
      <c r="FGK116" s="36"/>
      <c r="FGL116" s="38"/>
      <c r="FGM116" s="38"/>
      <c r="FGS116" s="36"/>
      <c r="FGT116" s="38"/>
      <c r="FGU116" s="38"/>
      <c r="FHA116" s="36"/>
      <c r="FHB116" s="38"/>
      <c r="FHC116" s="38"/>
      <c r="FHI116" s="36"/>
      <c r="FHJ116" s="38"/>
      <c r="FHK116" s="38"/>
      <c r="FHQ116" s="36"/>
      <c r="FHR116" s="38"/>
      <c r="FHS116" s="38"/>
      <c r="FHY116" s="36"/>
      <c r="FHZ116" s="38"/>
      <c r="FIA116" s="38"/>
      <c r="FIG116" s="36"/>
      <c r="FIH116" s="38"/>
      <c r="FII116" s="38"/>
      <c r="FIO116" s="36"/>
      <c r="FIP116" s="38"/>
      <c r="FIQ116" s="38"/>
      <c r="FIW116" s="36"/>
      <c r="FIX116" s="38"/>
      <c r="FIY116" s="38"/>
      <c r="FJE116" s="36"/>
      <c r="FJF116" s="38"/>
      <c r="FJG116" s="38"/>
      <c r="FJM116" s="36"/>
      <c r="FJN116" s="38"/>
      <c r="FJO116" s="38"/>
      <c r="FJU116" s="36"/>
      <c r="FJV116" s="38"/>
      <c r="FJW116" s="38"/>
      <c r="FKC116" s="36"/>
      <c r="FKD116" s="38"/>
      <c r="FKE116" s="38"/>
      <c r="FKK116" s="36"/>
      <c r="FKL116" s="38"/>
      <c r="FKM116" s="38"/>
      <c r="FKS116" s="36"/>
      <c r="FKT116" s="38"/>
      <c r="FKU116" s="38"/>
      <c r="FLA116" s="36"/>
      <c r="FLB116" s="38"/>
      <c r="FLC116" s="38"/>
      <c r="FLI116" s="36"/>
      <c r="FLJ116" s="38"/>
      <c r="FLK116" s="38"/>
      <c r="FLQ116" s="36"/>
      <c r="FLR116" s="38"/>
      <c r="FLS116" s="38"/>
      <c r="FLY116" s="36"/>
      <c r="FLZ116" s="38"/>
      <c r="FMA116" s="38"/>
      <c r="FMG116" s="36"/>
      <c r="FMH116" s="38"/>
      <c r="FMI116" s="38"/>
      <c r="FMO116" s="36"/>
      <c r="FMP116" s="38"/>
      <c r="FMQ116" s="38"/>
      <c r="FMW116" s="36"/>
      <c r="FMX116" s="38"/>
      <c r="FMY116" s="38"/>
      <c r="FNE116" s="36"/>
      <c r="FNF116" s="38"/>
      <c r="FNG116" s="38"/>
      <c r="FNM116" s="36"/>
      <c r="FNN116" s="38"/>
      <c r="FNO116" s="38"/>
      <c r="FNU116" s="36"/>
      <c r="FNV116" s="38"/>
      <c r="FNW116" s="38"/>
      <c r="FOC116" s="36"/>
      <c r="FOD116" s="38"/>
      <c r="FOE116" s="38"/>
      <c r="FOK116" s="36"/>
      <c r="FOL116" s="38"/>
      <c r="FOM116" s="38"/>
      <c r="FOS116" s="36"/>
      <c r="FOT116" s="38"/>
      <c r="FOU116" s="38"/>
      <c r="FPA116" s="36"/>
      <c r="FPB116" s="38"/>
      <c r="FPC116" s="38"/>
      <c r="FPI116" s="36"/>
      <c r="FPJ116" s="38"/>
      <c r="FPK116" s="38"/>
      <c r="FPQ116" s="36"/>
      <c r="FPR116" s="38"/>
      <c r="FPS116" s="38"/>
      <c r="FPY116" s="36"/>
      <c r="FPZ116" s="38"/>
      <c r="FQA116" s="38"/>
      <c r="FQG116" s="36"/>
      <c r="FQH116" s="38"/>
      <c r="FQI116" s="38"/>
      <c r="FQO116" s="36"/>
      <c r="FQP116" s="38"/>
      <c r="FQQ116" s="38"/>
      <c r="FQW116" s="36"/>
      <c r="FQX116" s="38"/>
      <c r="FQY116" s="38"/>
      <c r="FRE116" s="36"/>
      <c r="FRF116" s="38"/>
      <c r="FRG116" s="38"/>
      <c r="FRM116" s="36"/>
      <c r="FRN116" s="38"/>
      <c r="FRO116" s="38"/>
      <c r="FRU116" s="36"/>
      <c r="FRV116" s="38"/>
      <c r="FRW116" s="38"/>
      <c r="FSC116" s="36"/>
      <c r="FSD116" s="38"/>
      <c r="FSE116" s="38"/>
      <c r="FSK116" s="36"/>
      <c r="FSL116" s="38"/>
      <c r="FSM116" s="38"/>
      <c r="FSS116" s="36"/>
      <c r="FST116" s="38"/>
      <c r="FSU116" s="38"/>
      <c r="FTA116" s="36"/>
      <c r="FTB116" s="38"/>
      <c r="FTC116" s="38"/>
      <c r="FTI116" s="36"/>
      <c r="FTJ116" s="38"/>
      <c r="FTK116" s="38"/>
      <c r="FTQ116" s="36"/>
      <c r="FTR116" s="38"/>
      <c r="FTS116" s="38"/>
      <c r="FTY116" s="36"/>
      <c r="FTZ116" s="38"/>
      <c r="FUA116" s="38"/>
      <c r="FUG116" s="36"/>
      <c r="FUH116" s="38"/>
      <c r="FUI116" s="38"/>
      <c r="FUO116" s="36"/>
      <c r="FUP116" s="38"/>
      <c r="FUQ116" s="38"/>
      <c r="FUW116" s="36"/>
      <c r="FUX116" s="38"/>
      <c r="FUY116" s="38"/>
      <c r="FVE116" s="36"/>
      <c r="FVF116" s="38"/>
      <c r="FVG116" s="38"/>
      <c r="FVM116" s="36"/>
      <c r="FVN116" s="38"/>
      <c r="FVO116" s="38"/>
      <c r="FVU116" s="36"/>
      <c r="FVV116" s="38"/>
      <c r="FVW116" s="38"/>
      <c r="FWC116" s="36"/>
      <c r="FWD116" s="38"/>
      <c r="FWE116" s="38"/>
      <c r="FWK116" s="36"/>
      <c r="FWL116" s="38"/>
      <c r="FWM116" s="38"/>
      <c r="FWS116" s="36"/>
      <c r="FWT116" s="38"/>
      <c r="FWU116" s="38"/>
      <c r="FXA116" s="36"/>
      <c r="FXB116" s="38"/>
      <c r="FXC116" s="38"/>
      <c r="FXI116" s="36"/>
      <c r="FXJ116" s="38"/>
      <c r="FXK116" s="38"/>
      <c r="FXQ116" s="36"/>
      <c r="FXR116" s="38"/>
      <c r="FXS116" s="38"/>
      <c r="FXY116" s="36"/>
      <c r="FXZ116" s="38"/>
      <c r="FYA116" s="38"/>
      <c r="FYG116" s="36"/>
      <c r="FYH116" s="38"/>
      <c r="FYI116" s="38"/>
      <c r="FYO116" s="36"/>
      <c r="FYP116" s="38"/>
      <c r="FYQ116" s="38"/>
      <c r="FYW116" s="36"/>
      <c r="FYX116" s="38"/>
      <c r="FYY116" s="38"/>
      <c r="FZE116" s="36"/>
      <c r="FZF116" s="38"/>
      <c r="FZG116" s="38"/>
      <c r="FZM116" s="36"/>
      <c r="FZN116" s="38"/>
      <c r="FZO116" s="38"/>
      <c r="FZU116" s="36"/>
      <c r="FZV116" s="38"/>
      <c r="FZW116" s="38"/>
      <c r="GAC116" s="36"/>
      <c r="GAD116" s="38"/>
      <c r="GAE116" s="38"/>
      <c r="GAK116" s="36"/>
      <c r="GAL116" s="38"/>
      <c r="GAM116" s="38"/>
      <c r="GAS116" s="36"/>
      <c r="GAT116" s="38"/>
      <c r="GAU116" s="38"/>
      <c r="GBA116" s="36"/>
      <c r="GBB116" s="38"/>
      <c r="GBC116" s="38"/>
      <c r="GBI116" s="36"/>
      <c r="GBJ116" s="38"/>
      <c r="GBK116" s="38"/>
      <c r="GBQ116" s="36"/>
      <c r="GBR116" s="38"/>
      <c r="GBS116" s="38"/>
      <c r="GBY116" s="36"/>
      <c r="GBZ116" s="38"/>
      <c r="GCA116" s="38"/>
      <c r="GCG116" s="36"/>
      <c r="GCH116" s="38"/>
      <c r="GCI116" s="38"/>
      <c r="GCO116" s="36"/>
      <c r="GCP116" s="38"/>
      <c r="GCQ116" s="38"/>
      <c r="GCW116" s="36"/>
      <c r="GCX116" s="38"/>
      <c r="GCY116" s="38"/>
      <c r="GDE116" s="36"/>
      <c r="GDF116" s="38"/>
      <c r="GDG116" s="38"/>
      <c r="GDM116" s="36"/>
      <c r="GDN116" s="38"/>
      <c r="GDO116" s="38"/>
      <c r="GDU116" s="36"/>
      <c r="GDV116" s="38"/>
      <c r="GDW116" s="38"/>
      <c r="GEC116" s="36"/>
      <c r="GED116" s="38"/>
      <c r="GEE116" s="38"/>
      <c r="GEK116" s="36"/>
      <c r="GEL116" s="38"/>
      <c r="GEM116" s="38"/>
      <c r="GES116" s="36"/>
      <c r="GET116" s="38"/>
      <c r="GEU116" s="38"/>
      <c r="GFA116" s="36"/>
      <c r="GFB116" s="38"/>
      <c r="GFC116" s="38"/>
      <c r="GFI116" s="36"/>
      <c r="GFJ116" s="38"/>
      <c r="GFK116" s="38"/>
      <c r="GFQ116" s="36"/>
      <c r="GFR116" s="38"/>
      <c r="GFS116" s="38"/>
      <c r="GFY116" s="36"/>
      <c r="GFZ116" s="38"/>
      <c r="GGA116" s="38"/>
      <c r="GGG116" s="36"/>
      <c r="GGH116" s="38"/>
      <c r="GGI116" s="38"/>
      <c r="GGO116" s="36"/>
      <c r="GGP116" s="38"/>
      <c r="GGQ116" s="38"/>
      <c r="GGW116" s="36"/>
      <c r="GGX116" s="38"/>
      <c r="GGY116" s="38"/>
      <c r="GHE116" s="36"/>
      <c r="GHF116" s="38"/>
      <c r="GHG116" s="38"/>
      <c r="GHM116" s="36"/>
      <c r="GHN116" s="38"/>
      <c r="GHO116" s="38"/>
      <c r="GHU116" s="36"/>
      <c r="GHV116" s="38"/>
      <c r="GHW116" s="38"/>
      <c r="GIC116" s="36"/>
      <c r="GID116" s="38"/>
      <c r="GIE116" s="38"/>
      <c r="GIK116" s="36"/>
      <c r="GIL116" s="38"/>
      <c r="GIM116" s="38"/>
      <c r="GIS116" s="36"/>
      <c r="GIT116" s="38"/>
      <c r="GIU116" s="38"/>
      <c r="GJA116" s="36"/>
      <c r="GJB116" s="38"/>
      <c r="GJC116" s="38"/>
      <c r="GJI116" s="36"/>
      <c r="GJJ116" s="38"/>
      <c r="GJK116" s="38"/>
      <c r="GJQ116" s="36"/>
      <c r="GJR116" s="38"/>
      <c r="GJS116" s="38"/>
      <c r="GJY116" s="36"/>
      <c r="GJZ116" s="38"/>
      <c r="GKA116" s="38"/>
      <c r="GKG116" s="36"/>
      <c r="GKH116" s="38"/>
      <c r="GKI116" s="38"/>
      <c r="GKO116" s="36"/>
      <c r="GKP116" s="38"/>
      <c r="GKQ116" s="38"/>
      <c r="GKW116" s="36"/>
      <c r="GKX116" s="38"/>
      <c r="GKY116" s="38"/>
      <c r="GLE116" s="36"/>
      <c r="GLF116" s="38"/>
      <c r="GLG116" s="38"/>
      <c r="GLM116" s="36"/>
      <c r="GLN116" s="38"/>
      <c r="GLO116" s="38"/>
      <c r="GLU116" s="36"/>
      <c r="GLV116" s="38"/>
      <c r="GLW116" s="38"/>
      <c r="GMC116" s="36"/>
      <c r="GMD116" s="38"/>
      <c r="GME116" s="38"/>
      <c r="GMK116" s="36"/>
      <c r="GML116" s="38"/>
      <c r="GMM116" s="38"/>
      <c r="GMS116" s="36"/>
      <c r="GMT116" s="38"/>
      <c r="GMU116" s="38"/>
      <c r="GNA116" s="36"/>
      <c r="GNB116" s="38"/>
      <c r="GNC116" s="38"/>
      <c r="GNI116" s="36"/>
      <c r="GNJ116" s="38"/>
      <c r="GNK116" s="38"/>
      <c r="GNQ116" s="36"/>
      <c r="GNR116" s="38"/>
      <c r="GNS116" s="38"/>
      <c r="GNY116" s="36"/>
      <c r="GNZ116" s="38"/>
      <c r="GOA116" s="38"/>
      <c r="GOG116" s="36"/>
      <c r="GOH116" s="38"/>
      <c r="GOI116" s="38"/>
      <c r="GOO116" s="36"/>
      <c r="GOP116" s="38"/>
      <c r="GOQ116" s="38"/>
      <c r="GOW116" s="36"/>
      <c r="GOX116" s="38"/>
      <c r="GOY116" s="38"/>
      <c r="GPE116" s="36"/>
      <c r="GPF116" s="38"/>
      <c r="GPG116" s="38"/>
      <c r="GPM116" s="36"/>
      <c r="GPN116" s="38"/>
      <c r="GPO116" s="38"/>
      <c r="GPU116" s="36"/>
      <c r="GPV116" s="38"/>
      <c r="GPW116" s="38"/>
      <c r="GQC116" s="36"/>
      <c r="GQD116" s="38"/>
      <c r="GQE116" s="38"/>
      <c r="GQK116" s="36"/>
      <c r="GQL116" s="38"/>
      <c r="GQM116" s="38"/>
      <c r="GQS116" s="36"/>
      <c r="GQT116" s="38"/>
      <c r="GQU116" s="38"/>
      <c r="GRA116" s="36"/>
      <c r="GRB116" s="38"/>
      <c r="GRC116" s="38"/>
      <c r="GRI116" s="36"/>
      <c r="GRJ116" s="38"/>
      <c r="GRK116" s="38"/>
      <c r="GRQ116" s="36"/>
      <c r="GRR116" s="38"/>
      <c r="GRS116" s="38"/>
      <c r="GRY116" s="36"/>
      <c r="GRZ116" s="38"/>
      <c r="GSA116" s="38"/>
      <c r="GSG116" s="36"/>
      <c r="GSH116" s="38"/>
      <c r="GSI116" s="38"/>
      <c r="GSO116" s="36"/>
      <c r="GSP116" s="38"/>
      <c r="GSQ116" s="38"/>
      <c r="GSW116" s="36"/>
      <c r="GSX116" s="38"/>
      <c r="GSY116" s="38"/>
      <c r="GTE116" s="36"/>
      <c r="GTF116" s="38"/>
      <c r="GTG116" s="38"/>
      <c r="GTM116" s="36"/>
      <c r="GTN116" s="38"/>
      <c r="GTO116" s="38"/>
      <c r="GTU116" s="36"/>
      <c r="GTV116" s="38"/>
      <c r="GTW116" s="38"/>
      <c r="GUC116" s="36"/>
      <c r="GUD116" s="38"/>
      <c r="GUE116" s="38"/>
      <c r="GUK116" s="36"/>
      <c r="GUL116" s="38"/>
      <c r="GUM116" s="38"/>
      <c r="GUS116" s="36"/>
      <c r="GUT116" s="38"/>
      <c r="GUU116" s="38"/>
      <c r="GVA116" s="36"/>
      <c r="GVB116" s="38"/>
      <c r="GVC116" s="38"/>
      <c r="GVI116" s="36"/>
      <c r="GVJ116" s="38"/>
      <c r="GVK116" s="38"/>
      <c r="GVQ116" s="36"/>
      <c r="GVR116" s="38"/>
      <c r="GVS116" s="38"/>
      <c r="GVY116" s="36"/>
      <c r="GVZ116" s="38"/>
      <c r="GWA116" s="38"/>
      <c r="GWG116" s="36"/>
      <c r="GWH116" s="38"/>
      <c r="GWI116" s="38"/>
      <c r="GWO116" s="36"/>
      <c r="GWP116" s="38"/>
      <c r="GWQ116" s="38"/>
      <c r="GWW116" s="36"/>
      <c r="GWX116" s="38"/>
      <c r="GWY116" s="38"/>
      <c r="GXE116" s="36"/>
      <c r="GXF116" s="38"/>
      <c r="GXG116" s="38"/>
      <c r="GXM116" s="36"/>
      <c r="GXN116" s="38"/>
      <c r="GXO116" s="38"/>
      <c r="GXU116" s="36"/>
      <c r="GXV116" s="38"/>
      <c r="GXW116" s="38"/>
      <c r="GYC116" s="36"/>
      <c r="GYD116" s="38"/>
      <c r="GYE116" s="38"/>
      <c r="GYK116" s="36"/>
      <c r="GYL116" s="38"/>
      <c r="GYM116" s="38"/>
      <c r="GYS116" s="36"/>
      <c r="GYT116" s="38"/>
      <c r="GYU116" s="38"/>
      <c r="GZA116" s="36"/>
      <c r="GZB116" s="38"/>
      <c r="GZC116" s="38"/>
      <c r="GZI116" s="36"/>
      <c r="GZJ116" s="38"/>
      <c r="GZK116" s="38"/>
      <c r="GZQ116" s="36"/>
      <c r="GZR116" s="38"/>
      <c r="GZS116" s="38"/>
      <c r="GZY116" s="36"/>
      <c r="GZZ116" s="38"/>
      <c r="HAA116" s="38"/>
      <c r="HAG116" s="36"/>
      <c r="HAH116" s="38"/>
      <c r="HAI116" s="38"/>
      <c r="HAO116" s="36"/>
      <c r="HAP116" s="38"/>
      <c r="HAQ116" s="38"/>
      <c r="HAW116" s="36"/>
      <c r="HAX116" s="38"/>
      <c r="HAY116" s="38"/>
      <c r="HBE116" s="36"/>
      <c r="HBF116" s="38"/>
      <c r="HBG116" s="38"/>
      <c r="HBM116" s="36"/>
      <c r="HBN116" s="38"/>
      <c r="HBO116" s="38"/>
      <c r="HBU116" s="36"/>
      <c r="HBV116" s="38"/>
      <c r="HBW116" s="38"/>
      <c r="HCC116" s="36"/>
      <c r="HCD116" s="38"/>
      <c r="HCE116" s="38"/>
      <c r="HCK116" s="36"/>
      <c r="HCL116" s="38"/>
      <c r="HCM116" s="38"/>
      <c r="HCS116" s="36"/>
      <c r="HCT116" s="38"/>
      <c r="HCU116" s="38"/>
      <c r="HDA116" s="36"/>
      <c r="HDB116" s="38"/>
      <c r="HDC116" s="38"/>
      <c r="HDI116" s="36"/>
      <c r="HDJ116" s="38"/>
      <c r="HDK116" s="38"/>
      <c r="HDQ116" s="36"/>
      <c r="HDR116" s="38"/>
      <c r="HDS116" s="38"/>
      <c r="HDY116" s="36"/>
      <c r="HDZ116" s="38"/>
      <c r="HEA116" s="38"/>
      <c r="HEG116" s="36"/>
      <c r="HEH116" s="38"/>
      <c r="HEI116" s="38"/>
      <c r="HEO116" s="36"/>
      <c r="HEP116" s="38"/>
      <c r="HEQ116" s="38"/>
      <c r="HEW116" s="36"/>
      <c r="HEX116" s="38"/>
      <c r="HEY116" s="38"/>
      <c r="HFE116" s="36"/>
      <c r="HFF116" s="38"/>
      <c r="HFG116" s="38"/>
      <c r="HFM116" s="36"/>
      <c r="HFN116" s="38"/>
      <c r="HFO116" s="38"/>
      <c r="HFU116" s="36"/>
      <c r="HFV116" s="38"/>
      <c r="HFW116" s="38"/>
      <c r="HGC116" s="36"/>
      <c r="HGD116" s="38"/>
      <c r="HGE116" s="38"/>
      <c r="HGK116" s="36"/>
      <c r="HGL116" s="38"/>
      <c r="HGM116" s="38"/>
      <c r="HGS116" s="36"/>
      <c r="HGT116" s="38"/>
      <c r="HGU116" s="38"/>
      <c r="HHA116" s="36"/>
      <c r="HHB116" s="38"/>
      <c r="HHC116" s="38"/>
      <c r="HHI116" s="36"/>
      <c r="HHJ116" s="38"/>
      <c r="HHK116" s="38"/>
      <c r="HHQ116" s="36"/>
      <c r="HHR116" s="38"/>
      <c r="HHS116" s="38"/>
      <c r="HHY116" s="36"/>
      <c r="HHZ116" s="38"/>
      <c r="HIA116" s="38"/>
      <c r="HIG116" s="36"/>
      <c r="HIH116" s="38"/>
      <c r="HII116" s="38"/>
      <c r="HIO116" s="36"/>
      <c r="HIP116" s="38"/>
      <c r="HIQ116" s="38"/>
      <c r="HIW116" s="36"/>
      <c r="HIX116" s="38"/>
      <c r="HIY116" s="38"/>
      <c r="HJE116" s="36"/>
      <c r="HJF116" s="38"/>
      <c r="HJG116" s="38"/>
      <c r="HJM116" s="36"/>
      <c r="HJN116" s="38"/>
      <c r="HJO116" s="38"/>
      <c r="HJU116" s="36"/>
      <c r="HJV116" s="38"/>
      <c r="HJW116" s="38"/>
      <c r="HKC116" s="36"/>
      <c r="HKD116" s="38"/>
      <c r="HKE116" s="38"/>
      <c r="HKK116" s="36"/>
      <c r="HKL116" s="38"/>
      <c r="HKM116" s="38"/>
      <c r="HKS116" s="36"/>
      <c r="HKT116" s="38"/>
      <c r="HKU116" s="38"/>
      <c r="HLA116" s="36"/>
      <c r="HLB116" s="38"/>
      <c r="HLC116" s="38"/>
      <c r="HLI116" s="36"/>
      <c r="HLJ116" s="38"/>
      <c r="HLK116" s="38"/>
      <c r="HLQ116" s="36"/>
      <c r="HLR116" s="38"/>
      <c r="HLS116" s="38"/>
      <c r="HLY116" s="36"/>
      <c r="HLZ116" s="38"/>
      <c r="HMA116" s="38"/>
      <c r="HMG116" s="36"/>
      <c r="HMH116" s="38"/>
      <c r="HMI116" s="38"/>
      <c r="HMO116" s="36"/>
      <c r="HMP116" s="38"/>
      <c r="HMQ116" s="38"/>
      <c r="HMW116" s="36"/>
      <c r="HMX116" s="38"/>
      <c r="HMY116" s="38"/>
      <c r="HNE116" s="36"/>
      <c r="HNF116" s="38"/>
      <c r="HNG116" s="38"/>
      <c r="HNM116" s="36"/>
      <c r="HNN116" s="38"/>
      <c r="HNO116" s="38"/>
      <c r="HNU116" s="36"/>
      <c r="HNV116" s="38"/>
      <c r="HNW116" s="38"/>
      <c r="HOC116" s="36"/>
      <c r="HOD116" s="38"/>
      <c r="HOE116" s="38"/>
      <c r="HOK116" s="36"/>
      <c r="HOL116" s="38"/>
      <c r="HOM116" s="38"/>
      <c r="HOS116" s="36"/>
      <c r="HOT116" s="38"/>
      <c r="HOU116" s="38"/>
      <c r="HPA116" s="36"/>
      <c r="HPB116" s="38"/>
      <c r="HPC116" s="38"/>
      <c r="HPI116" s="36"/>
      <c r="HPJ116" s="38"/>
      <c r="HPK116" s="38"/>
      <c r="HPQ116" s="36"/>
      <c r="HPR116" s="38"/>
      <c r="HPS116" s="38"/>
      <c r="HPY116" s="36"/>
      <c r="HPZ116" s="38"/>
      <c r="HQA116" s="38"/>
      <c r="HQG116" s="36"/>
      <c r="HQH116" s="38"/>
      <c r="HQI116" s="38"/>
      <c r="HQO116" s="36"/>
      <c r="HQP116" s="38"/>
      <c r="HQQ116" s="38"/>
      <c r="HQW116" s="36"/>
      <c r="HQX116" s="38"/>
      <c r="HQY116" s="38"/>
      <c r="HRE116" s="36"/>
      <c r="HRF116" s="38"/>
      <c r="HRG116" s="38"/>
      <c r="HRM116" s="36"/>
      <c r="HRN116" s="38"/>
      <c r="HRO116" s="38"/>
      <c r="HRU116" s="36"/>
      <c r="HRV116" s="38"/>
      <c r="HRW116" s="38"/>
      <c r="HSC116" s="36"/>
      <c r="HSD116" s="38"/>
      <c r="HSE116" s="38"/>
      <c r="HSK116" s="36"/>
      <c r="HSL116" s="38"/>
      <c r="HSM116" s="38"/>
      <c r="HSS116" s="36"/>
      <c r="HST116" s="38"/>
      <c r="HSU116" s="38"/>
      <c r="HTA116" s="36"/>
      <c r="HTB116" s="38"/>
      <c r="HTC116" s="38"/>
      <c r="HTI116" s="36"/>
      <c r="HTJ116" s="38"/>
      <c r="HTK116" s="38"/>
      <c r="HTQ116" s="36"/>
      <c r="HTR116" s="38"/>
      <c r="HTS116" s="38"/>
      <c r="HTY116" s="36"/>
      <c r="HTZ116" s="38"/>
      <c r="HUA116" s="38"/>
      <c r="HUG116" s="36"/>
      <c r="HUH116" s="38"/>
      <c r="HUI116" s="38"/>
      <c r="HUO116" s="36"/>
      <c r="HUP116" s="38"/>
      <c r="HUQ116" s="38"/>
      <c r="HUW116" s="36"/>
      <c r="HUX116" s="38"/>
      <c r="HUY116" s="38"/>
      <c r="HVE116" s="36"/>
      <c r="HVF116" s="38"/>
      <c r="HVG116" s="38"/>
      <c r="HVM116" s="36"/>
      <c r="HVN116" s="38"/>
      <c r="HVO116" s="38"/>
      <c r="HVU116" s="36"/>
      <c r="HVV116" s="38"/>
      <c r="HVW116" s="38"/>
      <c r="HWC116" s="36"/>
      <c r="HWD116" s="38"/>
      <c r="HWE116" s="38"/>
      <c r="HWK116" s="36"/>
      <c r="HWL116" s="38"/>
      <c r="HWM116" s="38"/>
      <c r="HWS116" s="36"/>
      <c r="HWT116" s="38"/>
      <c r="HWU116" s="38"/>
      <c r="HXA116" s="36"/>
      <c r="HXB116" s="38"/>
      <c r="HXC116" s="38"/>
      <c r="HXI116" s="36"/>
      <c r="HXJ116" s="38"/>
      <c r="HXK116" s="38"/>
      <c r="HXQ116" s="36"/>
      <c r="HXR116" s="38"/>
      <c r="HXS116" s="38"/>
      <c r="HXY116" s="36"/>
      <c r="HXZ116" s="38"/>
      <c r="HYA116" s="38"/>
      <c r="HYG116" s="36"/>
      <c r="HYH116" s="38"/>
      <c r="HYI116" s="38"/>
      <c r="HYO116" s="36"/>
      <c r="HYP116" s="38"/>
      <c r="HYQ116" s="38"/>
      <c r="HYW116" s="36"/>
      <c r="HYX116" s="38"/>
      <c r="HYY116" s="38"/>
      <c r="HZE116" s="36"/>
      <c r="HZF116" s="38"/>
      <c r="HZG116" s="38"/>
      <c r="HZM116" s="36"/>
      <c r="HZN116" s="38"/>
      <c r="HZO116" s="38"/>
      <c r="HZU116" s="36"/>
      <c r="HZV116" s="38"/>
      <c r="HZW116" s="38"/>
      <c r="IAC116" s="36"/>
      <c r="IAD116" s="38"/>
      <c r="IAE116" s="38"/>
      <c r="IAK116" s="36"/>
      <c r="IAL116" s="38"/>
      <c r="IAM116" s="38"/>
      <c r="IAS116" s="36"/>
      <c r="IAT116" s="38"/>
      <c r="IAU116" s="38"/>
      <c r="IBA116" s="36"/>
      <c r="IBB116" s="38"/>
      <c r="IBC116" s="38"/>
      <c r="IBI116" s="36"/>
      <c r="IBJ116" s="38"/>
      <c r="IBK116" s="38"/>
      <c r="IBQ116" s="36"/>
      <c r="IBR116" s="38"/>
      <c r="IBS116" s="38"/>
      <c r="IBY116" s="36"/>
      <c r="IBZ116" s="38"/>
      <c r="ICA116" s="38"/>
      <c r="ICG116" s="36"/>
      <c r="ICH116" s="38"/>
      <c r="ICI116" s="38"/>
      <c r="ICO116" s="36"/>
      <c r="ICP116" s="38"/>
      <c r="ICQ116" s="38"/>
      <c r="ICW116" s="36"/>
      <c r="ICX116" s="38"/>
      <c r="ICY116" s="38"/>
      <c r="IDE116" s="36"/>
      <c r="IDF116" s="38"/>
      <c r="IDG116" s="38"/>
      <c r="IDM116" s="36"/>
      <c r="IDN116" s="38"/>
      <c r="IDO116" s="38"/>
      <c r="IDU116" s="36"/>
      <c r="IDV116" s="38"/>
      <c r="IDW116" s="38"/>
      <c r="IEC116" s="36"/>
      <c r="IED116" s="38"/>
      <c r="IEE116" s="38"/>
      <c r="IEK116" s="36"/>
      <c r="IEL116" s="38"/>
      <c r="IEM116" s="38"/>
      <c r="IES116" s="36"/>
      <c r="IET116" s="38"/>
      <c r="IEU116" s="38"/>
      <c r="IFA116" s="36"/>
      <c r="IFB116" s="38"/>
      <c r="IFC116" s="38"/>
      <c r="IFI116" s="36"/>
      <c r="IFJ116" s="38"/>
      <c r="IFK116" s="38"/>
      <c r="IFQ116" s="36"/>
      <c r="IFR116" s="38"/>
      <c r="IFS116" s="38"/>
      <c r="IFY116" s="36"/>
      <c r="IFZ116" s="38"/>
      <c r="IGA116" s="38"/>
      <c r="IGG116" s="36"/>
      <c r="IGH116" s="38"/>
      <c r="IGI116" s="38"/>
      <c r="IGO116" s="36"/>
      <c r="IGP116" s="38"/>
      <c r="IGQ116" s="38"/>
      <c r="IGW116" s="36"/>
      <c r="IGX116" s="38"/>
      <c r="IGY116" s="38"/>
      <c r="IHE116" s="36"/>
      <c r="IHF116" s="38"/>
      <c r="IHG116" s="38"/>
      <c r="IHM116" s="36"/>
      <c r="IHN116" s="38"/>
      <c r="IHO116" s="38"/>
      <c r="IHU116" s="36"/>
      <c r="IHV116" s="38"/>
      <c r="IHW116" s="38"/>
      <c r="IIC116" s="36"/>
      <c r="IID116" s="38"/>
      <c r="IIE116" s="38"/>
      <c r="IIK116" s="36"/>
      <c r="IIL116" s="38"/>
      <c r="IIM116" s="38"/>
      <c r="IIS116" s="36"/>
      <c r="IIT116" s="38"/>
      <c r="IIU116" s="38"/>
      <c r="IJA116" s="36"/>
      <c r="IJB116" s="38"/>
      <c r="IJC116" s="38"/>
      <c r="IJI116" s="36"/>
      <c r="IJJ116" s="38"/>
      <c r="IJK116" s="38"/>
      <c r="IJQ116" s="36"/>
      <c r="IJR116" s="38"/>
      <c r="IJS116" s="38"/>
      <c r="IJY116" s="36"/>
      <c r="IJZ116" s="38"/>
      <c r="IKA116" s="38"/>
      <c r="IKG116" s="36"/>
      <c r="IKH116" s="38"/>
      <c r="IKI116" s="38"/>
      <c r="IKO116" s="36"/>
      <c r="IKP116" s="38"/>
      <c r="IKQ116" s="38"/>
      <c r="IKW116" s="36"/>
      <c r="IKX116" s="38"/>
      <c r="IKY116" s="38"/>
      <c r="ILE116" s="36"/>
      <c r="ILF116" s="38"/>
      <c r="ILG116" s="38"/>
      <c r="ILM116" s="36"/>
      <c r="ILN116" s="38"/>
      <c r="ILO116" s="38"/>
      <c r="ILU116" s="36"/>
      <c r="ILV116" s="38"/>
      <c r="ILW116" s="38"/>
      <c r="IMC116" s="36"/>
      <c r="IMD116" s="38"/>
      <c r="IME116" s="38"/>
      <c r="IMK116" s="36"/>
      <c r="IML116" s="38"/>
      <c r="IMM116" s="38"/>
      <c r="IMS116" s="36"/>
      <c r="IMT116" s="38"/>
      <c r="IMU116" s="38"/>
      <c r="INA116" s="36"/>
      <c r="INB116" s="38"/>
      <c r="INC116" s="38"/>
      <c r="INI116" s="36"/>
      <c r="INJ116" s="38"/>
      <c r="INK116" s="38"/>
      <c r="INQ116" s="36"/>
      <c r="INR116" s="38"/>
      <c r="INS116" s="38"/>
      <c r="INY116" s="36"/>
      <c r="INZ116" s="38"/>
      <c r="IOA116" s="38"/>
      <c r="IOG116" s="36"/>
      <c r="IOH116" s="38"/>
      <c r="IOI116" s="38"/>
      <c r="IOO116" s="36"/>
      <c r="IOP116" s="38"/>
      <c r="IOQ116" s="38"/>
      <c r="IOW116" s="36"/>
      <c r="IOX116" s="38"/>
      <c r="IOY116" s="38"/>
      <c r="IPE116" s="36"/>
      <c r="IPF116" s="38"/>
      <c r="IPG116" s="38"/>
      <c r="IPM116" s="36"/>
      <c r="IPN116" s="38"/>
      <c r="IPO116" s="38"/>
      <c r="IPU116" s="36"/>
      <c r="IPV116" s="38"/>
      <c r="IPW116" s="38"/>
      <c r="IQC116" s="36"/>
      <c r="IQD116" s="38"/>
      <c r="IQE116" s="38"/>
      <c r="IQK116" s="36"/>
      <c r="IQL116" s="38"/>
      <c r="IQM116" s="38"/>
      <c r="IQS116" s="36"/>
      <c r="IQT116" s="38"/>
      <c r="IQU116" s="38"/>
      <c r="IRA116" s="36"/>
      <c r="IRB116" s="38"/>
      <c r="IRC116" s="38"/>
      <c r="IRI116" s="36"/>
      <c r="IRJ116" s="38"/>
      <c r="IRK116" s="38"/>
      <c r="IRQ116" s="36"/>
      <c r="IRR116" s="38"/>
      <c r="IRS116" s="38"/>
      <c r="IRY116" s="36"/>
      <c r="IRZ116" s="38"/>
      <c r="ISA116" s="38"/>
      <c r="ISG116" s="36"/>
      <c r="ISH116" s="38"/>
      <c r="ISI116" s="38"/>
      <c r="ISO116" s="36"/>
      <c r="ISP116" s="38"/>
      <c r="ISQ116" s="38"/>
      <c r="ISW116" s="36"/>
      <c r="ISX116" s="38"/>
      <c r="ISY116" s="38"/>
      <c r="ITE116" s="36"/>
      <c r="ITF116" s="38"/>
      <c r="ITG116" s="38"/>
      <c r="ITM116" s="36"/>
      <c r="ITN116" s="38"/>
      <c r="ITO116" s="38"/>
      <c r="ITU116" s="36"/>
      <c r="ITV116" s="38"/>
      <c r="ITW116" s="38"/>
      <c r="IUC116" s="36"/>
      <c r="IUD116" s="38"/>
      <c r="IUE116" s="38"/>
      <c r="IUK116" s="36"/>
      <c r="IUL116" s="38"/>
      <c r="IUM116" s="38"/>
      <c r="IUS116" s="36"/>
      <c r="IUT116" s="38"/>
      <c r="IUU116" s="38"/>
      <c r="IVA116" s="36"/>
      <c r="IVB116" s="38"/>
      <c r="IVC116" s="38"/>
      <c r="IVI116" s="36"/>
      <c r="IVJ116" s="38"/>
      <c r="IVK116" s="38"/>
      <c r="IVQ116" s="36"/>
      <c r="IVR116" s="38"/>
      <c r="IVS116" s="38"/>
      <c r="IVY116" s="36"/>
      <c r="IVZ116" s="38"/>
      <c r="IWA116" s="38"/>
      <c r="IWG116" s="36"/>
      <c r="IWH116" s="38"/>
      <c r="IWI116" s="38"/>
      <c r="IWO116" s="36"/>
      <c r="IWP116" s="38"/>
      <c r="IWQ116" s="38"/>
      <c r="IWW116" s="36"/>
      <c r="IWX116" s="38"/>
      <c r="IWY116" s="38"/>
      <c r="IXE116" s="36"/>
      <c r="IXF116" s="38"/>
      <c r="IXG116" s="38"/>
      <c r="IXM116" s="36"/>
      <c r="IXN116" s="38"/>
      <c r="IXO116" s="38"/>
      <c r="IXU116" s="36"/>
      <c r="IXV116" s="38"/>
      <c r="IXW116" s="38"/>
      <c r="IYC116" s="36"/>
      <c r="IYD116" s="38"/>
      <c r="IYE116" s="38"/>
      <c r="IYK116" s="36"/>
      <c r="IYL116" s="38"/>
      <c r="IYM116" s="38"/>
      <c r="IYS116" s="36"/>
      <c r="IYT116" s="38"/>
      <c r="IYU116" s="38"/>
      <c r="IZA116" s="36"/>
      <c r="IZB116" s="38"/>
      <c r="IZC116" s="38"/>
      <c r="IZI116" s="36"/>
      <c r="IZJ116" s="38"/>
      <c r="IZK116" s="38"/>
      <c r="IZQ116" s="36"/>
      <c r="IZR116" s="38"/>
      <c r="IZS116" s="38"/>
      <c r="IZY116" s="36"/>
      <c r="IZZ116" s="38"/>
      <c r="JAA116" s="38"/>
      <c r="JAG116" s="36"/>
      <c r="JAH116" s="38"/>
      <c r="JAI116" s="38"/>
      <c r="JAO116" s="36"/>
      <c r="JAP116" s="38"/>
      <c r="JAQ116" s="38"/>
      <c r="JAW116" s="36"/>
      <c r="JAX116" s="38"/>
      <c r="JAY116" s="38"/>
      <c r="JBE116" s="36"/>
      <c r="JBF116" s="38"/>
      <c r="JBG116" s="38"/>
      <c r="JBM116" s="36"/>
      <c r="JBN116" s="38"/>
      <c r="JBO116" s="38"/>
      <c r="JBU116" s="36"/>
      <c r="JBV116" s="38"/>
      <c r="JBW116" s="38"/>
      <c r="JCC116" s="36"/>
      <c r="JCD116" s="38"/>
      <c r="JCE116" s="38"/>
      <c r="JCK116" s="36"/>
      <c r="JCL116" s="38"/>
      <c r="JCM116" s="38"/>
      <c r="JCS116" s="36"/>
      <c r="JCT116" s="38"/>
      <c r="JCU116" s="38"/>
      <c r="JDA116" s="36"/>
      <c r="JDB116" s="38"/>
      <c r="JDC116" s="38"/>
      <c r="JDI116" s="36"/>
      <c r="JDJ116" s="38"/>
      <c r="JDK116" s="38"/>
      <c r="JDQ116" s="36"/>
      <c r="JDR116" s="38"/>
      <c r="JDS116" s="38"/>
      <c r="JDY116" s="36"/>
      <c r="JDZ116" s="38"/>
      <c r="JEA116" s="38"/>
      <c r="JEG116" s="36"/>
      <c r="JEH116" s="38"/>
      <c r="JEI116" s="38"/>
      <c r="JEO116" s="36"/>
      <c r="JEP116" s="38"/>
      <c r="JEQ116" s="38"/>
      <c r="JEW116" s="36"/>
      <c r="JEX116" s="38"/>
      <c r="JEY116" s="38"/>
      <c r="JFE116" s="36"/>
      <c r="JFF116" s="38"/>
      <c r="JFG116" s="38"/>
      <c r="JFM116" s="36"/>
      <c r="JFN116" s="38"/>
      <c r="JFO116" s="38"/>
      <c r="JFU116" s="36"/>
      <c r="JFV116" s="38"/>
      <c r="JFW116" s="38"/>
      <c r="JGC116" s="36"/>
      <c r="JGD116" s="38"/>
      <c r="JGE116" s="38"/>
      <c r="JGK116" s="36"/>
      <c r="JGL116" s="38"/>
      <c r="JGM116" s="38"/>
      <c r="JGS116" s="36"/>
      <c r="JGT116" s="38"/>
      <c r="JGU116" s="38"/>
      <c r="JHA116" s="36"/>
      <c r="JHB116" s="38"/>
      <c r="JHC116" s="38"/>
      <c r="JHI116" s="36"/>
      <c r="JHJ116" s="38"/>
      <c r="JHK116" s="38"/>
      <c r="JHQ116" s="36"/>
      <c r="JHR116" s="38"/>
      <c r="JHS116" s="38"/>
      <c r="JHY116" s="36"/>
      <c r="JHZ116" s="38"/>
      <c r="JIA116" s="38"/>
      <c r="JIG116" s="36"/>
      <c r="JIH116" s="38"/>
      <c r="JII116" s="38"/>
      <c r="JIO116" s="36"/>
      <c r="JIP116" s="38"/>
      <c r="JIQ116" s="38"/>
      <c r="JIW116" s="36"/>
      <c r="JIX116" s="38"/>
      <c r="JIY116" s="38"/>
      <c r="JJE116" s="36"/>
      <c r="JJF116" s="38"/>
      <c r="JJG116" s="38"/>
      <c r="JJM116" s="36"/>
      <c r="JJN116" s="38"/>
      <c r="JJO116" s="38"/>
      <c r="JJU116" s="36"/>
      <c r="JJV116" s="38"/>
      <c r="JJW116" s="38"/>
      <c r="JKC116" s="36"/>
      <c r="JKD116" s="38"/>
      <c r="JKE116" s="38"/>
      <c r="JKK116" s="36"/>
      <c r="JKL116" s="38"/>
      <c r="JKM116" s="38"/>
      <c r="JKS116" s="36"/>
      <c r="JKT116" s="38"/>
      <c r="JKU116" s="38"/>
      <c r="JLA116" s="36"/>
      <c r="JLB116" s="38"/>
      <c r="JLC116" s="38"/>
      <c r="JLI116" s="36"/>
      <c r="JLJ116" s="38"/>
      <c r="JLK116" s="38"/>
      <c r="JLQ116" s="36"/>
      <c r="JLR116" s="38"/>
      <c r="JLS116" s="38"/>
      <c r="JLY116" s="36"/>
      <c r="JLZ116" s="38"/>
      <c r="JMA116" s="38"/>
      <c r="JMG116" s="36"/>
      <c r="JMH116" s="38"/>
      <c r="JMI116" s="38"/>
      <c r="JMO116" s="36"/>
      <c r="JMP116" s="38"/>
      <c r="JMQ116" s="38"/>
      <c r="JMW116" s="36"/>
      <c r="JMX116" s="38"/>
      <c r="JMY116" s="38"/>
      <c r="JNE116" s="36"/>
      <c r="JNF116" s="38"/>
      <c r="JNG116" s="38"/>
      <c r="JNM116" s="36"/>
      <c r="JNN116" s="38"/>
      <c r="JNO116" s="38"/>
      <c r="JNU116" s="36"/>
      <c r="JNV116" s="38"/>
      <c r="JNW116" s="38"/>
      <c r="JOC116" s="36"/>
      <c r="JOD116" s="38"/>
      <c r="JOE116" s="38"/>
      <c r="JOK116" s="36"/>
      <c r="JOL116" s="38"/>
      <c r="JOM116" s="38"/>
      <c r="JOS116" s="36"/>
      <c r="JOT116" s="38"/>
      <c r="JOU116" s="38"/>
      <c r="JPA116" s="36"/>
      <c r="JPB116" s="38"/>
      <c r="JPC116" s="38"/>
      <c r="JPI116" s="36"/>
      <c r="JPJ116" s="38"/>
      <c r="JPK116" s="38"/>
      <c r="JPQ116" s="36"/>
      <c r="JPR116" s="38"/>
      <c r="JPS116" s="38"/>
      <c r="JPY116" s="36"/>
      <c r="JPZ116" s="38"/>
      <c r="JQA116" s="38"/>
      <c r="JQG116" s="36"/>
      <c r="JQH116" s="38"/>
      <c r="JQI116" s="38"/>
      <c r="JQO116" s="36"/>
      <c r="JQP116" s="38"/>
      <c r="JQQ116" s="38"/>
      <c r="JQW116" s="36"/>
      <c r="JQX116" s="38"/>
      <c r="JQY116" s="38"/>
      <c r="JRE116" s="36"/>
      <c r="JRF116" s="38"/>
      <c r="JRG116" s="38"/>
      <c r="JRM116" s="36"/>
      <c r="JRN116" s="38"/>
      <c r="JRO116" s="38"/>
      <c r="JRU116" s="36"/>
      <c r="JRV116" s="38"/>
      <c r="JRW116" s="38"/>
      <c r="JSC116" s="36"/>
      <c r="JSD116" s="38"/>
      <c r="JSE116" s="38"/>
      <c r="JSK116" s="36"/>
      <c r="JSL116" s="38"/>
      <c r="JSM116" s="38"/>
      <c r="JSS116" s="36"/>
      <c r="JST116" s="38"/>
      <c r="JSU116" s="38"/>
      <c r="JTA116" s="36"/>
      <c r="JTB116" s="38"/>
      <c r="JTC116" s="38"/>
      <c r="JTI116" s="36"/>
      <c r="JTJ116" s="38"/>
      <c r="JTK116" s="38"/>
      <c r="JTQ116" s="36"/>
      <c r="JTR116" s="38"/>
      <c r="JTS116" s="38"/>
      <c r="JTY116" s="36"/>
      <c r="JTZ116" s="38"/>
      <c r="JUA116" s="38"/>
      <c r="JUG116" s="36"/>
      <c r="JUH116" s="38"/>
      <c r="JUI116" s="38"/>
      <c r="JUO116" s="36"/>
      <c r="JUP116" s="38"/>
      <c r="JUQ116" s="38"/>
      <c r="JUW116" s="36"/>
      <c r="JUX116" s="38"/>
      <c r="JUY116" s="38"/>
      <c r="JVE116" s="36"/>
      <c r="JVF116" s="38"/>
      <c r="JVG116" s="38"/>
      <c r="JVM116" s="36"/>
      <c r="JVN116" s="38"/>
      <c r="JVO116" s="38"/>
      <c r="JVU116" s="36"/>
      <c r="JVV116" s="38"/>
      <c r="JVW116" s="38"/>
      <c r="JWC116" s="36"/>
      <c r="JWD116" s="38"/>
      <c r="JWE116" s="38"/>
      <c r="JWK116" s="36"/>
      <c r="JWL116" s="38"/>
      <c r="JWM116" s="38"/>
      <c r="JWS116" s="36"/>
      <c r="JWT116" s="38"/>
      <c r="JWU116" s="38"/>
      <c r="JXA116" s="36"/>
      <c r="JXB116" s="38"/>
      <c r="JXC116" s="38"/>
      <c r="JXI116" s="36"/>
      <c r="JXJ116" s="38"/>
      <c r="JXK116" s="38"/>
      <c r="JXQ116" s="36"/>
      <c r="JXR116" s="38"/>
      <c r="JXS116" s="38"/>
      <c r="JXY116" s="36"/>
      <c r="JXZ116" s="38"/>
      <c r="JYA116" s="38"/>
      <c r="JYG116" s="36"/>
      <c r="JYH116" s="38"/>
      <c r="JYI116" s="38"/>
      <c r="JYO116" s="36"/>
      <c r="JYP116" s="38"/>
      <c r="JYQ116" s="38"/>
      <c r="JYW116" s="36"/>
      <c r="JYX116" s="38"/>
      <c r="JYY116" s="38"/>
      <c r="JZE116" s="36"/>
      <c r="JZF116" s="38"/>
      <c r="JZG116" s="38"/>
      <c r="JZM116" s="36"/>
      <c r="JZN116" s="38"/>
      <c r="JZO116" s="38"/>
      <c r="JZU116" s="36"/>
      <c r="JZV116" s="38"/>
      <c r="JZW116" s="38"/>
      <c r="KAC116" s="36"/>
      <c r="KAD116" s="38"/>
      <c r="KAE116" s="38"/>
      <c r="KAK116" s="36"/>
      <c r="KAL116" s="38"/>
      <c r="KAM116" s="38"/>
      <c r="KAS116" s="36"/>
      <c r="KAT116" s="38"/>
      <c r="KAU116" s="38"/>
      <c r="KBA116" s="36"/>
      <c r="KBB116" s="38"/>
      <c r="KBC116" s="38"/>
      <c r="KBI116" s="36"/>
      <c r="KBJ116" s="38"/>
      <c r="KBK116" s="38"/>
      <c r="KBQ116" s="36"/>
      <c r="KBR116" s="38"/>
      <c r="KBS116" s="38"/>
      <c r="KBY116" s="36"/>
      <c r="KBZ116" s="38"/>
      <c r="KCA116" s="38"/>
      <c r="KCG116" s="36"/>
      <c r="KCH116" s="38"/>
      <c r="KCI116" s="38"/>
      <c r="KCO116" s="36"/>
      <c r="KCP116" s="38"/>
      <c r="KCQ116" s="38"/>
      <c r="KCW116" s="36"/>
      <c r="KCX116" s="38"/>
      <c r="KCY116" s="38"/>
      <c r="KDE116" s="36"/>
      <c r="KDF116" s="38"/>
      <c r="KDG116" s="38"/>
      <c r="KDM116" s="36"/>
      <c r="KDN116" s="38"/>
      <c r="KDO116" s="38"/>
      <c r="KDU116" s="36"/>
      <c r="KDV116" s="38"/>
      <c r="KDW116" s="38"/>
      <c r="KEC116" s="36"/>
      <c r="KED116" s="38"/>
      <c r="KEE116" s="38"/>
      <c r="KEK116" s="36"/>
      <c r="KEL116" s="38"/>
      <c r="KEM116" s="38"/>
      <c r="KES116" s="36"/>
      <c r="KET116" s="38"/>
      <c r="KEU116" s="38"/>
      <c r="KFA116" s="36"/>
      <c r="KFB116" s="38"/>
      <c r="KFC116" s="38"/>
      <c r="KFI116" s="36"/>
      <c r="KFJ116" s="38"/>
      <c r="KFK116" s="38"/>
      <c r="KFQ116" s="36"/>
      <c r="KFR116" s="38"/>
      <c r="KFS116" s="38"/>
      <c r="KFY116" s="36"/>
      <c r="KFZ116" s="38"/>
      <c r="KGA116" s="38"/>
      <c r="KGG116" s="36"/>
      <c r="KGH116" s="38"/>
      <c r="KGI116" s="38"/>
      <c r="KGO116" s="36"/>
      <c r="KGP116" s="38"/>
      <c r="KGQ116" s="38"/>
      <c r="KGW116" s="36"/>
      <c r="KGX116" s="38"/>
      <c r="KGY116" s="38"/>
      <c r="KHE116" s="36"/>
      <c r="KHF116" s="38"/>
      <c r="KHG116" s="38"/>
      <c r="KHM116" s="36"/>
      <c r="KHN116" s="38"/>
      <c r="KHO116" s="38"/>
      <c r="KHU116" s="36"/>
      <c r="KHV116" s="38"/>
      <c r="KHW116" s="38"/>
      <c r="KIC116" s="36"/>
      <c r="KID116" s="38"/>
      <c r="KIE116" s="38"/>
      <c r="KIK116" s="36"/>
      <c r="KIL116" s="38"/>
      <c r="KIM116" s="38"/>
      <c r="KIS116" s="36"/>
      <c r="KIT116" s="38"/>
      <c r="KIU116" s="38"/>
      <c r="KJA116" s="36"/>
      <c r="KJB116" s="38"/>
      <c r="KJC116" s="38"/>
      <c r="KJI116" s="36"/>
      <c r="KJJ116" s="38"/>
      <c r="KJK116" s="38"/>
      <c r="KJQ116" s="36"/>
      <c r="KJR116" s="38"/>
      <c r="KJS116" s="38"/>
      <c r="KJY116" s="36"/>
      <c r="KJZ116" s="38"/>
      <c r="KKA116" s="38"/>
      <c r="KKG116" s="36"/>
      <c r="KKH116" s="38"/>
      <c r="KKI116" s="38"/>
      <c r="KKO116" s="36"/>
      <c r="KKP116" s="38"/>
      <c r="KKQ116" s="38"/>
      <c r="KKW116" s="36"/>
      <c r="KKX116" s="38"/>
      <c r="KKY116" s="38"/>
      <c r="KLE116" s="36"/>
      <c r="KLF116" s="38"/>
      <c r="KLG116" s="38"/>
      <c r="KLM116" s="36"/>
      <c r="KLN116" s="38"/>
      <c r="KLO116" s="38"/>
      <c r="KLU116" s="36"/>
      <c r="KLV116" s="38"/>
      <c r="KLW116" s="38"/>
      <c r="KMC116" s="36"/>
      <c r="KMD116" s="38"/>
      <c r="KME116" s="38"/>
      <c r="KMK116" s="36"/>
      <c r="KML116" s="38"/>
      <c r="KMM116" s="38"/>
      <c r="KMS116" s="36"/>
      <c r="KMT116" s="38"/>
      <c r="KMU116" s="38"/>
      <c r="KNA116" s="36"/>
      <c r="KNB116" s="38"/>
      <c r="KNC116" s="38"/>
      <c r="KNI116" s="36"/>
      <c r="KNJ116" s="38"/>
      <c r="KNK116" s="38"/>
      <c r="KNQ116" s="36"/>
      <c r="KNR116" s="38"/>
      <c r="KNS116" s="38"/>
      <c r="KNY116" s="36"/>
      <c r="KNZ116" s="38"/>
      <c r="KOA116" s="38"/>
      <c r="KOG116" s="36"/>
      <c r="KOH116" s="38"/>
      <c r="KOI116" s="38"/>
      <c r="KOO116" s="36"/>
      <c r="KOP116" s="38"/>
      <c r="KOQ116" s="38"/>
      <c r="KOW116" s="36"/>
      <c r="KOX116" s="38"/>
      <c r="KOY116" s="38"/>
      <c r="KPE116" s="36"/>
      <c r="KPF116" s="38"/>
      <c r="KPG116" s="38"/>
      <c r="KPM116" s="36"/>
      <c r="KPN116" s="38"/>
      <c r="KPO116" s="38"/>
      <c r="KPU116" s="36"/>
      <c r="KPV116" s="38"/>
      <c r="KPW116" s="38"/>
      <c r="KQC116" s="36"/>
      <c r="KQD116" s="38"/>
      <c r="KQE116" s="38"/>
      <c r="KQK116" s="36"/>
      <c r="KQL116" s="38"/>
      <c r="KQM116" s="38"/>
      <c r="KQS116" s="36"/>
      <c r="KQT116" s="38"/>
      <c r="KQU116" s="38"/>
      <c r="KRA116" s="36"/>
      <c r="KRB116" s="38"/>
      <c r="KRC116" s="38"/>
      <c r="KRI116" s="36"/>
      <c r="KRJ116" s="38"/>
      <c r="KRK116" s="38"/>
      <c r="KRQ116" s="36"/>
      <c r="KRR116" s="38"/>
      <c r="KRS116" s="38"/>
      <c r="KRY116" s="36"/>
      <c r="KRZ116" s="38"/>
      <c r="KSA116" s="38"/>
      <c r="KSG116" s="36"/>
      <c r="KSH116" s="38"/>
      <c r="KSI116" s="38"/>
      <c r="KSO116" s="36"/>
      <c r="KSP116" s="38"/>
      <c r="KSQ116" s="38"/>
      <c r="KSW116" s="36"/>
      <c r="KSX116" s="38"/>
      <c r="KSY116" s="38"/>
      <c r="KTE116" s="36"/>
      <c r="KTF116" s="38"/>
      <c r="KTG116" s="38"/>
      <c r="KTM116" s="36"/>
      <c r="KTN116" s="38"/>
      <c r="KTO116" s="38"/>
      <c r="KTU116" s="36"/>
      <c r="KTV116" s="38"/>
      <c r="KTW116" s="38"/>
      <c r="KUC116" s="36"/>
      <c r="KUD116" s="38"/>
      <c r="KUE116" s="38"/>
      <c r="KUK116" s="36"/>
      <c r="KUL116" s="38"/>
      <c r="KUM116" s="38"/>
      <c r="KUS116" s="36"/>
      <c r="KUT116" s="38"/>
      <c r="KUU116" s="38"/>
      <c r="KVA116" s="36"/>
      <c r="KVB116" s="38"/>
      <c r="KVC116" s="38"/>
      <c r="KVI116" s="36"/>
      <c r="KVJ116" s="38"/>
      <c r="KVK116" s="38"/>
      <c r="KVQ116" s="36"/>
      <c r="KVR116" s="38"/>
      <c r="KVS116" s="38"/>
      <c r="KVY116" s="36"/>
      <c r="KVZ116" s="38"/>
      <c r="KWA116" s="38"/>
      <c r="KWG116" s="36"/>
      <c r="KWH116" s="38"/>
      <c r="KWI116" s="38"/>
      <c r="KWO116" s="36"/>
      <c r="KWP116" s="38"/>
      <c r="KWQ116" s="38"/>
      <c r="KWW116" s="36"/>
      <c r="KWX116" s="38"/>
      <c r="KWY116" s="38"/>
      <c r="KXE116" s="36"/>
      <c r="KXF116" s="38"/>
      <c r="KXG116" s="38"/>
      <c r="KXM116" s="36"/>
      <c r="KXN116" s="38"/>
      <c r="KXO116" s="38"/>
      <c r="KXU116" s="36"/>
      <c r="KXV116" s="38"/>
      <c r="KXW116" s="38"/>
      <c r="KYC116" s="36"/>
      <c r="KYD116" s="38"/>
      <c r="KYE116" s="38"/>
      <c r="KYK116" s="36"/>
      <c r="KYL116" s="38"/>
      <c r="KYM116" s="38"/>
      <c r="KYS116" s="36"/>
      <c r="KYT116" s="38"/>
      <c r="KYU116" s="38"/>
      <c r="KZA116" s="36"/>
      <c r="KZB116" s="38"/>
      <c r="KZC116" s="38"/>
      <c r="KZI116" s="36"/>
      <c r="KZJ116" s="38"/>
      <c r="KZK116" s="38"/>
      <c r="KZQ116" s="36"/>
      <c r="KZR116" s="38"/>
      <c r="KZS116" s="38"/>
      <c r="KZY116" s="36"/>
      <c r="KZZ116" s="38"/>
      <c r="LAA116" s="38"/>
      <c r="LAG116" s="36"/>
      <c r="LAH116" s="38"/>
      <c r="LAI116" s="38"/>
      <c r="LAO116" s="36"/>
      <c r="LAP116" s="38"/>
      <c r="LAQ116" s="38"/>
      <c r="LAW116" s="36"/>
      <c r="LAX116" s="38"/>
      <c r="LAY116" s="38"/>
      <c r="LBE116" s="36"/>
      <c r="LBF116" s="38"/>
      <c r="LBG116" s="38"/>
      <c r="LBM116" s="36"/>
      <c r="LBN116" s="38"/>
      <c r="LBO116" s="38"/>
      <c r="LBU116" s="36"/>
      <c r="LBV116" s="38"/>
      <c r="LBW116" s="38"/>
      <c r="LCC116" s="36"/>
      <c r="LCD116" s="38"/>
      <c r="LCE116" s="38"/>
      <c r="LCK116" s="36"/>
      <c r="LCL116" s="38"/>
      <c r="LCM116" s="38"/>
      <c r="LCS116" s="36"/>
      <c r="LCT116" s="38"/>
      <c r="LCU116" s="38"/>
      <c r="LDA116" s="36"/>
      <c r="LDB116" s="38"/>
      <c r="LDC116" s="38"/>
      <c r="LDI116" s="36"/>
      <c r="LDJ116" s="38"/>
      <c r="LDK116" s="38"/>
      <c r="LDQ116" s="36"/>
      <c r="LDR116" s="38"/>
      <c r="LDS116" s="38"/>
      <c r="LDY116" s="36"/>
      <c r="LDZ116" s="38"/>
      <c r="LEA116" s="38"/>
      <c r="LEG116" s="36"/>
      <c r="LEH116" s="38"/>
      <c r="LEI116" s="38"/>
      <c r="LEO116" s="36"/>
      <c r="LEP116" s="38"/>
      <c r="LEQ116" s="38"/>
      <c r="LEW116" s="36"/>
      <c r="LEX116" s="38"/>
      <c r="LEY116" s="38"/>
      <c r="LFE116" s="36"/>
      <c r="LFF116" s="38"/>
      <c r="LFG116" s="38"/>
      <c r="LFM116" s="36"/>
      <c r="LFN116" s="38"/>
      <c r="LFO116" s="38"/>
      <c r="LFU116" s="36"/>
      <c r="LFV116" s="38"/>
      <c r="LFW116" s="38"/>
      <c r="LGC116" s="36"/>
      <c r="LGD116" s="38"/>
      <c r="LGE116" s="38"/>
      <c r="LGK116" s="36"/>
      <c r="LGL116" s="38"/>
      <c r="LGM116" s="38"/>
      <c r="LGS116" s="36"/>
      <c r="LGT116" s="38"/>
      <c r="LGU116" s="38"/>
      <c r="LHA116" s="36"/>
      <c r="LHB116" s="38"/>
      <c r="LHC116" s="38"/>
      <c r="LHI116" s="36"/>
      <c r="LHJ116" s="38"/>
      <c r="LHK116" s="38"/>
      <c r="LHQ116" s="36"/>
      <c r="LHR116" s="38"/>
      <c r="LHS116" s="38"/>
      <c r="LHY116" s="36"/>
      <c r="LHZ116" s="38"/>
      <c r="LIA116" s="38"/>
      <c r="LIG116" s="36"/>
      <c r="LIH116" s="38"/>
      <c r="LII116" s="38"/>
      <c r="LIO116" s="36"/>
      <c r="LIP116" s="38"/>
      <c r="LIQ116" s="38"/>
      <c r="LIW116" s="36"/>
      <c r="LIX116" s="38"/>
      <c r="LIY116" s="38"/>
      <c r="LJE116" s="36"/>
      <c r="LJF116" s="38"/>
      <c r="LJG116" s="38"/>
      <c r="LJM116" s="36"/>
      <c r="LJN116" s="38"/>
      <c r="LJO116" s="38"/>
      <c r="LJU116" s="36"/>
      <c r="LJV116" s="38"/>
      <c r="LJW116" s="38"/>
      <c r="LKC116" s="36"/>
      <c r="LKD116" s="38"/>
      <c r="LKE116" s="38"/>
      <c r="LKK116" s="36"/>
      <c r="LKL116" s="38"/>
      <c r="LKM116" s="38"/>
      <c r="LKS116" s="36"/>
      <c r="LKT116" s="38"/>
      <c r="LKU116" s="38"/>
      <c r="LLA116" s="36"/>
      <c r="LLB116" s="38"/>
      <c r="LLC116" s="38"/>
      <c r="LLI116" s="36"/>
      <c r="LLJ116" s="38"/>
      <c r="LLK116" s="38"/>
      <c r="LLQ116" s="36"/>
      <c r="LLR116" s="38"/>
      <c r="LLS116" s="38"/>
      <c r="LLY116" s="36"/>
      <c r="LLZ116" s="38"/>
      <c r="LMA116" s="38"/>
      <c r="LMG116" s="36"/>
      <c r="LMH116" s="38"/>
      <c r="LMI116" s="38"/>
      <c r="LMO116" s="36"/>
      <c r="LMP116" s="38"/>
      <c r="LMQ116" s="38"/>
      <c r="LMW116" s="36"/>
      <c r="LMX116" s="38"/>
      <c r="LMY116" s="38"/>
      <c r="LNE116" s="36"/>
      <c r="LNF116" s="38"/>
      <c r="LNG116" s="38"/>
      <c r="LNM116" s="36"/>
      <c r="LNN116" s="38"/>
      <c r="LNO116" s="38"/>
      <c r="LNU116" s="36"/>
      <c r="LNV116" s="38"/>
      <c r="LNW116" s="38"/>
      <c r="LOC116" s="36"/>
      <c r="LOD116" s="38"/>
      <c r="LOE116" s="38"/>
      <c r="LOK116" s="36"/>
      <c r="LOL116" s="38"/>
      <c r="LOM116" s="38"/>
      <c r="LOS116" s="36"/>
      <c r="LOT116" s="38"/>
      <c r="LOU116" s="38"/>
      <c r="LPA116" s="36"/>
      <c r="LPB116" s="38"/>
      <c r="LPC116" s="38"/>
      <c r="LPI116" s="36"/>
      <c r="LPJ116" s="38"/>
      <c r="LPK116" s="38"/>
      <c r="LPQ116" s="36"/>
      <c r="LPR116" s="38"/>
      <c r="LPS116" s="38"/>
      <c r="LPY116" s="36"/>
      <c r="LPZ116" s="38"/>
      <c r="LQA116" s="38"/>
      <c r="LQG116" s="36"/>
      <c r="LQH116" s="38"/>
      <c r="LQI116" s="38"/>
      <c r="LQO116" s="36"/>
      <c r="LQP116" s="38"/>
      <c r="LQQ116" s="38"/>
      <c r="LQW116" s="36"/>
      <c r="LQX116" s="38"/>
      <c r="LQY116" s="38"/>
      <c r="LRE116" s="36"/>
      <c r="LRF116" s="38"/>
      <c r="LRG116" s="38"/>
      <c r="LRM116" s="36"/>
      <c r="LRN116" s="38"/>
      <c r="LRO116" s="38"/>
      <c r="LRU116" s="36"/>
      <c r="LRV116" s="38"/>
      <c r="LRW116" s="38"/>
      <c r="LSC116" s="36"/>
      <c r="LSD116" s="38"/>
      <c r="LSE116" s="38"/>
      <c r="LSK116" s="36"/>
      <c r="LSL116" s="38"/>
      <c r="LSM116" s="38"/>
      <c r="LSS116" s="36"/>
      <c r="LST116" s="38"/>
      <c r="LSU116" s="38"/>
      <c r="LTA116" s="36"/>
      <c r="LTB116" s="38"/>
      <c r="LTC116" s="38"/>
      <c r="LTI116" s="36"/>
      <c r="LTJ116" s="38"/>
      <c r="LTK116" s="38"/>
      <c r="LTQ116" s="36"/>
      <c r="LTR116" s="38"/>
      <c r="LTS116" s="38"/>
      <c r="LTY116" s="36"/>
      <c r="LTZ116" s="38"/>
      <c r="LUA116" s="38"/>
      <c r="LUG116" s="36"/>
      <c r="LUH116" s="38"/>
      <c r="LUI116" s="38"/>
      <c r="LUO116" s="36"/>
      <c r="LUP116" s="38"/>
      <c r="LUQ116" s="38"/>
      <c r="LUW116" s="36"/>
      <c r="LUX116" s="38"/>
      <c r="LUY116" s="38"/>
      <c r="LVE116" s="36"/>
      <c r="LVF116" s="38"/>
      <c r="LVG116" s="38"/>
      <c r="LVM116" s="36"/>
      <c r="LVN116" s="38"/>
      <c r="LVO116" s="38"/>
      <c r="LVU116" s="36"/>
      <c r="LVV116" s="38"/>
      <c r="LVW116" s="38"/>
      <c r="LWC116" s="36"/>
      <c r="LWD116" s="38"/>
      <c r="LWE116" s="38"/>
      <c r="LWK116" s="36"/>
      <c r="LWL116" s="38"/>
      <c r="LWM116" s="38"/>
      <c r="LWS116" s="36"/>
      <c r="LWT116" s="38"/>
      <c r="LWU116" s="38"/>
      <c r="LXA116" s="36"/>
      <c r="LXB116" s="38"/>
      <c r="LXC116" s="38"/>
      <c r="LXI116" s="36"/>
      <c r="LXJ116" s="38"/>
      <c r="LXK116" s="38"/>
      <c r="LXQ116" s="36"/>
      <c r="LXR116" s="38"/>
      <c r="LXS116" s="38"/>
      <c r="LXY116" s="36"/>
      <c r="LXZ116" s="38"/>
      <c r="LYA116" s="38"/>
      <c r="LYG116" s="36"/>
      <c r="LYH116" s="38"/>
      <c r="LYI116" s="38"/>
      <c r="LYO116" s="36"/>
      <c r="LYP116" s="38"/>
      <c r="LYQ116" s="38"/>
      <c r="LYW116" s="36"/>
      <c r="LYX116" s="38"/>
      <c r="LYY116" s="38"/>
      <c r="LZE116" s="36"/>
      <c r="LZF116" s="38"/>
      <c r="LZG116" s="38"/>
      <c r="LZM116" s="36"/>
      <c r="LZN116" s="38"/>
      <c r="LZO116" s="38"/>
      <c r="LZU116" s="36"/>
      <c r="LZV116" s="38"/>
      <c r="LZW116" s="38"/>
      <c r="MAC116" s="36"/>
      <c r="MAD116" s="38"/>
      <c r="MAE116" s="38"/>
      <c r="MAK116" s="36"/>
      <c r="MAL116" s="38"/>
      <c r="MAM116" s="38"/>
      <c r="MAS116" s="36"/>
      <c r="MAT116" s="38"/>
      <c r="MAU116" s="38"/>
      <c r="MBA116" s="36"/>
      <c r="MBB116" s="38"/>
      <c r="MBC116" s="38"/>
      <c r="MBI116" s="36"/>
      <c r="MBJ116" s="38"/>
      <c r="MBK116" s="38"/>
      <c r="MBQ116" s="36"/>
      <c r="MBR116" s="38"/>
      <c r="MBS116" s="38"/>
      <c r="MBY116" s="36"/>
      <c r="MBZ116" s="38"/>
      <c r="MCA116" s="38"/>
      <c r="MCG116" s="36"/>
      <c r="MCH116" s="38"/>
      <c r="MCI116" s="38"/>
      <c r="MCO116" s="36"/>
      <c r="MCP116" s="38"/>
      <c r="MCQ116" s="38"/>
      <c r="MCW116" s="36"/>
      <c r="MCX116" s="38"/>
      <c r="MCY116" s="38"/>
      <c r="MDE116" s="36"/>
      <c r="MDF116" s="38"/>
      <c r="MDG116" s="38"/>
      <c r="MDM116" s="36"/>
      <c r="MDN116" s="38"/>
      <c r="MDO116" s="38"/>
      <c r="MDU116" s="36"/>
      <c r="MDV116" s="38"/>
      <c r="MDW116" s="38"/>
      <c r="MEC116" s="36"/>
      <c r="MED116" s="38"/>
      <c r="MEE116" s="38"/>
      <c r="MEK116" s="36"/>
      <c r="MEL116" s="38"/>
      <c r="MEM116" s="38"/>
      <c r="MES116" s="36"/>
      <c r="MET116" s="38"/>
      <c r="MEU116" s="38"/>
      <c r="MFA116" s="36"/>
      <c r="MFB116" s="38"/>
      <c r="MFC116" s="38"/>
      <c r="MFI116" s="36"/>
      <c r="MFJ116" s="38"/>
      <c r="MFK116" s="38"/>
      <c r="MFQ116" s="36"/>
      <c r="MFR116" s="38"/>
      <c r="MFS116" s="38"/>
      <c r="MFY116" s="36"/>
      <c r="MFZ116" s="38"/>
      <c r="MGA116" s="38"/>
      <c r="MGG116" s="36"/>
      <c r="MGH116" s="38"/>
      <c r="MGI116" s="38"/>
      <c r="MGO116" s="36"/>
      <c r="MGP116" s="38"/>
      <c r="MGQ116" s="38"/>
      <c r="MGW116" s="36"/>
      <c r="MGX116" s="38"/>
      <c r="MGY116" s="38"/>
      <c r="MHE116" s="36"/>
      <c r="MHF116" s="38"/>
      <c r="MHG116" s="38"/>
      <c r="MHM116" s="36"/>
      <c r="MHN116" s="38"/>
      <c r="MHO116" s="38"/>
      <c r="MHU116" s="36"/>
      <c r="MHV116" s="38"/>
      <c r="MHW116" s="38"/>
      <c r="MIC116" s="36"/>
      <c r="MID116" s="38"/>
      <c r="MIE116" s="38"/>
      <c r="MIK116" s="36"/>
      <c r="MIL116" s="38"/>
      <c r="MIM116" s="38"/>
      <c r="MIS116" s="36"/>
      <c r="MIT116" s="38"/>
      <c r="MIU116" s="38"/>
      <c r="MJA116" s="36"/>
      <c r="MJB116" s="38"/>
      <c r="MJC116" s="38"/>
      <c r="MJI116" s="36"/>
      <c r="MJJ116" s="38"/>
      <c r="MJK116" s="38"/>
      <c r="MJQ116" s="36"/>
      <c r="MJR116" s="38"/>
      <c r="MJS116" s="38"/>
      <c r="MJY116" s="36"/>
      <c r="MJZ116" s="38"/>
      <c r="MKA116" s="38"/>
      <c r="MKG116" s="36"/>
      <c r="MKH116" s="38"/>
      <c r="MKI116" s="38"/>
      <c r="MKO116" s="36"/>
      <c r="MKP116" s="38"/>
      <c r="MKQ116" s="38"/>
      <c r="MKW116" s="36"/>
      <c r="MKX116" s="38"/>
      <c r="MKY116" s="38"/>
      <c r="MLE116" s="36"/>
      <c r="MLF116" s="38"/>
      <c r="MLG116" s="38"/>
      <c r="MLM116" s="36"/>
      <c r="MLN116" s="38"/>
      <c r="MLO116" s="38"/>
      <c r="MLU116" s="36"/>
      <c r="MLV116" s="38"/>
      <c r="MLW116" s="38"/>
      <c r="MMC116" s="36"/>
      <c r="MMD116" s="38"/>
      <c r="MME116" s="38"/>
      <c r="MMK116" s="36"/>
      <c r="MML116" s="38"/>
      <c r="MMM116" s="38"/>
      <c r="MMS116" s="36"/>
      <c r="MMT116" s="38"/>
      <c r="MMU116" s="38"/>
      <c r="MNA116" s="36"/>
      <c r="MNB116" s="38"/>
      <c r="MNC116" s="38"/>
      <c r="MNI116" s="36"/>
      <c r="MNJ116" s="38"/>
      <c r="MNK116" s="38"/>
      <c r="MNQ116" s="36"/>
      <c r="MNR116" s="38"/>
      <c r="MNS116" s="38"/>
      <c r="MNY116" s="36"/>
      <c r="MNZ116" s="38"/>
      <c r="MOA116" s="38"/>
      <c r="MOG116" s="36"/>
      <c r="MOH116" s="38"/>
      <c r="MOI116" s="38"/>
      <c r="MOO116" s="36"/>
      <c r="MOP116" s="38"/>
      <c r="MOQ116" s="38"/>
      <c r="MOW116" s="36"/>
      <c r="MOX116" s="38"/>
      <c r="MOY116" s="38"/>
      <c r="MPE116" s="36"/>
      <c r="MPF116" s="38"/>
      <c r="MPG116" s="38"/>
      <c r="MPM116" s="36"/>
      <c r="MPN116" s="38"/>
      <c r="MPO116" s="38"/>
      <c r="MPU116" s="36"/>
      <c r="MPV116" s="38"/>
      <c r="MPW116" s="38"/>
      <c r="MQC116" s="36"/>
      <c r="MQD116" s="38"/>
      <c r="MQE116" s="38"/>
      <c r="MQK116" s="36"/>
      <c r="MQL116" s="38"/>
      <c r="MQM116" s="38"/>
      <c r="MQS116" s="36"/>
      <c r="MQT116" s="38"/>
      <c r="MQU116" s="38"/>
      <c r="MRA116" s="36"/>
      <c r="MRB116" s="38"/>
      <c r="MRC116" s="38"/>
      <c r="MRI116" s="36"/>
      <c r="MRJ116" s="38"/>
      <c r="MRK116" s="38"/>
      <c r="MRQ116" s="36"/>
      <c r="MRR116" s="38"/>
      <c r="MRS116" s="38"/>
      <c r="MRY116" s="36"/>
      <c r="MRZ116" s="38"/>
      <c r="MSA116" s="38"/>
      <c r="MSG116" s="36"/>
      <c r="MSH116" s="38"/>
      <c r="MSI116" s="38"/>
      <c r="MSO116" s="36"/>
      <c r="MSP116" s="38"/>
      <c r="MSQ116" s="38"/>
      <c r="MSW116" s="36"/>
      <c r="MSX116" s="38"/>
      <c r="MSY116" s="38"/>
      <c r="MTE116" s="36"/>
      <c r="MTF116" s="38"/>
      <c r="MTG116" s="38"/>
      <c r="MTM116" s="36"/>
      <c r="MTN116" s="38"/>
      <c r="MTO116" s="38"/>
      <c r="MTU116" s="36"/>
      <c r="MTV116" s="38"/>
      <c r="MTW116" s="38"/>
      <c r="MUC116" s="36"/>
      <c r="MUD116" s="38"/>
      <c r="MUE116" s="38"/>
      <c r="MUK116" s="36"/>
      <c r="MUL116" s="38"/>
      <c r="MUM116" s="38"/>
      <c r="MUS116" s="36"/>
      <c r="MUT116" s="38"/>
      <c r="MUU116" s="38"/>
      <c r="MVA116" s="36"/>
      <c r="MVB116" s="38"/>
      <c r="MVC116" s="38"/>
      <c r="MVI116" s="36"/>
      <c r="MVJ116" s="38"/>
      <c r="MVK116" s="38"/>
      <c r="MVQ116" s="36"/>
      <c r="MVR116" s="38"/>
      <c r="MVS116" s="38"/>
      <c r="MVY116" s="36"/>
      <c r="MVZ116" s="38"/>
      <c r="MWA116" s="38"/>
      <c r="MWG116" s="36"/>
      <c r="MWH116" s="38"/>
      <c r="MWI116" s="38"/>
      <c r="MWO116" s="36"/>
      <c r="MWP116" s="38"/>
      <c r="MWQ116" s="38"/>
      <c r="MWW116" s="36"/>
      <c r="MWX116" s="38"/>
      <c r="MWY116" s="38"/>
      <c r="MXE116" s="36"/>
      <c r="MXF116" s="38"/>
      <c r="MXG116" s="38"/>
      <c r="MXM116" s="36"/>
      <c r="MXN116" s="38"/>
      <c r="MXO116" s="38"/>
      <c r="MXU116" s="36"/>
      <c r="MXV116" s="38"/>
      <c r="MXW116" s="38"/>
      <c r="MYC116" s="36"/>
      <c r="MYD116" s="38"/>
      <c r="MYE116" s="38"/>
      <c r="MYK116" s="36"/>
      <c r="MYL116" s="38"/>
      <c r="MYM116" s="38"/>
      <c r="MYS116" s="36"/>
      <c r="MYT116" s="38"/>
      <c r="MYU116" s="38"/>
      <c r="MZA116" s="36"/>
      <c r="MZB116" s="38"/>
      <c r="MZC116" s="38"/>
      <c r="MZI116" s="36"/>
      <c r="MZJ116" s="38"/>
      <c r="MZK116" s="38"/>
      <c r="MZQ116" s="36"/>
      <c r="MZR116" s="38"/>
      <c r="MZS116" s="38"/>
      <c r="MZY116" s="36"/>
      <c r="MZZ116" s="38"/>
      <c r="NAA116" s="38"/>
      <c r="NAG116" s="36"/>
      <c r="NAH116" s="38"/>
      <c r="NAI116" s="38"/>
      <c r="NAO116" s="36"/>
      <c r="NAP116" s="38"/>
      <c r="NAQ116" s="38"/>
      <c r="NAW116" s="36"/>
      <c r="NAX116" s="38"/>
      <c r="NAY116" s="38"/>
      <c r="NBE116" s="36"/>
      <c r="NBF116" s="38"/>
      <c r="NBG116" s="38"/>
      <c r="NBM116" s="36"/>
      <c r="NBN116" s="38"/>
      <c r="NBO116" s="38"/>
      <c r="NBU116" s="36"/>
      <c r="NBV116" s="38"/>
      <c r="NBW116" s="38"/>
      <c r="NCC116" s="36"/>
      <c r="NCD116" s="38"/>
      <c r="NCE116" s="38"/>
      <c r="NCK116" s="36"/>
      <c r="NCL116" s="38"/>
      <c r="NCM116" s="38"/>
      <c r="NCS116" s="36"/>
      <c r="NCT116" s="38"/>
      <c r="NCU116" s="38"/>
      <c r="NDA116" s="36"/>
      <c r="NDB116" s="38"/>
      <c r="NDC116" s="38"/>
      <c r="NDI116" s="36"/>
      <c r="NDJ116" s="38"/>
      <c r="NDK116" s="38"/>
      <c r="NDQ116" s="36"/>
      <c r="NDR116" s="38"/>
      <c r="NDS116" s="38"/>
      <c r="NDY116" s="36"/>
      <c r="NDZ116" s="38"/>
      <c r="NEA116" s="38"/>
      <c r="NEG116" s="36"/>
      <c r="NEH116" s="38"/>
      <c r="NEI116" s="38"/>
      <c r="NEO116" s="36"/>
      <c r="NEP116" s="38"/>
      <c r="NEQ116" s="38"/>
      <c r="NEW116" s="36"/>
      <c r="NEX116" s="38"/>
      <c r="NEY116" s="38"/>
      <c r="NFE116" s="36"/>
      <c r="NFF116" s="38"/>
      <c r="NFG116" s="38"/>
      <c r="NFM116" s="36"/>
      <c r="NFN116" s="38"/>
      <c r="NFO116" s="38"/>
      <c r="NFU116" s="36"/>
      <c r="NFV116" s="38"/>
      <c r="NFW116" s="38"/>
      <c r="NGC116" s="36"/>
      <c r="NGD116" s="38"/>
      <c r="NGE116" s="38"/>
      <c r="NGK116" s="36"/>
      <c r="NGL116" s="38"/>
      <c r="NGM116" s="38"/>
      <c r="NGS116" s="36"/>
      <c r="NGT116" s="38"/>
      <c r="NGU116" s="38"/>
      <c r="NHA116" s="36"/>
      <c r="NHB116" s="38"/>
      <c r="NHC116" s="38"/>
      <c r="NHI116" s="36"/>
      <c r="NHJ116" s="38"/>
      <c r="NHK116" s="38"/>
      <c r="NHQ116" s="36"/>
      <c r="NHR116" s="38"/>
      <c r="NHS116" s="38"/>
      <c r="NHY116" s="36"/>
      <c r="NHZ116" s="38"/>
      <c r="NIA116" s="38"/>
      <c r="NIG116" s="36"/>
      <c r="NIH116" s="38"/>
      <c r="NII116" s="38"/>
      <c r="NIO116" s="36"/>
      <c r="NIP116" s="38"/>
      <c r="NIQ116" s="38"/>
      <c r="NIW116" s="36"/>
      <c r="NIX116" s="38"/>
      <c r="NIY116" s="38"/>
      <c r="NJE116" s="36"/>
      <c r="NJF116" s="38"/>
      <c r="NJG116" s="38"/>
      <c r="NJM116" s="36"/>
      <c r="NJN116" s="38"/>
      <c r="NJO116" s="38"/>
      <c r="NJU116" s="36"/>
      <c r="NJV116" s="38"/>
      <c r="NJW116" s="38"/>
      <c r="NKC116" s="36"/>
      <c r="NKD116" s="38"/>
      <c r="NKE116" s="38"/>
      <c r="NKK116" s="36"/>
      <c r="NKL116" s="38"/>
      <c r="NKM116" s="38"/>
      <c r="NKS116" s="36"/>
      <c r="NKT116" s="38"/>
      <c r="NKU116" s="38"/>
      <c r="NLA116" s="36"/>
      <c r="NLB116" s="38"/>
      <c r="NLC116" s="38"/>
      <c r="NLI116" s="36"/>
      <c r="NLJ116" s="38"/>
      <c r="NLK116" s="38"/>
      <c r="NLQ116" s="36"/>
      <c r="NLR116" s="38"/>
      <c r="NLS116" s="38"/>
      <c r="NLY116" s="36"/>
      <c r="NLZ116" s="38"/>
      <c r="NMA116" s="38"/>
      <c r="NMG116" s="36"/>
      <c r="NMH116" s="38"/>
      <c r="NMI116" s="38"/>
      <c r="NMO116" s="36"/>
      <c r="NMP116" s="38"/>
      <c r="NMQ116" s="38"/>
      <c r="NMW116" s="36"/>
      <c r="NMX116" s="38"/>
      <c r="NMY116" s="38"/>
      <c r="NNE116" s="36"/>
      <c r="NNF116" s="38"/>
      <c r="NNG116" s="38"/>
      <c r="NNM116" s="36"/>
      <c r="NNN116" s="38"/>
      <c r="NNO116" s="38"/>
      <c r="NNU116" s="36"/>
      <c r="NNV116" s="38"/>
      <c r="NNW116" s="38"/>
      <c r="NOC116" s="36"/>
      <c r="NOD116" s="38"/>
      <c r="NOE116" s="38"/>
      <c r="NOK116" s="36"/>
      <c r="NOL116" s="38"/>
      <c r="NOM116" s="38"/>
      <c r="NOS116" s="36"/>
      <c r="NOT116" s="38"/>
      <c r="NOU116" s="38"/>
      <c r="NPA116" s="36"/>
      <c r="NPB116" s="38"/>
      <c r="NPC116" s="38"/>
      <c r="NPI116" s="36"/>
      <c r="NPJ116" s="38"/>
      <c r="NPK116" s="38"/>
      <c r="NPQ116" s="36"/>
      <c r="NPR116" s="38"/>
      <c r="NPS116" s="38"/>
      <c r="NPY116" s="36"/>
      <c r="NPZ116" s="38"/>
      <c r="NQA116" s="38"/>
      <c r="NQG116" s="36"/>
      <c r="NQH116" s="38"/>
      <c r="NQI116" s="38"/>
      <c r="NQO116" s="36"/>
      <c r="NQP116" s="38"/>
      <c r="NQQ116" s="38"/>
      <c r="NQW116" s="36"/>
      <c r="NQX116" s="38"/>
      <c r="NQY116" s="38"/>
      <c r="NRE116" s="36"/>
      <c r="NRF116" s="38"/>
      <c r="NRG116" s="38"/>
      <c r="NRM116" s="36"/>
      <c r="NRN116" s="38"/>
      <c r="NRO116" s="38"/>
      <c r="NRU116" s="36"/>
      <c r="NRV116" s="38"/>
      <c r="NRW116" s="38"/>
      <c r="NSC116" s="36"/>
      <c r="NSD116" s="38"/>
      <c r="NSE116" s="38"/>
      <c r="NSK116" s="36"/>
      <c r="NSL116" s="38"/>
      <c r="NSM116" s="38"/>
      <c r="NSS116" s="36"/>
      <c r="NST116" s="38"/>
      <c r="NSU116" s="38"/>
      <c r="NTA116" s="36"/>
      <c r="NTB116" s="38"/>
      <c r="NTC116" s="38"/>
      <c r="NTI116" s="36"/>
      <c r="NTJ116" s="38"/>
      <c r="NTK116" s="38"/>
      <c r="NTQ116" s="36"/>
      <c r="NTR116" s="38"/>
      <c r="NTS116" s="38"/>
      <c r="NTY116" s="36"/>
      <c r="NTZ116" s="38"/>
      <c r="NUA116" s="38"/>
      <c r="NUG116" s="36"/>
      <c r="NUH116" s="38"/>
      <c r="NUI116" s="38"/>
      <c r="NUO116" s="36"/>
      <c r="NUP116" s="38"/>
      <c r="NUQ116" s="38"/>
      <c r="NUW116" s="36"/>
      <c r="NUX116" s="38"/>
      <c r="NUY116" s="38"/>
      <c r="NVE116" s="36"/>
      <c r="NVF116" s="38"/>
      <c r="NVG116" s="38"/>
      <c r="NVM116" s="36"/>
      <c r="NVN116" s="38"/>
      <c r="NVO116" s="38"/>
      <c r="NVU116" s="36"/>
      <c r="NVV116" s="38"/>
      <c r="NVW116" s="38"/>
      <c r="NWC116" s="36"/>
      <c r="NWD116" s="38"/>
      <c r="NWE116" s="38"/>
      <c r="NWK116" s="36"/>
      <c r="NWL116" s="38"/>
      <c r="NWM116" s="38"/>
      <c r="NWS116" s="36"/>
      <c r="NWT116" s="38"/>
      <c r="NWU116" s="38"/>
      <c r="NXA116" s="36"/>
      <c r="NXB116" s="38"/>
      <c r="NXC116" s="38"/>
      <c r="NXI116" s="36"/>
      <c r="NXJ116" s="38"/>
      <c r="NXK116" s="38"/>
      <c r="NXQ116" s="36"/>
      <c r="NXR116" s="38"/>
      <c r="NXS116" s="38"/>
      <c r="NXY116" s="36"/>
      <c r="NXZ116" s="38"/>
      <c r="NYA116" s="38"/>
      <c r="NYG116" s="36"/>
      <c r="NYH116" s="38"/>
      <c r="NYI116" s="38"/>
      <c r="NYO116" s="36"/>
      <c r="NYP116" s="38"/>
      <c r="NYQ116" s="38"/>
      <c r="NYW116" s="36"/>
      <c r="NYX116" s="38"/>
      <c r="NYY116" s="38"/>
      <c r="NZE116" s="36"/>
      <c r="NZF116" s="38"/>
      <c r="NZG116" s="38"/>
      <c r="NZM116" s="36"/>
      <c r="NZN116" s="38"/>
      <c r="NZO116" s="38"/>
      <c r="NZU116" s="36"/>
      <c r="NZV116" s="38"/>
      <c r="NZW116" s="38"/>
      <c r="OAC116" s="36"/>
      <c r="OAD116" s="38"/>
      <c r="OAE116" s="38"/>
      <c r="OAK116" s="36"/>
      <c r="OAL116" s="38"/>
      <c r="OAM116" s="38"/>
      <c r="OAS116" s="36"/>
      <c r="OAT116" s="38"/>
      <c r="OAU116" s="38"/>
      <c r="OBA116" s="36"/>
      <c r="OBB116" s="38"/>
      <c r="OBC116" s="38"/>
      <c r="OBI116" s="36"/>
      <c r="OBJ116" s="38"/>
      <c r="OBK116" s="38"/>
      <c r="OBQ116" s="36"/>
      <c r="OBR116" s="38"/>
      <c r="OBS116" s="38"/>
      <c r="OBY116" s="36"/>
      <c r="OBZ116" s="38"/>
      <c r="OCA116" s="38"/>
      <c r="OCG116" s="36"/>
      <c r="OCH116" s="38"/>
      <c r="OCI116" s="38"/>
      <c r="OCO116" s="36"/>
      <c r="OCP116" s="38"/>
      <c r="OCQ116" s="38"/>
      <c r="OCW116" s="36"/>
      <c r="OCX116" s="38"/>
      <c r="OCY116" s="38"/>
      <c r="ODE116" s="36"/>
      <c r="ODF116" s="38"/>
      <c r="ODG116" s="38"/>
      <c r="ODM116" s="36"/>
      <c r="ODN116" s="38"/>
      <c r="ODO116" s="38"/>
      <c r="ODU116" s="36"/>
      <c r="ODV116" s="38"/>
      <c r="ODW116" s="38"/>
      <c r="OEC116" s="36"/>
      <c r="OED116" s="38"/>
      <c r="OEE116" s="38"/>
      <c r="OEK116" s="36"/>
      <c r="OEL116" s="38"/>
      <c r="OEM116" s="38"/>
      <c r="OES116" s="36"/>
      <c r="OET116" s="38"/>
      <c r="OEU116" s="38"/>
      <c r="OFA116" s="36"/>
      <c r="OFB116" s="38"/>
      <c r="OFC116" s="38"/>
      <c r="OFI116" s="36"/>
      <c r="OFJ116" s="38"/>
      <c r="OFK116" s="38"/>
      <c r="OFQ116" s="36"/>
      <c r="OFR116" s="38"/>
      <c r="OFS116" s="38"/>
      <c r="OFY116" s="36"/>
      <c r="OFZ116" s="38"/>
      <c r="OGA116" s="38"/>
      <c r="OGG116" s="36"/>
      <c r="OGH116" s="38"/>
      <c r="OGI116" s="38"/>
      <c r="OGO116" s="36"/>
      <c r="OGP116" s="38"/>
      <c r="OGQ116" s="38"/>
      <c r="OGW116" s="36"/>
      <c r="OGX116" s="38"/>
      <c r="OGY116" s="38"/>
      <c r="OHE116" s="36"/>
      <c r="OHF116" s="38"/>
      <c r="OHG116" s="38"/>
      <c r="OHM116" s="36"/>
      <c r="OHN116" s="38"/>
      <c r="OHO116" s="38"/>
      <c r="OHU116" s="36"/>
      <c r="OHV116" s="38"/>
      <c r="OHW116" s="38"/>
      <c r="OIC116" s="36"/>
      <c r="OID116" s="38"/>
      <c r="OIE116" s="38"/>
      <c r="OIK116" s="36"/>
      <c r="OIL116" s="38"/>
      <c r="OIM116" s="38"/>
      <c r="OIS116" s="36"/>
      <c r="OIT116" s="38"/>
      <c r="OIU116" s="38"/>
      <c r="OJA116" s="36"/>
      <c r="OJB116" s="38"/>
      <c r="OJC116" s="38"/>
      <c r="OJI116" s="36"/>
      <c r="OJJ116" s="38"/>
      <c r="OJK116" s="38"/>
      <c r="OJQ116" s="36"/>
      <c r="OJR116" s="38"/>
      <c r="OJS116" s="38"/>
      <c r="OJY116" s="36"/>
      <c r="OJZ116" s="38"/>
      <c r="OKA116" s="38"/>
      <c r="OKG116" s="36"/>
      <c r="OKH116" s="38"/>
      <c r="OKI116" s="38"/>
      <c r="OKO116" s="36"/>
      <c r="OKP116" s="38"/>
      <c r="OKQ116" s="38"/>
      <c r="OKW116" s="36"/>
      <c r="OKX116" s="38"/>
      <c r="OKY116" s="38"/>
      <c r="OLE116" s="36"/>
      <c r="OLF116" s="38"/>
      <c r="OLG116" s="38"/>
      <c r="OLM116" s="36"/>
      <c r="OLN116" s="38"/>
      <c r="OLO116" s="38"/>
      <c r="OLU116" s="36"/>
      <c r="OLV116" s="38"/>
      <c r="OLW116" s="38"/>
      <c r="OMC116" s="36"/>
      <c r="OMD116" s="38"/>
      <c r="OME116" s="38"/>
      <c r="OMK116" s="36"/>
      <c r="OML116" s="38"/>
      <c r="OMM116" s="38"/>
      <c r="OMS116" s="36"/>
      <c r="OMT116" s="38"/>
      <c r="OMU116" s="38"/>
      <c r="ONA116" s="36"/>
      <c r="ONB116" s="38"/>
      <c r="ONC116" s="38"/>
      <c r="ONI116" s="36"/>
      <c r="ONJ116" s="38"/>
      <c r="ONK116" s="38"/>
      <c r="ONQ116" s="36"/>
      <c r="ONR116" s="38"/>
      <c r="ONS116" s="38"/>
      <c r="ONY116" s="36"/>
      <c r="ONZ116" s="38"/>
      <c r="OOA116" s="38"/>
      <c r="OOG116" s="36"/>
      <c r="OOH116" s="38"/>
      <c r="OOI116" s="38"/>
      <c r="OOO116" s="36"/>
      <c r="OOP116" s="38"/>
      <c r="OOQ116" s="38"/>
      <c r="OOW116" s="36"/>
      <c r="OOX116" s="38"/>
      <c r="OOY116" s="38"/>
      <c r="OPE116" s="36"/>
      <c r="OPF116" s="38"/>
      <c r="OPG116" s="38"/>
      <c r="OPM116" s="36"/>
      <c r="OPN116" s="38"/>
      <c r="OPO116" s="38"/>
      <c r="OPU116" s="36"/>
      <c r="OPV116" s="38"/>
      <c r="OPW116" s="38"/>
      <c r="OQC116" s="36"/>
      <c r="OQD116" s="38"/>
      <c r="OQE116" s="38"/>
      <c r="OQK116" s="36"/>
      <c r="OQL116" s="38"/>
      <c r="OQM116" s="38"/>
      <c r="OQS116" s="36"/>
      <c r="OQT116" s="38"/>
      <c r="OQU116" s="38"/>
      <c r="ORA116" s="36"/>
      <c r="ORB116" s="38"/>
      <c r="ORC116" s="38"/>
      <c r="ORI116" s="36"/>
      <c r="ORJ116" s="38"/>
      <c r="ORK116" s="38"/>
      <c r="ORQ116" s="36"/>
      <c r="ORR116" s="38"/>
      <c r="ORS116" s="38"/>
      <c r="ORY116" s="36"/>
      <c r="ORZ116" s="38"/>
      <c r="OSA116" s="38"/>
      <c r="OSG116" s="36"/>
      <c r="OSH116" s="38"/>
      <c r="OSI116" s="38"/>
      <c r="OSO116" s="36"/>
      <c r="OSP116" s="38"/>
      <c r="OSQ116" s="38"/>
      <c r="OSW116" s="36"/>
      <c r="OSX116" s="38"/>
      <c r="OSY116" s="38"/>
      <c r="OTE116" s="36"/>
      <c r="OTF116" s="38"/>
      <c r="OTG116" s="38"/>
      <c r="OTM116" s="36"/>
      <c r="OTN116" s="38"/>
      <c r="OTO116" s="38"/>
      <c r="OTU116" s="36"/>
      <c r="OTV116" s="38"/>
      <c r="OTW116" s="38"/>
      <c r="OUC116" s="36"/>
      <c r="OUD116" s="38"/>
      <c r="OUE116" s="38"/>
      <c r="OUK116" s="36"/>
      <c r="OUL116" s="38"/>
      <c r="OUM116" s="38"/>
      <c r="OUS116" s="36"/>
      <c r="OUT116" s="38"/>
      <c r="OUU116" s="38"/>
      <c r="OVA116" s="36"/>
      <c r="OVB116" s="38"/>
      <c r="OVC116" s="38"/>
      <c r="OVI116" s="36"/>
      <c r="OVJ116" s="38"/>
      <c r="OVK116" s="38"/>
      <c r="OVQ116" s="36"/>
      <c r="OVR116" s="38"/>
      <c r="OVS116" s="38"/>
      <c r="OVY116" s="36"/>
      <c r="OVZ116" s="38"/>
      <c r="OWA116" s="38"/>
      <c r="OWG116" s="36"/>
      <c r="OWH116" s="38"/>
      <c r="OWI116" s="38"/>
      <c r="OWO116" s="36"/>
      <c r="OWP116" s="38"/>
      <c r="OWQ116" s="38"/>
      <c r="OWW116" s="36"/>
      <c r="OWX116" s="38"/>
      <c r="OWY116" s="38"/>
      <c r="OXE116" s="36"/>
      <c r="OXF116" s="38"/>
      <c r="OXG116" s="38"/>
      <c r="OXM116" s="36"/>
      <c r="OXN116" s="38"/>
      <c r="OXO116" s="38"/>
      <c r="OXU116" s="36"/>
      <c r="OXV116" s="38"/>
      <c r="OXW116" s="38"/>
      <c r="OYC116" s="36"/>
      <c r="OYD116" s="38"/>
      <c r="OYE116" s="38"/>
      <c r="OYK116" s="36"/>
      <c r="OYL116" s="38"/>
      <c r="OYM116" s="38"/>
      <c r="OYS116" s="36"/>
      <c r="OYT116" s="38"/>
      <c r="OYU116" s="38"/>
      <c r="OZA116" s="36"/>
      <c r="OZB116" s="38"/>
      <c r="OZC116" s="38"/>
      <c r="OZI116" s="36"/>
      <c r="OZJ116" s="38"/>
      <c r="OZK116" s="38"/>
      <c r="OZQ116" s="36"/>
      <c r="OZR116" s="38"/>
      <c r="OZS116" s="38"/>
      <c r="OZY116" s="36"/>
      <c r="OZZ116" s="38"/>
      <c r="PAA116" s="38"/>
      <c r="PAG116" s="36"/>
      <c r="PAH116" s="38"/>
      <c r="PAI116" s="38"/>
      <c r="PAO116" s="36"/>
      <c r="PAP116" s="38"/>
      <c r="PAQ116" s="38"/>
      <c r="PAW116" s="36"/>
      <c r="PAX116" s="38"/>
      <c r="PAY116" s="38"/>
      <c r="PBE116" s="36"/>
      <c r="PBF116" s="38"/>
      <c r="PBG116" s="38"/>
      <c r="PBM116" s="36"/>
      <c r="PBN116" s="38"/>
      <c r="PBO116" s="38"/>
      <c r="PBU116" s="36"/>
      <c r="PBV116" s="38"/>
      <c r="PBW116" s="38"/>
      <c r="PCC116" s="36"/>
      <c r="PCD116" s="38"/>
      <c r="PCE116" s="38"/>
      <c r="PCK116" s="36"/>
      <c r="PCL116" s="38"/>
      <c r="PCM116" s="38"/>
      <c r="PCS116" s="36"/>
      <c r="PCT116" s="38"/>
      <c r="PCU116" s="38"/>
      <c r="PDA116" s="36"/>
      <c r="PDB116" s="38"/>
      <c r="PDC116" s="38"/>
      <c r="PDI116" s="36"/>
      <c r="PDJ116" s="38"/>
      <c r="PDK116" s="38"/>
      <c r="PDQ116" s="36"/>
      <c r="PDR116" s="38"/>
      <c r="PDS116" s="38"/>
      <c r="PDY116" s="36"/>
      <c r="PDZ116" s="38"/>
      <c r="PEA116" s="38"/>
      <c r="PEG116" s="36"/>
      <c r="PEH116" s="38"/>
      <c r="PEI116" s="38"/>
      <c r="PEO116" s="36"/>
      <c r="PEP116" s="38"/>
      <c r="PEQ116" s="38"/>
      <c r="PEW116" s="36"/>
      <c r="PEX116" s="38"/>
      <c r="PEY116" s="38"/>
      <c r="PFE116" s="36"/>
      <c r="PFF116" s="38"/>
      <c r="PFG116" s="38"/>
      <c r="PFM116" s="36"/>
      <c r="PFN116" s="38"/>
      <c r="PFO116" s="38"/>
      <c r="PFU116" s="36"/>
      <c r="PFV116" s="38"/>
      <c r="PFW116" s="38"/>
      <c r="PGC116" s="36"/>
      <c r="PGD116" s="38"/>
      <c r="PGE116" s="38"/>
      <c r="PGK116" s="36"/>
      <c r="PGL116" s="38"/>
      <c r="PGM116" s="38"/>
      <c r="PGS116" s="36"/>
      <c r="PGT116" s="38"/>
      <c r="PGU116" s="38"/>
      <c r="PHA116" s="36"/>
      <c r="PHB116" s="38"/>
      <c r="PHC116" s="38"/>
      <c r="PHI116" s="36"/>
      <c r="PHJ116" s="38"/>
      <c r="PHK116" s="38"/>
      <c r="PHQ116" s="36"/>
      <c r="PHR116" s="38"/>
      <c r="PHS116" s="38"/>
      <c r="PHY116" s="36"/>
      <c r="PHZ116" s="38"/>
      <c r="PIA116" s="38"/>
      <c r="PIG116" s="36"/>
      <c r="PIH116" s="38"/>
      <c r="PII116" s="38"/>
      <c r="PIO116" s="36"/>
      <c r="PIP116" s="38"/>
      <c r="PIQ116" s="38"/>
      <c r="PIW116" s="36"/>
      <c r="PIX116" s="38"/>
      <c r="PIY116" s="38"/>
      <c r="PJE116" s="36"/>
      <c r="PJF116" s="38"/>
      <c r="PJG116" s="38"/>
      <c r="PJM116" s="36"/>
      <c r="PJN116" s="38"/>
      <c r="PJO116" s="38"/>
      <c r="PJU116" s="36"/>
      <c r="PJV116" s="38"/>
      <c r="PJW116" s="38"/>
      <c r="PKC116" s="36"/>
      <c r="PKD116" s="38"/>
      <c r="PKE116" s="38"/>
      <c r="PKK116" s="36"/>
      <c r="PKL116" s="38"/>
      <c r="PKM116" s="38"/>
      <c r="PKS116" s="36"/>
      <c r="PKT116" s="38"/>
      <c r="PKU116" s="38"/>
      <c r="PLA116" s="36"/>
      <c r="PLB116" s="38"/>
      <c r="PLC116" s="38"/>
      <c r="PLI116" s="36"/>
      <c r="PLJ116" s="38"/>
      <c r="PLK116" s="38"/>
      <c r="PLQ116" s="36"/>
      <c r="PLR116" s="38"/>
      <c r="PLS116" s="38"/>
      <c r="PLY116" s="36"/>
      <c r="PLZ116" s="38"/>
      <c r="PMA116" s="38"/>
      <c r="PMG116" s="36"/>
      <c r="PMH116" s="38"/>
      <c r="PMI116" s="38"/>
      <c r="PMO116" s="36"/>
      <c r="PMP116" s="38"/>
      <c r="PMQ116" s="38"/>
      <c r="PMW116" s="36"/>
      <c r="PMX116" s="38"/>
      <c r="PMY116" s="38"/>
      <c r="PNE116" s="36"/>
      <c r="PNF116" s="38"/>
      <c r="PNG116" s="38"/>
      <c r="PNM116" s="36"/>
      <c r="PNN116" s="38"/>
      <c r="PNO116" s="38"/>
      <c r="PNU116" s="36"/>
      <c r="PNV116" s="38"/>
      <c r="PNW116" s="38"/>
      <c r="POC116" s="36"/>
      <c r="POD116" s="38"/>
      <c r="POE116" s="38"/>
      <c r="POK116" s="36"/>
      <c r="POL116" s="38"/>
      <c r="POM116" s="38"/>
      <c r="POS116" s="36"/>
      <c r="POT116" s="38"/>
      <c r="POU116" s="38"/>
      <c r="PPA116" s="36"/>
      <c r="PPB116" s="38"/>
      <c r="PPC116" s="38"/>
      <c r="PPI116" s="36"/>
      <c r="PPJ116" s="38"/>
      <c r="PPK116" s="38"/>
      <c r="PPQ116" s="36"/>
      <c r="PPR116" s="38"/>
      <c r="PPS116" s="38"/>
      <c r="PPY116" s="36"/>
      <c r="PPZ116" s="38"/>
      <c r="PQA116" s="38"/>
      <c r="PQG116" s="36"/>
      <c r="PQH116" s="38"/>
      <c r="PQI116" s="38"/>
      <c r="PQO116" s="36"/>
      <c r="PQP116" s="38"/>
      <c r="PQQ116" s="38"/>
      <c r="PQW116" s="36"/>
      <c r="PQX116" s="38"/>
      <c r="PQY116" s="38"/>
      <c r="PRE116" s="36"/>
      <c r="PRF116" s="38"/>
      <c r="PRG116" s="38"/>
      <c r="PRM116" s="36"/>
      <c r="PRN116" s="38"/>
      <c r="PRO116" s="38"/>
      <c r="PRU116" s="36"/>
      <c r="PRV116" s="38"/>
      <c r="PRW116" s="38"/>
      <c r="PSC116" s="36"/>
      <c r="PSD116" s="38"/>
      <c r="PSE116" s="38"/>
      <c r="PSK116" s="36"/>
      <c r="PSL116" s="38"/>
      <c r="PSM116" s="38"/>
      <c r="PSS116" s="36"/>
      <c r="PST116" s="38"/>
      <c r="PSU116" s="38"/>
      <c r="PTA116" s="36"/>
      <c r="PTB116" s="38"/>
      <c r="PTC116" s="38"/>
      <c r="PTI116" s="36"/>
      <c r="PTJ116" s="38"/>
      <c r="PTK116" s="38"/>
      <c r="PTQ116" s="36"/>
      <c r="PTR116" s="38"/>
      <c r="PTS116" s="38"/>
      <c r="PTY116" s="36"/>
      <c r="PTZ116" s="38"/>
      <c r="PUA116" s="38"/>
      <c r="PUG116" s="36"/>
      <c r="PUH116" s="38"/>
      <c r="PUI116" s="38"/>
      <c r="PUO116" s="36"/>
      <c r="PUP116" s="38"/>
      <c r="PUQ116" s="38"/>
      <c r="PUW116" s="36"/>
      <c r="PUX116" s="38"/>
      <c r="PUY116" s="38"/>
      <c r="PVE116" s="36"/>
      <c r="PVF116" s="38"/>
      <c r="PVG116" s="38"/>
      <c r="PVM116" s="36"/>
      <c r="PVN116" s="38"/>
      <c r="PVO116" s="38"/>
      <c r="PVU116" s="36"/>
      <c r="PVV116" s="38"/>
      <c r="PVW116" s="38"/>
      <c r="PWC116" s="36"/>
      <c r="PWD116" s="38"/>
      <c r="PWE116" s="38"/>
      <c r="PWK116" s="36"/>
      <c r="PWL116" s="38"/>
      <c r="PWM116" s="38"/>
      <c r="PWS116" s="36"/>
      <c r="PWT116" s="38"/>
      <c r="PWU116" s="38"/>
      <c r="PXA116" s="36"/>
      <c r="PXB116" s="38"/>
      <c r="PXC116" s="38"/>
      <c r="PXI116" s="36"/>
      <c r="PXJ116" s="38"/>
      <c r="PXK116" s="38"/>
      <c r="PXQ116" s="36"/>
      <c r="PXR116" s="38"/>
      <c r="PXS116" s="38"/>
      <c r="PXY116" s="36"/>
      <c r="PXZ116" s="38"/>
      <c r="PYA116" s="38"/>
      <c r="PYG116" s="36"/>
      <c r="PYH116" s="38"/>
      <c r="PYI116" s="38"/>
      <c r="PYO116" s="36"/>
      <c r="PYP116" s="38"/>
      <c r="PYQ116" s="38"/>
      <c r="PYW116" s="36"/>
      <c r="PYX116" s="38"/>
      <c r="PYY116" s="38"/>
      <c r="PZE116" s="36"/>
      <c r="PZF116" s="38"/>
      <c r="PZG116" s="38"/>
      <c r="PZM116" s="36"/>
      <c r="PZN116" s="38"/>
      <c r="PZO116" s="38"/>
      <c r="PZU116" s="36"/>
      <c r="PZV116" s="38"/>
      <c r="PZW116" s="38"/>
      <c r="QAC116" s="36"/>
      <c r="QAD116" s="38"/>
      <c r="QAE116" s="38"/>
      <c r="QAK116" s="36"/>
      <c r="QAL116" s="38"/>
      <c r="QAM116" s="38"/>
      <c r="QAS116" s="36"/>
      <c r="QAT116" s="38"/>
      <c r="QAU116" s="38"/>
      <c r="QBA116" s="36"/>
      <c r="QBB116" s="38"/>
      <c r="QBC116" s="38"/>
      <c r="QBI116" s="36"/>
      <c r="QBJ116" s="38"/>
      <c r="QBK116" s="38"/>
      <c r="QBQ116" s="36"/>
      <c r="QBR116" s="38"/>
      <c r="QBS116" s="38"/>
      <c r="QBY116" s="36"/>
      <c r="QBZ116" s="38"/>
      <c r="QCA116" s="38"/>
      <c r="QCG116" s="36"/>
      <c r="QCH116" s="38"/>
      <c r="QCI116" s="38"/>
      <c r="QCO116" s="36"/>
      <c r="QCP116" s="38"/>
      <c r="QCQ116" s="38"/>
      <c r="QCW116" s="36"/>
      <c r="QCX116" s="38"/>
      <c r="QCY116" s="38"/>
      <c r="QDE116" s="36"/>
      <c r="QDF116" s="38"/>
      <c r="QDG116" s="38"/>
      <c r="QDM116" s="36"/>
      <c r="QDN116" s="38"/>
      <c r="QDO116" s="38"/>
      <c r="QDU116" s="36"/>
      <c r="QDV116" s="38"/>
      <c r="QDW116" s="38"/>
      <c r="QEC116" s="36"/>
      <c r="QED116" s="38"/>
      <c r="QEE116" s="38"/>
      <c r="QEK116" s="36"/>
      <c r="QEL116" s="38"/>
      <c r="QEM116" s="38"/>
      <c r="QES116" s="36"/>
      <c r="QET116" s="38"/>
      <c r="QEU116" s="38"/>
      <c r="QFA116" s="36"/>
      <c r="QFB116" s="38"/>
      <c r="QFC116" s="38"/>
      <c r="QFI116" s="36"/>
      <c r="QFJ116" s="38"/>
      <c r="QFK116" s="38"/>
      <c r="QFQ116" s="36"/>
      <c r="QFR116" s="38"/>
      <c r="QFS116" s="38"/>
      <c r="QFY116" s="36"/>
      <c r="QFZ116" s="38"/>
      <c r="QGA116" s="38"/>
      <c r="QGG116" s="36"/>
      <c r="QGH116" s="38"/>
      <c r="QGI116" s="38"/>
      <c r="QGO116" s="36"/>
      <c r="QGP116" s="38"/>
      <c r="QGQ116" s="38"/>
      <c r="QGW116" s="36"/>
      <c r="QGX116" s="38"/>
      <c r="QGY116" s="38"/>
      <c r="QHE116" s="36"/>
      <c r="QHF116" s="38"/>
      <c r="QHG116" s="38"/>
      <c r="QHM116" s="36"/>
      <c r="QHN116" s="38"/>
      <c r="QHO116" s="38"/>
      <c r="QHU116" s="36"/>
      <c r="QHV116" s="38"/>
      <c r="QHW116" s="38"/>
      <c r="QIC116" s="36"/>
      <c r="QID116" s="38"/>
      <c r="QIE116" s="38"/>
      <c r="QIK116" s="36"/>
      <c r="QIL116" s="38"/>
      <c r="QIM116" s="38"/>
      <c r="QIS116" s="36"/>
      <c r="QIT116" s="38"/>
      <c r="QIU116" s="38"/>
      <c r="QJA116" s="36"/>
      <c r="QJB116" s="38"/>
      <c r="QJC116" s="38"/>
      <c r="QJI116" s="36"/>
      <c r="QJJ116" s="38"/>
      <c r="QJK116" s="38"/>
      <c r="QJQ116" s="36"/>
      <c r="QJR116" s="38"/>
      <c r="QJS116" s="38"/>
      <c r="QJY116" s="36"/>
      <c r="QJZ116" s="38"/>
      <c r="QKA116" s="38"/>
      <c r="QKG116" s="36"/>
      <c r="QKH116" s="38"/>
      <c r="QKI116" s="38"/>
      <c r="QKO116" s="36"/>
      <c r="QKP116" s="38"/>
      <c r="QKQ116" s="38"/>
      <c r="QKW116" s="36"/>
      <c r="QKX116" s="38"/>
      <c r="QKY116" s="38"/>
      <c r="QLE116" s="36"/>
      <c r="QLF116" s="38"/>
      <c r="QLG116" s="38"/>
      <c r="QLM116" s="36"/>
      <c r="QLN116" s="38"/>
      <c r="QLO116" s="38"/>
      <c r="QLU116" s="36"/>
      <c r="QLV116" s="38"/>
      <c r="QLW116" s="38"/>
      <c r="QMC116" s="36"/>
      <c r="QMD116" s="38"/>
      <c r="QME116" s="38"/>
      <c r="QMK116" s="36"/>
      <c r="QML116" s="38"/>
      <c r="QMM116" s="38"/>
      <c r="QMS116" s="36"/>
      <c r="QMT116" s="38"/>
      <c r="QMU116" s="38"/>
      <c r="QNA116" s="36"/>
      <c r="QNB116" s="38"/>
      <c r="QNC116" s="38"/>
      <c r="QNI116" s="36"/>
      <c r="QNJ116" s="38"/>
      <c r="QNK116" s="38"/>
      <c r="QNQ116" s="36"/>
      <c r="QNR116" s="38"/>
      <c r="QNS116" s="38"/>
      <c r="QNY116" s="36"/>
      <c r="QNZ116" s="38"/>
      <c r="QOA116" s="38"/>
      <c r="QOG116" s="36"/>
      <c r="QOH116" s="38"/>
      <c r="QOI116" s="38"/>
      <c r="QOO116" s="36"/>
      <c r="QOP116" s="38"/>
      <c r="QOQ116" s="38"/>
      <c r="QOW116" s="36"/>
      <c r="QOX116" s="38"/>
      <c r="QOY116" s="38"/>
      <c r="QPE116" s="36"/>
      <c r="QPF116" s="38"/>
      <c r="QPG116" s="38"/>
      <c r="QPM116" s="36"/>
      <c r="QPN116" s="38"/>
      <c r="QPO116" s="38"/>
      <c r="QPU116" s="36"/>
      <c r="QPV116" s="38"/>
      <c r="QPW116" s="38"/>
      <c r="QQC116" s="36"/>
      <c r="QQD116" s="38"/>
      <c r="QQE116" s="38"/>
      <c r="QQK116" s="36"/>
      <c r="QQL116" s="38"/>
      <c r="QQM116" s="38"/>
      <c r="QQS116" s="36"/>
      <c r="QQT116" s="38"/>
      <c r="QQU116" s="38"/>
      <c r="QRA116" s="36"/>
      <c r="QRB116" s="38"/>
      <c r="QRC116" s="38"/>
      <c r="QRI116" s="36"/>
      <c r="QRJ116" s="38"/>
      <c r="QRK116" s="38"/>
      <c r="QRQ116" s="36"/>
      <c r="QRR116" s="38"/>
      <c r="QRS116" s="38"/>
      <c r="QRY116" s="36"/>
      <c r="QRZ116" s="38"/>
      <c r="QSA116" s="38"/>
      <c r="QSG116" s="36"/>
      <c r="QSH116" s="38"/>
      <c r="QSI116" s="38"/>
      <c r="QSO116" s="36"/>
      <c r="QSP116" s="38"/>
      <c r="QSQ116" s="38"/>
      <c r="QSW116" s="36"/>
      <c r="QSX116" s="38"/>
      <c r="QSY116" s="38"/>
      <c r="QTE116" s="36"/>
      <c r="QTF116" s="38"/>
      <c r="QTG116" s="38"/>
      <c r="QTM116" s="36"/>
      <c r="QTN116" s="38"/>
      <c r="QTO116" s="38"/>
      <c r="QTU116" s="36"/>
      <c r="QTV116" s="38"/>
      <c r="QTW116" s="38"/>
      <c r="QUC116" s="36"/>
      <c r="QUD116" s="38"/>
      <c r="QUE116" s="38"/>
      <c r="QUK116" s="36"/>
      <c r="QUL116" s="38"/>
      <c r="QUM116" s="38"/>
      <c r="QUS116" s="36"/>
      <c r="QUT116" s="38"/>
      <c r="QUU116" s="38"/>
      <c r="QVA116" s="36"/>
      <c r="QVB116" s="38"/>
      <c r="QVC116" s="38"/>
      <c r="QVI116" s="36"/>
      <c r="QVJ116" s="38"/>
      <c r="QVK116" s="38"/>
      <c r="QVQ116" s="36"/>
      <c r="QVR116" s="38"/>
      <c r="QVS116" s="38"/>
      <c r="QVY116" s="36"/>
      <c r="QVZ116" s="38"/>
      <c r="QWA116" s="38"/>
      <c r="QWG116" s="36"/>
      <c r="QWH116" s="38"/>
      <c r="QWI116" s="38"/>
      <c r="QWO116" s="36"/>
      <c r="QWP116" s="38"/>
      <c r="QWQ116" s="38"/>
      <c r="QWW116" s="36"/>
      <c r="QWX116" s="38"/>
      <c r="QWY116" s="38"/>
      <c r="QXE116" s="36"/>
      <c r="QXF116" s="38"/>
      <c r="QXG116" s="38"/>
      <c r="QXM116" s="36"/>
      <c r="QXN116" s="38"/>
      <c r="QXO116" s="38"/>
      <c r="QXU116" s="36"/>
      <c r="QXV116" s="38"/>
      <c r="QXW116" s="38"/>
      <c r="QYC116" s="36"/>
      <c r="QYD116" s="38"/>
      <c r="QYE116" s="38"/>
      <c r="QYK116" s="36"/>
      <c r="QYL116" s="38"/>
      <c r="QYM116" s="38"/>
      <c r="QYS116" s="36"/>
      <c r="QYT116" s="38"/>
      <c r="QYU116" s="38"/>
      <c r="QZA116" s="36"/>
      <c r="QZB116" s="38"/>
      <c r="QZC116" s="38"/>
      <c r="QZI116" s="36"/>
      <c r="QZJ116" s="38"/>
      <c r="QZK116" s="38"/>
      <c r="QZQ116" s="36"/>
      <c r="QZR116" s="38"/>
      <c r="QZS116" s="38"/>
      <c r="QZY116" s="36"/>
      <c r="QZZ116" s="38"/>
      <c r="RAA116" s="38"/>
      <c r="RAG116" s="36"/>
      <c r="RAH116" s="38"/>
      <c r="RAI116" s="38"/>
      <c r="RAO116" s="36"/>
      <c r="RAP116" s="38"/>
      <c r="RAQ116" s="38"/>
      <c r="RAW116" s="36"/>
      <c r="RAX116" s="38"/>
      <c r="RAY116" s="38"/>
      <c r="RBE116" s="36"/>
      <c r="RBF116" s="38"/>
      <c r="RBG116" s="38"/>
      <c r="RBM116" s="36"/>
      <c r="RBN116" s="38"/>
      <c r="RBO116" s="38"/>
      <c r="RBU116" s="36"/>
      <c r="RBV116" s="38"/>
      <c r="RBW116" s="38"/>
      <c r="RCC116" s="36"/>
      <c r="RCD116" s="38"/>
      <c r="RCE116" s="38"/>
      <c r="RCK116" s="36"/>
      <c r="RCL116" s="38"/>
      <c r="RCM116" s="38"/>
      <c r="RCS116" s="36"/>
      <c r="RCT116" s="38"/>
      <c r="RCU116" s="38"/>
      <c r="RDA116" s="36"/>
      <c r="RDB116" s="38"/>
      <c r="RDC116" s="38"/>
      <c r="RDI116" s="36"/>
      <c r="RDJ116" s="38"/>
      <c r="RDK116" s="38"/>
      <c r="RDQ116" s="36"/>
      <c r="RDR116" s="38"/>
      <c r="RDS116" s="38"/>
      <c r="RDY116" s="36"/>
      <c r="RDZ116" s="38"/>
      <c r="REA116" s="38"/>
      <c r="REG116" s="36"/>
      <c r="REH116" s="38"/>
      <c r="REI116" s="38"/>
      <c r="REO116" s="36"/>
      <c r="REP116" s="38"/>
      <c r="REQ116" s="38"/>
      <c r="REW116" s="36"/>
      <c r="REX116" s="38"/>
      <c r="REY116" s="38"/>
      <c r="RFE116" s="36"/>
      <c r="RFF116" s="38"/>
      <c r="RFG116" s="38"/>
      <c r="RFM116" s="36"/>
      <c r="RFN116" s="38"/>
      <c r="RFO116" s="38"/>
      <c r="RFU116" s="36"/>
      <c r="RFV116" s="38"/>
      <c r="RFW116" s="38"/>
      <c r="RGC116" s="36"/>
      <c r="RGD116" s="38"/>
      <c r="RGE116" s="38"/>
      <c r="RGK116" s="36"/>
      <c r="RGL116" s="38"/>
      <c r="RGM116" s="38"/>
      <c r="RGS116" s="36"/>
      <c r="RGT116" s="38"/>
      <c r="RGU116" s="38"/>
      <c r="RHA116" s="36"/>
      <c r="RHB116" s="38"/>
      <c r="RHC116" s="38"/>
      <c r="RHI116" s="36"/>
      <c r="RHJ116" s="38"/>
      <c r="RHK116" s="38"/>
      <c r="RHQ116" s="36"/>
      <c r="RHR116" s="38"/>
      <c r="RHS116" s="38"/>
      <c r="RHY116" s="36"/>
      <c r="RHZ116" s="38"/>
      <c r="RIA116" s="38"/>
      <c r="RIG116" s="36"/>
      <c r="RIH116" s="38"/>
      <c r="RII116" s="38"/>
      <c r="RIO116" s="36"/>
      <c r="RIP116" s="38"/>
      <c r="RIQ116" s="38"/>
      <c r="RIW116" s="36"/>
      <c r="RIX116" s="38"/>
      <c r="RIY116" s="38"/>
      <c r="RJE116" s="36"/>
      <c r="RJF116" s="38"/>
      <c r="RJG116" s="38"/>
      <c r="RJM116" s="36"/>
      <c r="RJN116" s="38"/>
      <c r="RJO116" s="38"/>
      <c r="RJU116" s="36"/>
      <c r="RJV116" s="38"/>
      <c r="RJW116" s="38"/>
      <c r="RKC116" s="36"/>
      <c r="RKD116" s="38"/>
      <c r="RKE116" s="38"/>
      <c r="RKK116" s="36"/>
      <c r="RKL116" s="38"/>
      <c r="RKM116" s="38"/>
      <c r="RKS116" s="36"/>
      <c r="RKT116" s="38"/>
      <c r="RKU116" s="38"/>
      <c r="RLA116" s="36"/>
      <c r="RLB116" s="38"/>
      <c r="RLC116" s="38"/>
      <c r="RLI116" s="36"/>
      <c r="RLJ116" s="38"/>
      <c r="RLK116" s="38"/>
      <c r="RLQ116" s="36"/>
      <c r="RLR116" s="38"/>
      <c r="RLS116" s="38"/>
      <c r="RLY116" s="36"/>
      <c r="RLZ116" s="38"/>
      <c r="RMA116" s="38"/>
      <c r="RMG116" s="36"/>
      <c r="RMH116" s="38"/>
      <c r="RMI116" s="38"/>
      <c r="RMO116" s="36"/>
      <c r="RMP116" s="38"/>
      <c r="RMQ116" s="38"/>
      <c r="RMW116" s="36"/>
      <c r="RMX116" s="38"/>
      <c r="RMY116" s="38"/>
      <c r="RNE116" s="36"/>
      <c r="RNF116" s="38"/>
      <c r="RNG116" s="38"/>
      <c r="RNM116" s="36"/>
      <c r="RNN116" s="38"/>
      <c r="RNO116" s="38"/>
      <c r="RNU116" s="36"/>
      <c r="RNV116" s="38"/>
      <c r="RNW116" s="38"/>
      <c r="ROC116" s="36"/>
      <c r="ROD116" s="38"/>
      <c r="ROE116" s="38"/>
      <c r="ROK116" s="36"/>
      <c r="ROL116" s="38"/>
      <c r="ROM116" s="38"/>
      <c r="ROS116" s="36"/>
      <c r="ROT116" s="38"/>
      <c r="ROU116" s="38"/>
      <c r="RPA116" s="36"/>
      <c r="RPB116" s="38"/>
      <c r="RPC116" s="38"/>
      <c r="RPI116" s="36"/>
      <c r="RPJ116" s="38"/>
      <c r="RPK116" s="38"/>
      <c r="RPQ116" s="36"/>
      <c r="RPR116" s="38"/>
      <c r="RPS116" s="38"/>
      <c r="RPY116" s="36"/>
      <c r="RPZ116" s="38"/>
      <c r="RQA116" s="38"/>
      <c r="RQG116" s="36"/>
      <c r="RQH116" s="38"/>
      <c r="RQI116" s="38"/>
      <c r="RQO116" s="36"/>
      <c r="RQP116" s="38"/>
      <c r="RQQ116" s="38"/>
      <c r="RQW116" s="36"/>
      <c r="RQX116" s="38"/>
      <c r="RQY116" s="38"/>
      <c r="RRE116" s="36"/>
      <c r="RRF116" s="38"/>
      <c r="RRG116" s="38"/>
      <c r="RRM116" s="36"/>
      <c r="RRN116" s="38"/>
      <c r="RRO116" s="38"/>
      <c r="RRU116" s="36"/>
      <c r="RRV116" s="38"/>
      <c r="RRW116" s="38"/>
      <c r="RSC116" s="36"/>
      <c r="RSD116" s="38"/>
      <c r="RSE116" s="38"/>
      <c r="RSK116" s="36"/>
      <c r="RSL116" s="38"/>
      <c r="RSM116" s="38"/>
      <c r="RSS116" s="36"/>
      <c r="RST116" s="38"/>
      <c r="RSU116" s="38"/>
      <c r="RTA116" s="36"/>
      <c r="RTB116" s="38"/>
      <c r="RTC116" s="38"/>
      <c r="RTI116" s="36"/>
      <c r="RTJ116" s="38"/>
      <c r="RTK116" s="38"/>
      <c r="RTQ116" s="36"/>
      <c r="RTR116" s="38"/>
      <c r="RTS116" s="38"/>
      <c r="RTY116" s="36"/>
      <c r="RTZ116" s="38"/>
      <c r="RUA116" s="38"/>
      <c r="RUG116" s="36"/>
      <c r="RUH116" s="38"/>
      <c r="RUI116" s="38"/>
      <c r="RUO116" s="36"/>
      <c r="RUP116" s="38"/>
      <c r="RUQ116" s="38"/>
      <c r="RUW116" s="36"/>
      <c r="RUX116" s="38"/>
      <c r="RUY116" s="38"/>
      <c r="RVE116" s="36"/>
      <c r="RVF116" s="38"/>
      <c r="RVG116" s="38"/>
      <c r="RVM116" s="36"/>
      <c r="RVN116" s="38"/>
      <c r="RVO116" s="38"/>
      <c r="RVU116" s="36"/>
      <c r="RVV116" s="38"/>
      <c r="RVW116" s="38"/>
      <c r="RWC116" s="36"/>
      <c r="RWD116" s="38"/>
      <c r="RWE116" s="38"/>
      <c r="RWK116" s="36"/>
      <c r="RWL116" s="38"/>
      <c r="RWM116" s="38"/>
      <c r="RWS116" s="36"/>
      <c r="RWT116" s="38"/>
      <c r="RWU116" s="38"/>
      <c r="RXA116" s="36"/>
      <c r="RXB116" s="38"/>
      <c r="RXC116" s="38"/>
      <c r="RXI116" s="36"/>
      <c r="RXJ116" s="38"/>
      <c r="RXK116" s="38"/>
      <c r="RXQ116" s="36"/>
      <c r="RXR116" s="38"/>
      <c r="RXS116" s="38"/>
      <c r="RXY116" s="36"/>
      <c r="RXZ116" s="38"/>
      <c r="RYA116" s="38"/>
      <c r="RYG116" s="36"/>
      <c r="RYH116" s="38"/>
      <c r="RYI116" s="38"/>
      <c r="RYO116" s="36"/>
      <c r="RYP116" s="38"/>
      <c r="RYQ116" s="38"/>
      <c r="RYW116" s="36"/>
      <c r="RYX116" s="38"/>
      <c r="RYY116" s="38"/>
      <c r="RZE116" s="36"/>
      <c r="RZF116" s="38"/>
      <c r="RZG116" s="38"/>
      <c r="RZM116" s="36"/>
      <c r="RZN116" s="38"/>
      <c r="RZO116" s="38"/>
      <c r="RZU116" s="36"/>
      <c r="RZV116" s="38"/>
      <c r="RZW116" s="38"/>
      <c r="SAC116" s="36"/>
      <c r="SAD116" s="38"/>
      <c r="SAE116" s="38"/>
      <c r="SAK116" s="36"/>
      <c r="SAL116" s="38"/>
      <c r="SAM116" s="38"/>
      <c r="SAS116" s="36"/>
      <c r="SAT116" s="38"/>
      <c r="SAU116" s="38"/>
      <c r="SBA116" s="36"/>
      <c r="SBB116" s="38"/>
      <c r="SBC116" s="38"/>
      <c r="SBI116" s="36"/>
      <c r="SBJ116" s="38"/>
      <c r="SBK116" s="38"/>
      <c r="SBQ116" s="36"/>
      <c r="SBR116" s="38"/>
      <c r="SBS116" s="38"/>
      <c r="SBY116" s="36"/>
      <c r="SBZ116" s="38"/>
      <c r="SCA116" s="38"/>
      <c r="SCG116" s="36"/>
      <c r="SCH116" s="38"/>
      <c r="SCI116" s="38"/>
      <c r="SCO116" s="36"/>
      <c r="SCP116" s="38"/>
      <c r="SCQ116" s="38"/>
      <c r="SCW116" s="36"/>
      <c r="SCX116" s="38"/>
      <c r="SCY116" s="38"/>
      <c r="SDE116" s="36"/>
      <c r="SDF116" s="38"/>
      <c r="SDG116" s="38"/>
      <c r="SDM116" s="36"/>
      <c r="SDN116" s="38"/>
      <c r="SDO116" s="38"/>
      <c r="SDU116" s="36"/>
      <c r="SDV116" s="38"/>
      <c r="SDW116" s="38"/>
      <c r="SEC116" s="36"/>
      <c r="SED116" s="38"/>
      <c r="SEE116" s="38"/>
      <c r="SEK116" s="36"/>
      <c r="SEL116" s="38"/>
      <c r="SEM116" s="38"/>
      <c r="SES116" s="36"/>
      <c r="SET116" s="38"/>
      <c r="SEU116" s="38"/>
      <c r="SFA116" s="36"/>
      <c r="SFB116" s="38"/>
      <c r="SFC116" s="38"/>
      <c r="SFI116" s="36"/>
      <c r="SFJ116" s="38"/>
      <c r="SFK116" s="38"/>
      <c r="SFQ116" s="36"/>
      <c r="SFR116" s="38"/>
      <c r="SFS116" s="38"/>
      <c r="SFY116" s="36"/>
      <c r="SFZ116" s="38"/>
      <c r="SGA116" s="38"/>
      <c r="SGG116" s="36"/>
      <c r="SGH116" s="38"/>
      <c r="SGI116" s="38"/>
      <c r="SGO116" s="36"/>
      <c r="SGP116" s="38"/>
      <c r="SGQ116" s="38"/>
      <c r="SGW116" s="36"/>
      <c r="SGX116" s="38"/>
      <c r="SGY116" s="38"/>
      <c r="SHE116" s="36"/>
      <c r="SHF116" s="38"/>
      <c r="SHG116" s="38"/>
      <c r="SHM116" s="36"/>
      <c r="SHN116" s="38"/>
      <c r="SHO116" s="38"/>
      <c r="SHU116" s="36"/>
      <c r="SHV116" s="38"/>
      <c r="SHW116" s="38"/>
      <c r="SIC116" s="36"/>
      <c r="SID116" s="38"/>
      <c r="SIE116" s="38"/>
      <c r="SIK116" s="36"/>
      <c r="SIL116" s="38"/>
      <c r="SIM116" s="38"/>
      <c r="SIS116" s="36"/>
      <c r="SIT116" s="38"/>
      <c r="SIU116" s="38"/>
      <c r="SJA116" s="36"/>
      <c r="SJB116" s="38"/>
      <c r="SJC116" s="38"/>
      <c r="SJI116" s="36"/>
      <c r="SJJ116" s="38"/>
      <c r="SJK116" s="38"/>
      <c r="SJQ116" s="36"/>
      <c r="SJR116" s="38"/>
      <c r="SJS116" s="38"/>
      <c r="SJY116" s="36"/>
      <c r="SJZ116" s="38"/>
      <c r="SKA116" s="38"/>
      <c r="SKG116" s="36"/>
      <c r="SKH116" s="38"/>
      <c r="SKI116" s="38"/>
      <c r="SKO116" s="36"/>
      <c r="SKP116" s="38"/>
      <c r="SKQ116" s="38"/>
      <c r="SKW116" s="36"/>
      <c r="SKX116" s="38"/>
      <c r="SKY116" s="38"/>
      <c r="SLE116" s="36"/>
      <c r="SLF116" s="38"/>
      <c r="SLG116" s="38"/>
      <c r="SLM116" s="36"/>
      <c r="SLN116" s="38"/>
      <c r="SLO116" s="38"/>
      <c r="SLU116" s="36"/>
      <c r="SLV116" s="38"/>
      <c r="SLW116" s="38"/>
      <c r="SMC116" s="36"/>
      <c r="SMD116" s="38"/>
      <c r="SME116" s="38"/>
      <c r="SMK116" s="36"/>
      <c r="SML116" s="38"/>
      <c r="SMM116" s="38"/>
      <c r="SMS116" s="36"/>
      <c r="SMT116" s="38"/>
      <c r="SMU116" s="38"/>
      <c r="SNA116" s="36"/>
      <c r="SNB116" s="38"/>
      <c r="SNC116" s="38"/>
      <c r="SNI116" s="36"/>
      <c r="SNJ116" s="38"/>
      <c r="SNK116" s="38"/>
      <c r="SNQ116" s="36"/>
      <c r="SNR116" s="38"/>
      <c r="SNS116" s="38"/>
      <c r="SNY116" s="36"/>
      <c r="SNZ116" s="38"/>
      <c r="SOA116" s="38"/>
      <c r="SOG116" s="36"/>
      <c r="SOH116" s="38"/>
      <c r="SOI116" s="38"/>
      <c r="SOO116" s="36"/>
      <c r="SOP116" s="38"/>
      <c r="SOQ116" s="38"/>
      <c r="SOW116" s="36"/>
      <c r="SOX116" s="38"/>
      <c r="SOY116" s="38"/>
      <c r="SPE116" s="36"/>
      <c r="SPF116" s="38"/>
      <c r="SPG116" s="38"/>
      <c r="SPM116" s="36"/>
      <c r="SPN116" s="38"/>
      <c r="SPO116" s="38"/>
      <c r="SPU116" s="36"/>
      <c r="SPV116" s="38"/>
      <c r="SPW116" s="38"/>
      <c r="SQC116" s="36"/>
      <c r="SQD116" s="38"/>
      <c r="SQE116" s="38"/>
      <c r="SQK116" s="36"/>
      <c r="SQL116" s="38"/>
      <c r="SQM116" s="38"/>
      <c r="SQS116" s="36"/>
      <c r="SQT116" s="38"/>
      <c r="SQU116" s="38"/>
      <c r="SRA116" s="36"/>
      <c r="SRB116" s="38"/>
      <c r="SRC116" s="38"/>
      <c r="SRI116" s="36"/>
      <c r="SRJ116" s="38"/>
      <c r="SRK116" s="38"/>
      <c r="SRQ116" s="36"/>
      <c r="SRR116" s="38"/>
      <c r="SRS116" s="38"/>
      <c r="SRY116" s="36"/>
      <c r="SRZ116" s="38"/>
      <c r="SSA116" s="38"/>
      <c r="SSG116" s="36"/>
      <c r="SSH116" s="38"/>
      <c r="SSI116" s="38"/>
      <c r="SSO116" s="36"/>
      <c r="SSP116" s="38"/>
      <c r="SSQ116" s="38"/>
      <c r="SSW116" s="36"/>
      <c r="SSX116" s="38"/>
      <c r="SSY116" s="38"/>
      <c r="STE116" s="36"/>
      <c r="STF116" s="38"/>
      <c r="STG116" s="38"/>
      <c r="STM116" s="36"/>
      <c r="STN116" s="38"/>
      <c r="STO116" s="38"/>
      <c r="STU116" s="36"/>
      <c r="STV116" s="38"/>
      <c r="STW116" s="38"/>
      <c r="SUC116" s="36"/>
      <c r="SUD116" s="38"/>
      <c r="SUE116" s="38"/>
      <c r="SUK116" s="36"/>
      <c r="SUL116" s="38"/>
      <c r="SUM116" s="38"/>
      <c r="SUS116" s="36"/>
      <c r="SUT116" s="38"/>
      <c r="SUU116" s="38"/>
      <c r="SVA116" s="36"/>
      <c r="SVB116" s="38"/>
      <c r="SVC116" s="38"/>
      <c r="SVI116" s="36"/>
      <c r="SVJ116" s="38"/>
      <c r="SVK116" s="38"/>
      <c r="SVQ116" s="36"/>
      <c r="SVR116" s="38"/>
      <c r="SVS116" s="38"/>
      <c r="SVY116" s="36"/>
      <c r="SVZ116" s="38"/>
      <c r="SWA116" s="38"/>
      <c r="SWG116" s="36"/>
      <c r="SWH116" s="38"/>
      <c r="SWI116" s="38"/>
      <c r="SWO116" s="36"/>
      <c r="SWP116" s="38"/>
      <c r="SWQ116" s="38"/>
      <c r="SWW116" s="36"/>
      <c r="SWX116" s="38"/>
      <c r="SWY116" s="38"/>
      <c r="SXE116" s="36"/>
      <c r="SXF116" s="38"/>
      <c r="SXG116" s="38"/>
      <c r="SXM116" s="36"/>
      <c r="SXN116" s="38"/>
      <c r="SXO116" s="38"/>
      <c r="SXU116" s="36"/>
      <c r="SXV116" s="38"/>
      <c r="SXW116" s="38"/>
      <c r="SYC116" s="36"/>
      <c r="SYD116" s="38"/>
      <c r="SYE116" s="38"/>
      <c r="SYK116" s="36"/>
      <c r="SYL116" s="38"/>
      <c r="SYM116" s="38"/>
      <c r="SYS116" s="36"/>
      <c r="SYT116" s="38"/>
      <c r="SYU116" s="38"/>
      <c r="SZA116" s="36"/>
      <c r="SZB116" s="38"/>
      <c r="SZC116" s="38"/>
      <c r="SZI116" s="36"/>
      <c r="SZJ116" s="38"/>
      <c r="SZK116" s="38"/>
      <c r="SZQ116" s="36"/>
      <c r="SZR116" s="38"/>
      <c r="SZS116" s="38"/>
      <c r="SZY116" s="36"/>
      <c r="SZZ116" s="38"/>
      <c r="TAA116" s="38"/>
      <c r="TAG116" s="36"/>
      <c r="TAH116" s="38"/>
      <c r="TAI116" s="38"/>
      <c r="TAO116" s="36"/>
      <c r="TAP116" s="38"/>
      <c r="TAQ116" s="38"/>
      <c r="TAW116" s="36"/>
      <c r="TAX116" s="38"/>
      <c r="TAY116" s="38"/>
      <c r="TBE116" s="36"/>
      <c r="TBF116" s="38"/>
      <c r="TBG116" s="38"/>
      <c r="TBM116" s="36"/>
      <c r="TBN116" s="38"/>
      <c r="TBO116" s="38"/>
      <c r="TBU116" s="36"/>
      <c r="TBV116" s="38"/>
      <c r="TBW116" s="38"/>
      <c r="TCC116" s="36"/>
      <c r="TCD116" s="38"/>
      <c r="TCE116" s="38"/>
      <c r="TCK116" s="36"/>
      <c r="TCL116" s="38"/>
      <c r="TCM116" s="38"/>
      <c r="TCS116" s="36"/>
      <c r="TCT116" s="38"/>
      <c r="TCU116" s="38"/>
      <c r="TDA116" s="36"/>
      <c r="TDB116" s="38"/>
      <c r="TDC116" s="38"/>
      <c r="TDI116" s="36"/>
      <c r="TDJ116" s="38"/>
      <c r="TDK116" s="38"/>
      <c r="TDQ116" s="36"/>
      <c r="TDR116" s="38"/>
      <c r="TDS116" s="38"/>
      <c r="TDY116" s="36"/>
      <c r="TDZ116" s="38"/>
      <c r="TEA116" s="38"/>
      <c r="TEG116" s="36"/>
      <c r="TEH116" s="38"/>
      <c r="TEI116" s="38"/>
      <c r="TEO116" s="36"/>
      <c r="TEP116" s="38"/>
      <c r="TEQ116" s="38"/>
      <c r="TEW116" s="36"/>
      <c r="TEX116" s="38"/>
      <c r="TEY116" s="38"/>
      <c r="TFE116" s="36"/>
      <c r="TFF116" s="38"/>
      <c r="TFG116" s="38"/>
      <c r="TFM116" s="36"/>
      <c r="TFN116" s="38"/>
      <c r="TFO116" s="38"/>
      <c r="TFU116" s="36"/>
      <c r="TFV116" s="38"/>
      <c r="TFW116" s="38"/>
      <c r="TGC116" s="36"/>
      <c r="TGD116" s="38"/>
      <c r="TGE116" s="38"/>
      <c r="TGK116" s="36"/>
      <c r="TGL116" s="38"/>
      <c r="TGM116" s="38"/>
      <c r="TGS116" s="36"/>
      <c r="TGT116" s="38"/>
      <c r="TGU116" s="38"/>
      <c r="THA116" s="36"/>
      <c r="THB116" s="38"/>
      <c r="THC116" s="38"/>
      <c r="THI116" s="36"/>
      <c r="THJ116" s="38"/>
      <c r="THK116" s="38"/>
      <c r="THQ116" s="36"/>
      <c r="THR116" s="38"/>
      <c r="THS116" s="38"/>
      <c r="THY116" s="36"/>
      <c r="THZ116" s="38"/>
      <c r="TIA116" s="38"/>
      <c r="TIG116" s="36"/>
      <c r="TIH116" s="38"/>
      <c r="TII116" s="38"/>
      <c r="TIO116" s="36"/>
      <c r="TIP116" s="38"/>
      <c r="TIQ116" s="38"/>
      <c r="TIW116" s="36"/>
      <c r="TIX116" s="38"/>
      <c r="TIY116" s="38"/>
      <c r="TJE116" s="36"/>
      <c r="TJF116" s="38"/>
      <c r="TJG116" s="38"/>
      <c r="TJM116" s="36"/>
      <c r="TJN116" s="38"/>
      <c r="TJO116" s="38"/>
      <c r="TJU116" s="36"/>
      <c r="TJV116" s="38"/>
      <c r="TJW116" s="38"/>
      <c r="TKC116" s="36"/>
      <c r="TKD116" s="38"/>
      <c r="TKE116" s="38"/>
      <c r="TKK116" s="36"/>
      <c r="TKL116" s="38"/>
      <c r="TKM116" s="38"/>
      <c r="TKS116" s="36"/>
      <c r="TKT116" s="38"/>
      <c r="TKU116" s="38"/>
      <c r="TLA116" s="36"/>
      <c r="TLB116" s="38"/>
      <c r="TLC116" s="38"/>
      <c r="TLI116" s="36"/>
      <c r="TLJ116" s="38"/>
      <c r="TLK116" s="38"/>
      <c r="TLQ116" s="36"/>
      <c r="TLR116" s="38"/>
      <c r="TLS116" s="38"/>
      <c r="TLY116" s="36"/>
      <c r="TLZ116" s="38"/>
      <c r="TMA116" s="38"/>
      <c r="TMG116" s="36"/>
      <c r="TMH116" s="38"/>
      <c r="TMI116" s="38"/>
      <c r="TMO116" s="36"/>
      <c r="TMP116" s="38"/>
      <c r="TMQ116" s="38"/>
      <c r="TMW116" s="36"/>
      <c r="TMX116" s="38"/>
      <c r="TMY116" s="38"/>
      <c r="TNE116" s="36"/>
      <c r="TNF116" s="38"/>
      <c r="TNG116" s="38"/>
      <c r="TNM116" s="36"/>
      <c r="TNN116" s="38"/>
      <c r="TNO116" s="38"/>
      <c r="TNU116" s="36"/>
      <c r="TNV116" s="38"/>
      <c r="TNW116" s="38"/>
      <c r="TOC116" s="36"/>
      <c r="TOD116" s="38"/>
      <c r="TOE116" s="38"/>
      <c r="TOK116" s="36"/>
      <c r="TOL116" s="38"/>
      <c r="TOM116" s="38"/>
      <c r="TOS116" s="36"/>
      <c r="TOT116" s="38"/>
      <c r="TOU116" s="38"/>
      <c r="TPA116" s="36"/>
      <c r="TPB116" s="38"/>
      <c r="TPC116" s="38"/>
      <c r="TPI116" s="36"/>
      <c r="TPJ116" s="38"/>
      <c r="TPK116" s="38"/>
      <c r="TPQ116" s="36"/>
      <c r="TPR116" s="38"/>
      <c r="TPS116" s="38"/>
      <c r="TPY116" s="36"/>
      <c r="TPZ116" s="38"/>
      <c r="TQA116" s="38"/>
      <c r="TQG116" s="36"/>
      <c r="TQH116" s="38"/>
      <c r="TQI116" s="38"/>
      <c r="TQO116" s="36"/>
      <c r="TQP116" s="38"/>
      <c r="TQQ116" s="38"/>
      <c r="TQW116" s="36"/>
      <c r="TQX116" s="38"/>
      <c r="TQY116" s="38"/>
      <c r="TRE116" s="36"/>
      <c r="TRF116" s="38"/>
      <c r="TRG116" s="38"/>
      <c r="TRM116" s="36"/>
      <c r="TRN116" s="38"/>
      <c r="TRO116" s="38"/>
      <c r="TRU116" s="36"/>
      <c r="TRV116" s="38"/>
      <c r="TRW116" s="38"/>
      <c r="TSC116" s="36"/>
      <c r="TSD116" s="38"/>
      <c r="TSE116" s="38"/>
      <c r="TSK116" s="36"/>
      <c r="TSL116" s="38"/>
      <c r="TSM116" s="38"/>
      <c r="TSS116" s="36"/>
      <c r="TST116" s="38"/>
      <c r="TSU116" s="38"/>
      <c r="TTA116" s="36"/>
      <c r="TTB116" s="38"/>
      <c r="TTC116" s="38"/>
      <c r="TTI116" s="36"/>
      <c r="TTJ116" s="38"/>
      <c r="TTK116" s="38"/>
      <c r="TTQ116" s="36"/>
      <c r="TTR116" s="38"/>
      <c r="TTS116" s="38"/>
      <c r="TTY116" s="36"/>
      <c r="TTZ116" s="38"/>
      <c r="TUA116" s="38"/>
      <c r="TUG116" s="36"/>
      <c r="TUH116" s="38"/>
      <c r="TUI116" s="38"/>
      <c r="TUO116" s="36"/>
      <c r="TUP116" s="38"/>
      <c r="TUQ116" s="38"/>
      <c r="TUW116" s="36"/>
      <c r="TUX116" s="38"/>
      <c r="TUY116" s="38"/>
      <c r="TVE116" s="36"/>
      <c r="TVF116" s="38"/>
      <c r="TVG116" s="38"/>
      <c r="TVM116" s="36"/>
      <c r="TVN116" s="38"/>
      <c r="TVO116" s="38"/>
      <c r="TVU116" s="36"/>
      <c r="TVV116" s="38"/>
      <c r="TVW116" s="38"/>
      <c r="TWC116" s="36"/>
      <c r="TWD116" s="38"/>
      <c r="TWE116" s="38"/>
      <c r="TWK116" s="36"/>
      <c r="TWL116" s="38"/>
      <c r="TWM116" s="38"/>
      <c r="TWS116" s="36"/>
      <c r="TWT116" s="38"/>
      <c r="TWU116" s="38"/>
      <c r="TXA116" s="36"/>
      <c r="TXB116" s="38"/>
      <c r="TXC116" s="38"/>
      <c r="TXI116" s="36"/>
      <c r="TXJ116" s="38"/>
      <c r="TXK116" s="38"/>
      <c r="TXQ116" s="36"/>
      <c r="TXR116" s="38"/>
      <c r="TXS116" s="38"/>
      <c r="TXY116" s="36"/>
      <c r="TXZ116" s="38"/>
      <c r="TYA116" s="38"/>
      <c r="TYG116" s="36"/>
      <c r="TYH116" s="38"/>
      <c r="TYI116" s="38"/>
      <c r="TYO116" s="36"/>
      <c r="TYP116" s="38"/>
      <c r="TYQ116" s="38"/>
      <c r="TYW116" s="36"/>
      <c r="TYX116" s="38"/>
      <c r="TYY116" s="38"/>
      <c r="TZE116" s="36"/>
      <c r="TZF116" s="38"/>
      <c r="TZG116" s="38"/>
      <c r="TZM116" s="36"/>
      <c r="TZN116" s="38"/>
      <c r="TZO116" s="38"/>
      <c r="TZU116" s="36"/>
      <c r="TZV116" s="38"/>
      <c r="TZW116" s="38"/>
      <c r="UAC116" s="36"/>
      <c r="UAD116" s="38"/>
      <c r="UAE116" s="38"/>
      <c r="UAK116" s="36"/>
      <c r="UAL116" s="38"/>
      <c r="UAM116" s="38"/>
      <c r="UAS116" s="36"/>
      <c r="UAT116" s="38"/>
      <c r="UAU116" s="38"/>
      <c r="UBA116" s="36"/>
      <c r="UBB116" s="38"/>
      <c r="UBC116" s="38"/>
      <c r="UBI116" s="36"/>
      <c r="UBJ116" s="38"/>
      <c r="UBK116" s="38"/>
      <c r="UBQ116" s="36"/>
      <c r="UBR116" s="38"/>
      <c r="UBS116" s="38"/>
      <c r="UBY116" s="36"/>
      <c r="UBZ116" s="38"/>
      <c r="UCA116" s="38"/>
      <c r="UCG116" s="36"/>
      <c r="UCH116" s="38"/>
      <c r="UCI116" s="38"/>
      <c r="UCO116" s="36"/>
      <c r="UCP116" s="38"/>
      <c r="UCQ116" s="38"/>
      <c r="UCW116" s="36"/>
      <c r="UCX116" s="38"/>
      <c r="UCY116" s="38"/>
      <c r="UDE116" s="36"/>
      <c r="UDF116" s="38"/>
      <c r="UDG116" s="38"/>
      <c r="UDM116" s="36"/>
      <c r="UDN116" s="38"/>
      <c r="UDO116" s="38"/>
      <c r="UDU116" s="36"/>
      <c r="UDV116" s="38"/>
      <c r="UDW116" s="38"/>
      <c r="UEC116" s="36"/>
      <c r="UED116" s="38"/>
      <c r="UEE116" s="38"/>
      <c r="UEK116" s="36"/>
      <c r="UEL116" s="38"/>
      <c r="UEM116" s="38"/>
      <c r="UES116" s="36"/>
      <c r="UET116" s="38"/>
      <c r="UEU116" s="38"/>
      <c r="UFA116" s="36"/>
      <c r="UFB116" s="38"/>
      <c r="UFC116" s="38"/>
      <c r="UFI116" s="36"/>
      <c r="UFJ116" s="38"/>
      <c r="UFK116" s="38"/>
      <c r="UFQ116" s="36"/>
      <c r="UFR116" s="38"/>
      <c r="UFS116" s="38"/>
      <c r="UFY116" s="36"/>
      <c r="UFZ116" s="38"/>
      <c r="UGA116" s="38"/>
      <c r="UGG116" s="36"/>
      <c r="UGH116" s="38"/>
      <c r="UGI116" s="38"/>
      <c r="UGO116" s="36"/>
      <c r="UGP116" s="38"/>
      <c r="UGQ116" s="38"/>
      <c r="UGW116" s="36"/>
      <c r="UGX116" s="38"/>
      <c r="UGY116" s="38"/>
      <c r="UHE116" s="36"/>
      <c r="UHF116" s="38"/>
      <c r="UHG116" s="38"/>
      <c r="UHM116" s="36"/>
      <c r="UHN116" s="38"/>
      <c r="UHO116" s="38"/>
      <c r="UHU116" s="36"/>
      <c r="UHV116" s="38"/>
      <c r="UHW116" s="38"/>
      <c r="UIC116" s="36"/>
      <c r="UID116" s="38"/>
      <c r="UIE116" s="38"/>
      <c r="UIK116" s="36"/>
      <c r="UIL116" s="38"/>
      <c r="UIM116" s="38"/>
      <c r="UIS116" s="36"/>
      <c r="UIT116" s="38"/>
      <c r="UIU116" s="38"/>
      <c r="UJA116" s="36"/>
      <c r="UJB116" s="38"/>
      <c r="UJC116" s="38"/>
      <c r="UJI116" s="36"/>
      <c r="UJJ116" s="38"/>
      <c r="UJK116" s="38"/>
      <c r="UJQ116" s="36"/>
      <c r="UJR116" s="38"/>
      <c r="UJS116" s="38"/>
      <c r="UJY116" s="36"/>
      <c r="UJZ116" s="38"/>
      <c r="UKA116" s="38"/>
      <c r="UKG116" s="36"/>
      <c r="UKH116" s="38"/>
      <c r="UKI116" s="38"/>
      <c r="UKO116" s="36"/>
      <c r="UKP116" s="38"/>
      <c r="UKQ116" s="38"/>
      <c r="UKW116" s="36"/>
      <c r="UKX116" s="38"/>
      <c r="UKY116" s="38"/>
      <c r="ULE116" s="36"/>
      <c r="ULF116" s="38"/>
      <c r="ULG116" s="38"/>
      <c r="ULM116" s="36"/>
      <c r="ULN116" s="38"/>
      <c r="ULO116" s="38"/>
      <c r="ULU116" s="36"/>
      <c r="ULV116" s="38"/>
      <c r="ULW116" s="38"/>
      <c r="UMC116" s="36"/>
      <c r="UMD116" s="38"/>
      <c r="UME116" s="38"/>
      <c r="UMK116" s="36"/>
      <c r="UML116" s="38"/>
      <c r="UMM116" s="38"/>
      <c r="UMS116" s="36"/>
      <c r="UMT116" s="38"/>
      <c r="UMU116" s="38"/>
      <c r="UNA116" s="36"/>
      <c r="UNB116" s="38"/>
      <c r="UNC116" s="38"/>
      <c r="UNI116" s="36"/>
      <c r="UNJ116" s="38"/>
      <c r="UNK116" s="38"/>
      <c r="UNQ116" s="36"/>
      <c r="UNR116" s="38"/>
      <c r="UNS116" s="38"/>
      <c r="UNY116" s="36"/>
      <c r="UNZ116" s="38"/>
      <c r="UOA116" s="38"/>
      <c r="UOG116" s="36"/>
      <c r="UOH116" s="38"/>
      <c r="UOI116" s="38"/>
      <c r="UOO116" s="36"/>
      <c r="UOP116" s="38"/>
      <c r="UOQ116" s="38"/>
      <c r="UOW116" s="36"/>
      <c r="UOX116" s="38"/>
      <c r="UOY116" s="38"/>
      <c r="UPE116" s="36"/>
      <c r="UPF116" s="38"/>
      <c r="UPG116" s="38"/>
      <c r="UPM116" s="36"/>
      <c r="UPN116" s="38"/>
      <c r="UPO116" s="38"/>
      <c r="UPU116" s="36"/>
      <c r="UPV116" s="38"/>
      <c r="UPW116" s="38"/>
      <c r="UQC116" s="36"/>
      <c r="UQD116" s="38"/>
      <c r="UQE116" s="38"/>
      <c r="UQK116" s="36"/>
      <c r="UQL116" s="38"/>
      <c r="UQM116" s="38"/>
      <c r="UQS116" s="36"/>
      <c r="UQT116" s="38"/>
      <c r="UQU116" s="38"/>
      <c r="URA116" s="36"/>
      <c r="URB116" s="38"/>
      <c r="URC116" s="38"/>
      <c r="URI116" s="36"/>
      <c r="URJ116" s="38"/>
      <c r="URK116" s="38"/>
      <c r="URQ116" s="36"/>
      <c r="URR116" s="38"/>
      <c r="URS116" s="38"/>
      <c r="URY116" s="36"/>
      <c r="URZ116" s="38"/>
      <c r="USA116" s="38"/>
      <c r="USG116" s="36"/>
      <c r="USH116" s="38"/>
      <c r="USI116" s="38"/>
      <c r="USO116" s="36"/>
      <c r="USP116" s="38"/>
      <c r="USQ116" s="38"/>
      <c r="USW116" s="36"/>
      <c r="USX116" s="38"/>
      <c r="USY116" s="38"/>
      <c r="UTE116" s="36"/>
      <c r="UTF116" s="38"/>
      <c r="UTG116" s="38"/>
      <c r="UTM116" s="36"/>
      <c r="UTN116" s="38"/>
      <c r="UTO116" s="38"/>
      <c r="UTU116" s="36"/>
      <c r="UTV116" s="38"/>
      <c r="UTW116" s="38"/>
      <c r="UUC116" s="36"/>
      <c r="UUD116" s="38"/>
      <c r="UUE116" s="38"/>
      <c r="UUK116" s="36"/>
      <c r="UUL116" s="38"/>
      <c r="UUM116" s="38"/>
      <c r="UUS116" s="36"/>
      <c r="UUT116" s="38"/>
      <c r="UUU116" s="38"/>
      <c r="UVA116" s="36"/>
      <c r="UVB116" s="38"/>
      <c r="UVC116" s="38"/>
      <c r="UVI116" s="36"/>
      <c r="UVJ116" s="38"/>
      <c r="UVK116" s="38"/>
      <c r="UVQ116" s="36"/>
      <c r="UVR116" s="38"/>
      <c r="UVS116" s="38"/>
      <c r="UVY116" s="36"/>
      <c r="UVZ116" s="38"/>
      <c r="UWA116" s="38"/>
      <c r="UWG116" s="36"/>
      <c r="UWH116" s="38"/>
      <c r="UWI116" s="38"/>
      <c r="UWO116" s="36"/>
      <c r="UWP116" s="38"/>
      <c r="UWQ116" s="38"/>
      <c r="UWW116" s="36"/>
      <c r="UWX116" s="38"/>
      <c r="UWY116" s="38"/>
      <c r="UXE116" s="36"/>
      <c r="UXF116" s="38"/>
      <c r="UXG116" s="38"/>
      <c r="UXM116" s="36"/>
      <c r="UXN116" s="38"/>
      <c r="UXO116" s="38"/>
      <c r="UXU116" s="36"/>
      <c r="UXV116" s="38"/>
      <c r="UXW116" s="38"/>
      <c r="UYC116" s="36"/>
      <c r="UYD116" s="38"/>
      <c r="UYE116" s="38"/>
      <c r="UYK116" s="36"/>
      <c r="UYL116" s="38"/>
      <c r="UYM116" s="38"/>
      <c r="UYS116" s="36"/>
      <c r="UYT116" s="38"/>
      <c r="UYU116" s="38"/>
      <c r="UZA116" s="36"/>
      <c r="UZB116" s="38"/>
      <c r="UZC116" s="38"/>
      <c r="UZI116" s="36"/>
      <c r="UZJ116" s="38"/>
      <c r="UZK116" s="38"/>
      <c r="UZQ116" s="36"/>
      <c r="UZR116" s="38"/>
      <c r="UZS116" s="38"/>
      <c r="UZY116" s="36"/>
      <c r="UZZ116" s="38"/>
      <c r="VAA116" s="38"/>
      <c r="VAG116" s="36"/>
      <c r="VAH116" s="38"/>
      <c r="VAI116" s="38"/>
      <c r="VAO116" s="36"/>
      <c r="VAP116" s="38"/>
      <c r="VAQ116" s="38"/>
      <c r="VAW116" s="36"/>
      <c r="VAX116" s="38"/>
      <c r="VAY116" s="38"/>
      <c r="VBE116" s="36"/>
      <c r="VBF116" s="38"/>
      <c r="VBG116" s="38"/>
      <c r="VBM116" s="36"/>
      <c r="VBN116" s="38"/>
      <c r="VBO116" s="38"/>
      <c r="VBU116" s="36"/>
      <c r="VBV116" s="38"/>
      <c r="VBW116" s="38"/>
      <c r="VCC116" s="36"/>
      <c r="VCD116" s="38"/>
      <c r="VCE116" s="38"/>
      <c r="VCK116" s="36"/>
      <c r="VCL116" s="38"/>
      <c r="VCM116" s="38"/>
      <c r="VCS116" s="36"/>
      <c r="VCT116" s="38"/>
      <c r="VCU116" s="38"/>
      <c r="VDA116" s="36"/>
      <c r="VDB116" s="38"/>
      <c r="VDC116" s="38"/>
      <c r="VDI116" s="36"/>
      <c r="VDJ116" s="38"/>
      <c r="VDK116" s="38"/>
      <c r="VDQ116" s="36"/>
      <c r="VDR116" s="38"/>
      <c r="VDS116" s="38"/>
      <c r="VDY116" s="36"/>
      <c r="VDZ116" s="38"/>
      <c r="VEA116" s="38"/>
      <c r="VEG116" s="36"/>
      <c r="VEH116" s="38"/>
      <c r="VEI116" s="38"/>
      <c r="VEO116" s="36"/>
      <c r="VEP116" s="38"/>
      <c r="VEQ116" s="38"/>
      <c r="VEW116" s="36"/>
      <c r="VEX116" s="38"/>
      <c r="VEY116" s="38"/>
      <c r="VFE116" s="36"/>
      <c r="VFF116" s="38"/>
      <c r="VFG116" s="38"/>
      <c r="VFM116" s="36"/>
      <c r="VFN116" s="38"/>
      <c r="VFO116" s="38"/>
      <c r="VFU116" s="36"/>
      <c r="VFV116" s="38"/>
      <c r="VFW116" s="38"/>
      <c r="VGC116" s="36"/>
      <c r="VGD116" s="38"/>
      <c r="VGE116" s="38"/>
      <c r="VGK116" s="36"/>
      <c r="VGL116" s="38"/>
      <c r="VGM116" s="38"/>
      <c r="VGS116" s="36"/>
      <c r="VGT116" s="38"/>
      <c r="VGU116" s="38"/>
      <c r="VHA116" s="36"/>
      <c r="VHB116" s="38"/>
      <c r="VHC116" s="38"/>
      <c r="VHI116" s="36"/>
      <c r="VHJ116" s="38"/>
      <c r="VHK116" s="38"/>
      <c r="VHQ116" s="36"/>
      <c r="VHR116" s="38"/>
      <c r="VHS116" s="38"/>
      <c r="VHY116" s="36"/>
      <c r="VHZ116" s="38"/>
      <c r="VIA116" s="38"/>
      <c r="VIG116" s="36"/>
      <c r="VIH116" s="38"/>
      <c r="VII116" s="38"/>
      <c r="VIO116" s="36"/>
      <c r="VIP116" s="38"/>
      <c r="VIQ116" s="38"/>
      <c r="VIW116" s="36"/>
      <c r="VIX116" s="38"/>
      <c r="VIY116" s="38"/>
      <c r="VJE116" s="36"/>
      <c r="VJF116" s="38"/>
      <c r="VJG116" s="38"/>
      <c r="VJM116" s="36"/>
      <c r="VJN116" s="38"/>
      <c r="VJO116" s="38"/>
      <c r="VJU116" s="36"/>
      <c r="VJV116" s="38"/>
      <c r="VJW116" s="38"/>
      <c r="VKC116" s="36"/>
      <c r="VKD116" s="38"/>
      <c r="VKE116" s="38"/>
      <c r="VKK116" s="36"/>
      <c r="VKL116" s="38"/>
      <c r="VKM116" s="38"/>
      <c r="VKS116" s="36"/>
      <c r="VKT116" s="38"/>
      <c r="VKU116" s="38"/>
      <c r="VLA116" s="36"/>
      <c r="VLB116" s="38"/>
      <c r="VLC116" s="38"/>
      <c r="VLI116" s="36"/>
      <c r="VLJ116" s="38"/>
      <c r="VLK116" s="38"/>
      <c r="VLQ116" s="36"/>
      <c r="VLR116" s="38"/>
      <c r="VLS116" s="38"/>
      <c r="VLY116" s="36"/>
      <c r="VLZ116" s="38"/>
      <c r="VMA116" s="38"/>
      <c r="VMG116" s="36"/>
      <c r="VMH116" s="38"/>
      <c r="VMI116" s="38"/>
      <c r="VMO116" s="36"/>
      <c r="VMP116" s="38"/>
      <c r="VMQ116" s="38"/>
      <c r="VMW116" s="36"/>
      <c r="VMX116" s="38"/>
      <c r="VMY116" s="38"/>
      <c r="VNE116" s="36"/>
      <c r="VNF116" s="38"/>
      <c r="VNG116" s="38"/>
      <c r="VNM116" s="36"/>
      <c r="VNN116" s="38"/>
      <c r="VNO116" s="38"/>
      <c r="VNU116" s="36"/>
      <c r="VNV116" s="38"/>
      <c r="VNW116" s="38"/>
      <c r="VOC116" s="36"/>
      <c r="VOD116" s="38"/>
      <c r="VOE116" s="38"/>
      <c r="VOK116" s="36"/>
      <c r="VOL116" s="38"/>
      <c r="VOM116" s="38"/>
      <c r="VOS116" s="36"/>
      <c r="VOT116" s="38"/>
      <c r="VOU116" s="38"/>
      <c r="VPA116" s="36"/>
      <c r="VPB116" s="38"/>
      <c r="VPC116" s="38"/>
      <c r="VPI116" s="36"/>
      <c r="VPJ116" s="38"/>
      <c r="VPK116" s="38"/>
      <c r="VPQ116" s="36"/>
      <c r="VPR116" s="38"/>
      <c r="VPS116" s="38"/>
      <c r="VPY116" s="36"/>
      <c r="VPZ116" s="38"/>
      <c r="VQA116" s="38"/>
      <c r="VQG116" s="36"/>
      <c r="VQH116" s="38"/>
      <c r="VQI116" s="38"/>
      <c r="VQO116" s="36"/>
      <c r="VQP116" s="38"/>
      <c r="VQQ116" s="38"/>
      <c r="VQW116" s="36"/>
      <c r="VQX116" s="38"/>
      <c r="VQY116" s="38"/>
      <c r="VRE116" s="36"/>
      <c r="VRF116" s="38"/>
      <c r="VRG116" s="38"/>
      <c r="VRM116" s="36"/>
      <c r="VRN116" s="38"/>
      <c r="VRO116" s="38"/>
      <c r="VRU116" s="36"/>
      <c r="VRV116" s="38"/>
      <c r="VRW116" s="38"/>
      <c r="VSC116" s="36"/>
      <c r="VSD116" s="38"/>
      <c r="VSE116" s="38"/>
      <c r="VSK116" s="36"/>
      <c r="VSL116" s="38"/>
      <c r="VSM116" s="38"/>
      <c r="VSS116" s="36"/>
      <c r="VST116" s="38"/>
      <c r="VSU116" s="38"/>
      <c r="VTA116" s="36"/>
      <c r="VTB116" s="38"/>
      <c r="VTC116" s="38"/>
      <c r="VTI116" s="36"/>
      <c r="VTJ116" s="38"/>
      <c r="VTK116" s="38"/>
      <c r="VTQ116" s="36"/>
      <c r="VTR116" s="38"/>
      <c r="VTS116" s="38"/>
      <c r="VTY116" s="36"/>
      <c r="VTZ116" s="38"/>
      <c r="VUA116" s="38"/>
      <c r="VUG116" s="36"/>
      <c r="VUH116" s="38"/>
      <c r="VUI116" s="38"/>
      <c r="VUO116" s="36"/>
      <c r="VUP116" s="38"/>
      <c r="VUQ116" s="38"/>
      <c r="VUW116" s="36"/>
      <c r="VUX116" s="38"/>
      <c r="VUY116" s="38"/>
      <c r="VVE116" s="36"/>
      <c r="VVF116" s="38"/>
      <c r="VVG116" s="38"/>
      <c r="VVM116" s="36"/>
      <c r="VVN116" s="38"/>
      <c r="VVO116" s="38"/>
      <c r="VVU116" s="36"/>
      <c r="VVV116" s="38"/>
      <c r="VVW116" s="38"/>
      <c r="VWC116" s="36"/>
      <c r="VWD116" s="38"/>
      <c r="VWE116" s="38"/>
      <c r="VWK116" s="36"/>
      <c r="VWL116" s="38"/>
      <c r="VWM116" s="38"/>
      <c r="VWS116" s="36"/>
      <c r="VWT116" s="38"/>
      <c r="VWU116" s="38"/>
      <c r="VXA116" s="36"/>
      <c r="VXB116" s="38"/>
      <c r="VXC116" s="38"/>
      <c r="VXI116" s="36"/>
      <c r="VXJ116" s="38"/>
      <c r="VXK116" s="38"/>
      <c r="VXQ116" s="36"/>
      <c r="VXR116" s="38"/>
      <c r="VXS116" s="38"/>
      <c r="VXY116" s="36"/>
      <c r="VXZ116" s="38"/>
      <c r="VYA116" s="38"/>
      <c r="VYG116" s="36"/>
      <c r="VYH116" s="38"/>
      <c r="VYI116" s="38"/>
      <c r="VYO116" s="36"/>
      <c r="VYP116" s="38"/>
      <c r="VYQ116" s="38"/>
      <c r="VYW116" s="36"/>
      <c r="VYX116" s="38"/>
      <c r="VYY116" s="38"/>
      <c r="VZE116" s="36"/>
      <c r="VZF116" s="38"/>
      <c r="VZG116" s="38"/>
      <c r="VZM116" s="36"/>
      <c r="VZN116" s="38"/>
      <c r="VZO116" s="38"/>
      <c r="VZU116" s="36"/>
      <c r="VZV116" s="38"/>
      <c r="VZW116" s="38"/>
      <c r="WAC116" s="36"/>
      <c r="WAD116" s="38"/>
      <c r="WAE116" s="38"/>
      <c r="WAK116" s="36"/>
      <c r="WAL116" s="38"/>
      <c r="WAM116" s="38"/>
      <c r="WAS116" s="36"/>
      <c r="WAT116" s="38"/>
      <c r="WAU116" s="38"/>
      <c r="WBA116" s="36"/>
      <c r="WBB116" s="38"/>
      <c r="WBC116" s="38"/>
      <c r="WBI116" s="36"/>
      <c r="WBJ116" s="38"/>
      <c r="WBK116" s="38"/>
      <c r="WBQ116" s="36"/>
      <c r="WBR116" s="38"/>
      <c r="WBS116" s="38"/>
      <c r="WBY116" s="36"/>
      <c r="WBZ116" s="38"/>
      <c r="WCA116" s="38"/>
      <c r="WCG116" s="36"/>
      <c r="WCH116" s="38"/>
      <c r="WCI116" s="38"/>
      <c r="WCO116" s="36"/>
      <c r="WCP116" s="38"/>
      <c r="WCQ116" s="38"/>
      <c r="WCW116" s="36"/>
      <c r="WCX116" s="38"/>
      <c r="WCY116" s="38"/>
      <c r="WDE116" s="36"/>
      <c r="WDF116" s="38"/>
      <c r="WDG116" s="38"/>
      <c r="WDM116" s="36"/>
      <c r="WDN116" s="38"/>
      <c r="WDO116" s="38"/>
      <c r="WDU116" s="36"/>
      <c r="WDV116" s="38"/>
      <c r="WDW116" s="38"/>
      <c r="WEC116" s="36"/>
      <c r="WED116" s="38"/>
      <c r="WEE116" s="38"/>
      <c r="WEK116" s="36"/>
      <c r="WEL116" s="38"/>
      <c r="WEM116" s="38"/>
      <c r="WES116" s="36"/>
      <c r="WET116" s="38"/>
      <c r="WEU116" s="38"/>
      <c r="WFA116" s="36"/>
      <c r="WFB116" s="38"/>
      <c r="WFC116" s="38"/>
      <c r="WFI116" s="36"/>
      <c r="WFJ116" s="38"/>
      <c r="WFK116" s="38"/>
      <c r="WFQ116" s="36"/>
      <c r="WFR116" s="38"/>
      <c r="WFS116" s="38"/>
      <c r="WFY116" s="36"/>
      <c r="WFZ116" s="38"/>
      <c r="WGA116" s="38"/>
      <c r="WGG116" s="36"/>
      <c r="WGH116" s="38"/>
      <c r="WGI116" s="38"/>
      <c r="WGO116" s="36"/>
      <c r="WGP116" s="38"/>
      <c r="WGQ116" s="38"/>
      <c r="WGW116" s="36"/>
      <c r="WGX116" s="38"/>
      <c r="WGY116" s="38"/>
      <c r="WHE116" s="36"/>
      <c r="WHF116" s="38"/>
      <c r="WHG116" s="38"/>
      <c r="WHM116" s="36"/>
      <c r="WHN116" s="38"/>
      <c r="WHO116" s="38"/>
      <c r="WHU116" s="36"/>
      <c r="WHV116" s="38"/>
      <c r="WHW116" s="38"/>
      <c r="WIC116" s="36"/>
      <c r="WID116" s="38"/>
      <c r="WIE116" s="38"/>
      <c r="WIK116" s="36"/>
      <c r="WIL116" s="38"/>
      <c r="WIM116" s="38"/>
      <c r="WIS116" s="36"/>
      <c r="WIT116" s="38"/>
      <c r="WIU116" s="38"/>
      <c r="WJA116" s="36"/>
      <c r="WJB116" s="38"/>
      <c r="WJC116" s="38"/>
      <c r="WJI116" s="36"/>
      <c r="WJJ116" s="38"/>
      <c r="WJK116" s="38"/>
      <c r="WJQ116" s="36"/>
      <c r="WJR116" s="38"/>
      <c r="WJS116" s="38"/>
      <c r="WJY116" s="36"/>
      <c r="WJZ116" s="38"/>
      <c r="WKA116" s="38"/>
      <c r="WKG116" s="36"/>
      <c r="WKH116" s="38"/>
      <c r="WKI116" s="38"/>
      <c r="WKO116" s="36"/>
      <c r="WKP116" s="38"/>
      <c r="WKQ116" s="38"/>
      <c r="WKW116" s="36"/>
      <c r="WKX116" s="38"/>
      <c r="WKY116" s="38"/>
      <c r="WLE116" s="36"/>
      <c r="WLF116" s="38"/>
      <c r="WLG116" s="38"/>
      <c r="WLM116" s="36"/>
      <c r="WLN116" s="38"/>
      <c r="WLO116" s="38"/>
      <c r="WLU116" s="36"/>
      <c r="WLV116" s="38"/>
      <c r="WLW116" s="38"/>
      <c r="WMC116" s="36"/>
      <c r="WMD116" s="38"/>
      <c r="WME116" s="38"/>
      <c r="WMK116" s="36"/>
      <c r="WML116" s="38"/>
      <c r="WMM116" s="38"/>
      <c r="WMS116" s="36"/>
      <c r="WMT116" s="38"/>
      <c r="WMU116" s="38"/>
      <c r="WNA116" s="36"/>
      <c r="WNB116" s="38"/>
      <c r="WNC116" s="38"/>
      <c r="WNI116" s="36"/>
      <c r="WNJ116" s="38"/>
      <c r="WNK116" s="38"/>
      <c r="WNQ116" s="36"/>
      <c r="WNR116" s="38"/>
      <c r="WNS116" s="38"/>
      <c r="WNY116" s="36"/>
      <c r="WNZ116" s="38"/>
      <c r="WOA116" s="38"/>
      <c r="WOG116" s="36"/>
      <c r="WOH116" s="38"/>
      <c r="WOI116" s="38"/>
      <c r="WOO116" s="36"/>
      <c r="WOP116" s="38"/>
      <c r="WOQ116" s="38"/>
      <c r="WOW116" s="36"/>
      <c r="WOX116" s="38"/>
      <c r="WOY116" s="38"/>
      <c r="WPE116" s="36"/>
      <c r="WPF116" s="38"/>
      <c r="WPG116" s="38"/>
      <c r="WPM116" s="36"/>
      <c r="WPN116" s="38"/>
      <c r="WPO116" s="38"/>
      <c r="WPU116" s="36"/>
      <c r="WPV116" s="38"/>
      <c r="WPW116" s="38"/>
      <c r="WQC116" s="36"/>
      <c r="WQD116" s="38"/>
      <c r="WQE116" s="38"/>
      <c r="WQK116" s="36"/>
      <c r="WQL116" s="38"/>
      <c r="WQM116" s="38"/>
      <c r="WQS116" s="36"/>
      <c r="WQT116" s="38"/>
      <c r="WQU116" s="38"/>
      <c r="WRA116" s="36"/>
      <c r="WRB116" s="38"/>
      <c r="WRC116" s="38"/>
      <c r="WRI116" s="36"/>
      <c r="WRJ116" s="38"/>
      <c r="WRK116" s="38"/>
      <c r="WRQ116" s="36"/>
      <c r="WRR116" s="38"/>
      <c r="WRS116" s="38"/>
      <c r="WRY116" s="36"/>
      <c r="WRZ116" s="38"/>
      <c r="WSA116" s="38"/>
      <c r="WSG116" s="36"/>
      <c r="WSH116" s="38"/>
      <c r="WSI116" s="38"/>
      <c r="WSO116" s="36"/>
      <c r="WSP116" s="38"/>
      <c r="WSQ116" s="38"/>
      <c r="WSW116" s="36"/>
      <c r="WSX116" s="38"/>
      <c r="WSY116" s="38"/>
      <c r="WTE116" s="36"/>
      <c r="WTF116" s="38"/>
      <c r="WTG116" s="38"/>
      <c r="WTM116" s="36"/>
      <c r="WTN116" s="38"/>
      <c r="WTO116" s="38"/>
      <c r="WTU116" s="36"/>
      <c r="WTV116" s="38"/>
      <c r="WTW116" s="38"/>
      <c r="WUC116" s="36"/>
      <c r="WUD116" s="38"/>
      <c r="WUE116" s="38"/>
      <c r="WUK116" s="36"/>
      <c r="WUL116" s="38"/>
      <c r="WUM116" s="38"/>
      <c r="WUS116" s="36"/>
      <c r="WUT116" s="38"/>
      <c r="WUU116" s="38"/>
      <c r="WVA116" s="36"/>
      <c r="WVB116" s="38"/>
      <c r="WVC116" s="38"/>
      <c r="WVI116" s="36"/>
      <c r="WVJ116" s="38"/>
      <c r="WVK116" s="38"/>
      <c r="WVQ116" s="36"/>
      <c r="WVR116" s="38"/>
      <c r="WVS116" s="38"/>
      <c r="WVY116" s="36"/>
      <c r="WVZ116" s="38"/>
      <c r="WWA116" s="38"/>
      <c r="WWG116" s="36"/>
      <c r="WWH116" s="38"/>
      <c r="WWI116" s="38"/>
      <c r="WWO116" s="36"/>
      <c r="WWP116" s="38"/>
      <c r="WWQ116" s="38"/>
      <c r="WWW116" s="36"/>
      <c r="WWX116" s="38"/>
      <c r="WWY116" s="38"/>
      <c r="WXE116" s="36"/>
      <c r="WXF116" s="38"/>
      <c r="WXG116" s="38"/>
      <c r="WXM116" s="36"/>
      <c r="WXN116" s="38"/>
      <c r="WXO116" s="38"/>
      <c r="WXU116" s="36"/>
      <c r="WXV116" s="38"/>
      <c r="WXW116" s="38"/>
      <c r="WYC116" s="36"/>
      <c r="WYD116" s="38"/>
      <c r="WYE116" s="38"/>
      <c r="WYK116" s="36"/>
      <c r="WYL116" s="38"/>
      <c r="WYM116" s="38"/>
      <c r="WYS116" s="36"/>
      <c r="WYT116" s="38"/>
      <c r="WYU116" s="38"/>
      <c r="WZA116" s="36"/>
      <c r="WZB116" s="38"/>
      <c r="WZC116" s="38"/>
      <c r="WZI116" s="36"/>
      <c r="WZJ116" s="38"/>
      <c r="WZK116" s="38"/>
      <c r="WZQ116" s="36"/>
      <c r="WZR116" s="38"/>
      <c r="WZS116" s="38"/>
      <c r="WZY116" s="36"/>
      <c r="WZZ116" s="38"/>
      <c r="XAA116" s="38"/>
      <c r="XAG116" s="36"/>
      <c r="XAH116" s="38"/>
      <c r="XAI116" s="38"/>
      <c r="XAO116" s="36"/>
      <c r="XAP116" s="38"/>
      <c r="XAQ116" s="38"/>
      <c r="XAW116" s="36"/>
      <c r="XAX116" s="38"/>
      <c r="XAY116" s="38"/>
      <c r="XBE116" s="36"/>
      <c r="XBF116" s="38"/>
      <c r="XBG116" s="38"/>
      <c r="XBM116" s="36"/>
      <c r="XBN116" s="38"/>
      <c r="XBO116" s="38"/>
      <c r="XBU116" s="36"/>
      <c r="XBV116" s="38"/>
      <c r="XBW116" s="38"/>
      <c r="XCC116" s="36"/>
      <c r="XCD116" s="38"/>
      <c r="XCE116" s="38"/>
      <c r="XCK116" s="36"/>
      <c r="XCL116" s="38"/>
      <c r="XCM116" s="38"/>
      <c r="XCS116" s="36"/>
      <c r="XCT116" s="38"/>
      <c r="XCU116" s="38"/>
      <c r="XDA116" s="36"/>
      <c r="XDB116" s="38"/>
      <c r="XDC116" s="38"/>
      <c r="XDI116" s="36"/>
      <c r="XDJ116" s="38"/>
      <c r="XDK116" s="38"/>
      <c r="XDQ116" s="36"/>
      <c r="XDR116" s="38"/>
      <c r="XDS116" s="38"/>
      <c r="XDY116" s="36"/>
      <c r="XDZ116" s="38"/>
      <c r="XEA116" s="38"/>
      <c r="XEG116" s="36"/>
      <c r="XEH116" s="38"/>
      <c r="XEI116" s="38"/>
      <c r="XEO116" s="36"/>
      <c r="XEP116" s="38"/>
      <c r="XEQ116" s="38"/>
      <c r="XEW116" s="36"/>
      <c r="XEX116" s="38"/>
      <c r="XEY116" s="38"/>
    </row>
    <row r="117" spans="1:1019 1025:2043 2049:3067 3073:4091 4097:5115 5121:6139 6145:7163 7169:8187 8193:9211 9217:10235 10241:11259 11265:12283 12289:13307 13313:14331 14337:15355 15361:16379" s="24" customFormat="1" ht="15" customHeight="1">
      <c r="A117" s="107"/>
      <c r="B117" s="18" t="s">
        <v>25</v>
      </c>
      <c r="C117" s="38">
        <v>1025870.49</v>
      </c>
      <c r="D117" s="24">
        <v>259417.95</v>
      </c>
      <c r="E117" s="24">
        <v>70979.97</v>
      </c>
      <c r="F117" s="24">
        <v>507060</v>
      </c>
      <c r="G117" s="24">
        <v>186297.56999999998</v>
      </c>
      <c r="H117" s="24">
        <v>2115</v>
      </c>
      <c r="I117" s="36"/>
      <c r="J117" s="38"/>
      <c r="K117" s="38"/>
      <c r="Q117" s="36"/>
      <c r="R117" s="38"/>
      <c r="S117" s="38"/>
      <c r="Y117" s="36"/>
      <c r="Z117" s="38"/>
      <c r="AA117" s="38"/>
      <c r="AG117" s="36"/>
      <c r="AH117" s="38"/>
      <c r="AI117" s="38"/>
      <c r="AO117" s="36"/>
      <c r="AP117" s="38"/>
      <c r="AQ117" s="38"/>
      <c r="AW117" s="36"/>
      <c r="AX117" s="38"/>
      <c r="AY117" s="38"/>
      <c r="BE117" s="36"/>
      <c r="BF117" s="38"/>
      <c r="BG117" s="38"/>
      <c r="BM117" s="36"/>
      <c r="BN117" s="38"/>
      <c r="BO117" s="38"/>
      <c r="BU117" s="36"/>
      <c r="BV117" s="38"/>
      <c r="BW117" s="38"/>
      <c r="CC117" s="36"/>
      <c r="CD117" s="38"/>
      <c r="CE117" s="38"/>
      <c r="CK117" s="36"/>
      <c r="CL117" s="38"/>
      <c r="CM117" s="38"/>
      <c r="CS117" s="36"/>
      <c r="CT117" s="38"/>
      <c r="CU117" s="38"/>
      <c r="DA117" s="36"/>
      <c r="DB117" s="38"/>
      <c r="DC117" s="38"/>
      <c r="DI117" s="36"/>
      <c r="DJ117" s="38"/>
      <c r="DK117" s="38"/>
      <c r="DQ117" s="36"/>
      <c r="DR117" s="38"/>
      <c r="DS117" s="38"/>
      <c r="DY117" s="36"/>
      <c r="DZ117" s="38"/>
      <c r="EA117" s="38"/>
      <c r="EG117" s="36"/>
      <c r="EH117" s="38"/>
      <c r="EI117" s="38"/>
      <c r="EO117" s="36"/>
      <c r="EP117" s="38"/>
      <c r="EQ117" s="38"/>
      <c r="EW117" s="36"/>
      <c r="EX117" s="38"/>
      <c r="EY117" s="38"/>
      <c r="FE117" s="36"/>
      <c r="FF117" s="38"/>
      <c r="FG117" s="38"/>
      <c r="FM117" s="36"/>
      <c r="FN117" s="38"/>
      <c r="FO117" s="38"/>
      <c r="FU117" s="36"/>
      <c r="FV117" s="38"/>
      <c r="FW117" s="38"/>
      <c r="GC117" s="36"/>
      <c r="GD117" s="38"/>
      <c r="GE117" s="38"/>
      <c r="GK117" s="36"/>
      <c r="GL117" s="38"/>
      <c r="GM117" s="38"/>
      <c r="GS117" s="36"/>
      <c r="GT117" s="38"/>
      <c r="GU117" s="38"/>
      <c r="HA117" s="36"/>
      <c r="HB117" s="38"/>
      <c r="HC117" s="38"/>
      <c r="HI117" s="36"/>
      <c r="HJ117" s="38"/>
      <c r="HK117" s="38"/>
      <c r="HQ117" s="36"/>
      <c r="HR117" s="38"/>
      <c r="HS117" s="38"/>
      <c r="HY117" s="36"/>
      <c r="HZ117" s="38"/>
      <c r="IA117" s="38"/>
      <c r="IG117" s="36"/>
      <c r="IH117" s="38"/>
      <c r="II117" s="38"/>
      <c r="IO117" s="36"/>
      <c r="IP117" s="38"/>
      <c r="IQ117" s="38"/>
      <c r="IW117" s="36"/>
      <c r="IX117" s="38"/>
      <c r="IY117" s="38"/>
      <c r="JE117" s="36"/>
      <c r="JF117" s="38"/>
      <c r="JG117" s="38"/>
      <c r="JM117" s="36"/>
      <c r="JN117" s="38"/>
      <c r="JO117" s="38"/>
      <c r="JU117" s="36"/>
      <c r="JV117" s="38"/>
      <c r="JW117" s="38"/>
      <c r="KC117" s="36"/>
      <c r="KD117" s="38"/>
      <c r="KE117" s="38"/>
      <c r="KK117" s="36"/>
      <c r="KL117" s="38"/>
      <c r="KM117" s="38"/>
      <c r="KS117" s="36"/>
      <c r="KT117" s="38"/>
      <c r="KU117" s="38"/>
      <c r="LA117" s="36"/>
      <c r="LB117" s="38"/>
      <c r="LC117" s="38"/>
      <c r="LI117" s="36"/>
      <c r="LJ117" s="38"/>
      <c r="LK117" s="38"/>
      <c r="LQ117" s="36"/>
      <c r="LR117" s="38"/>
      <c r="LS117" s="38"/>
      <c r="LY117" s="36"/>
      <c r="LZ117" s="38"/>
      <c r="MA117" s="38"/>
      <c r="MG117" s="36"/>
      <c r="MH117" s="38"/>
      <c r="MI117" s="38"/>
      <c r="MO117" s="36"/>
      <c r="MP117" s="38"/>
      <c r="MQ117" s="38"/>
      <c r="MW117" s="36"/>
      <c r="MX117" s="38"/>
      <c r="MY117" s="38"/>
      <c r="NE117" s="36"/>
      <c r="NF117" s="38"/>
      <c r="NG117" s="38"/>
      <c r="NM117" s="36"/>
      <c r="NN117" s="38"/>
      <c r="NO117" s="38"/>
      <c r="NU117" s="36"/>
      <c r="NV117" s="38"/>
      <c r="NW117" s="38"/>
      <c r="OC117" s="36"/>
      <c r="OD117" s="38"/>
      <c r="OE117" s="38"/>
      <c r="OK117" s="36"/>
      <c r="OL117" s="38"/>
      <c r="OM117" s="38"/>
      <c r="OS117" s="36"/>
      <c r="OT117" s="38"/>
      <c r="OU117" s="38"/>
      <c r="PA117" s="36"/>
      <c r="PB117" s="38"/>
      <c r="PC117" s="38"/>
      <c r="PI117" s="36"/>
      <c r="PJ117" s="38"/>
      <c r="PK117" s="38"/>
      <c r="PQ117" s="36"/>
      <c r="PR117" s="38"/>
      <c r="PS117" s="38"/>
      <c r="PY117" s="36"/>
      <c r="PZ117" s="38"/>
      <c r="QA117" s="38"/>
      <c r="QG117" s="36"/>
      <c r="QH117" s="38"/>
      <c r="QI117" s="38"/>
      <c r="QO117" s="36"/>
      <c r="QP117" s="38"/>
      <c r="QQ117" s="38"/>
      <c r="QW117" s="36"/>
      <c r="QX117" s="38"/>
      <c r="QY117" s="38"/>
      <c r="RE117" s="36"/>
      <c r="RF117" s="38"/>
      <c r="RG117" s="38"/>
      <c r="RM117" s="36"/>
      <c r="RN117" s="38"/>
      <c r="RO117" s="38"/>
      <c r="RU117" s="36"/>
      <c r="RV117" s="38"/>
      <c r="RW117" s="38"/>
      <c r="SC117" s="36"/>
      <c r="SD117" s="38"/>
      <c r="SE117" s="38"/>
      <c r="SK117" s="36"/>
      <c r="SL117" s="38"/>
      <c r="SM117" s="38"/>
      <c r="SS117" s="36"/>
      <c r="ST117" s="38"/>
      <c r="SU117" s="38"/>
      <c r="TA117" s="36"/>
      <c r="TB117" s="38"/>
      <c r="TC117" s="38"/>
      <c r="TI117" s="36"/>
      <c r="TJ117" s="38"/>
      <c r="TK117" s="38"/>
      <c r="TQ117" s="36"/>
      <c r="TR117" s="38"/>
      <c r="TS117" s="38"/>
      <c r="TY117" s="36"/>
      <c r="TZ117" s="38"/>
      <c r="UA117" s="38"/>
      <c r="UG117" s="36"/>
      <c r="UH117" s="38"/>
      <c r="UI117" s="38"/>
      <c r="UO117" s="36"/>
      <c r="UP117" s="38"/>
      <c r="UQ117" s="38"/>
      <c r="UW117" s="36"/>
      <c r="UX117" s="38"/>
      <c r="UY117" s="38"/>
      <c r="VE117" s="36"/>
      <c r="VF117" s="38"/>
      <c r="VG117" s="38"/>
      <c r="VM117" s="36"/>
      <c r="VN117" s="38"/>
      <c r="VO117" s="38"/>
      <c r="VU117" s="36"/>
      <c r="VV117" s="38"/>
      <c r="VW117" s="38"/>
      <c r="WC117" s="36"/>
      <c r="WD117" s="38"/>
      <c r="WE117" s="38"/>
      <c r="WK117" s="36"/>
      <c r="WL117" s="38"/>
      <c r="WM117" s="38"/>
      <c r="WS117" s="36"/>
      <c r="WT117" s="38"/>
      <c r="WU117" s="38"/>
      <c r="XA117" s="36"/>
      <c r="XB117" s="38"/>
      <c r="XC117" s="38"/>
      <c r="XI117" s="36"/>
      <c r="XJ117" s="38"/>
      <c r="XK117" s="38"/>
      <c r="XQ117" s="36"/>
      <c r="XR117" s="38"/>
      <c r="XS117" s="38"/>
      <c r="XY117" s="36"/>
      <c r="XZ117" s="38"/>
      <c r="YA117" s="38"/>
      <c r="YG117" s="36"/>
      <c r="YH117" s="38"/>
      <c r="YI117" s="38"/>
      <c r="YO117" s="36"/>
      <c r="YP117" s="38"/>
      <c r="YQ117" s="38"/>
      <c r="YW117" s="36"/>
      <c r="YX117" s="38"/>
      <c r="YY117" s="38"/>
      <c r="ZE117" s="36"/>
      <c r="ZF117" s="38"/>
      <c r="ZG117" s="38"/>
      <c r="ZM117" s="36"/>
      <c r="ZN117" s="38"/>
      <c r="ZO117" s="38"/>
      <c r="ZU117" s="36"/>
      <c r="ZV117" s="38"/>
      <c r="ZW117" s="38"/>
      <c r="AAC117" s="36"/>
      <c r="AAD117" s="38"/>
      <c r="AAE117" s="38"/>
      <c r="AAK117" s="36"/>
      <c r="AAL117" s="38"/>
      <c r="AAM117" s="38"/>
      <c r="AAS117" s="36"/>
      <c r="AAT117" s="38"/>
      <c r="AAU117" s="38"/>
      <c r="ABA117" s="36"/>
      <c r="ABB117" s="38"/>
      <c r="ABC117" s="38"/>
      <c r="ABI117" s="36"/>
      <c r="ABJ117" s="38"/>
      <c r="ABK117" s="38"/>
      <c r="ABQ117" s="36"/>
      <c r="ABR117" s="38"/>
      <c r="ABS117" s="38"/>
      <c r="ABY117" s="36"/>
      <c r="ABZ117" s="38"/>
      <c r="ACA117" s="38"/>
      <c r="ACG117" s="36"/>
      <c r="ACH117" s="38"/>
      <c r="ACI117" s="38"/>
      <c r="ACO117" s="36"/>
      <c r="ACP117" s="38"/>
      <c r="ACQ117" s="38"/>
      <c r="ACW117" s="36"/>
      <c r="ACX117" s="38"/>
      <c r="ACY117" s="38"/>
      <c r="ADE117" s="36"/>
      <c r="ADF117" s="38"/>
      <c r="ADG117" s="38"/>
      <c r="ADM117" s="36"/>
      <c r="ADN117" s="38"/>
      <c r="ADO117" s="38"/>
      <c r="ADU117" s="36"/>
      <c r="ADV117" s="38"/>
      <c r="ADW117" s="38"/>
      <c r="AEC117" s="36"/>
      <c r="AED117" s="38"/>
      <c r="AEE117" s="38"/>
      <c r="AEK117" s="36"/>
      <c r="AEL117" s="38"/>
      <c r="AEM117" s="38"/>
      <c r="AES117" s="36"/>
      <c r="AET117" s="38"/>
      <c r="AEU117" s="38"/>
      <c r="AFA117" s="36"/>
      <c r="AFB117" s="38"/>
      <c r="AFC117" s="38"/>
      <c r="AFI117" s="36"/>
      <c r="AFJ117" s="38"/>
      <c r="AFK117" s="38"/>
      <c r="AFQ117" s="36"/>
      <c r="AFR117" s="38"/>
      <c r="AFS117" s="38"/>
      <c r="AFY117" s="36"/>
      <c r="AFZ117" s="38"/>
      <c r="AGA117" s="38"/>
      <c r="AGG117" s="36"/>
      <c r="AGH117" s="38"/>
      <c r="AGI117" s="38"/>
      <c r="AGO117" s="36"/>
      <c r="AGP117" s="38"/>
      <c r="AGQ117" s="38"/>
      <c r="AGW117" s="36"/>
      <c r="AGX117" s="38"/>
      <c r="AGY117" s="38"/>
      <c r="AHE117" s="36"/>
      <c r="AHF117" s="38"/>
      <c r="AHG117" s="38"/>
      <c r="AHM117" s="36"/>
      <c r="AHN117" s="38"/>
      <c r="AHO117" s="38"/>
      <c r="AHU117" s="36"/>
      <c r="AHV117" s="38"/>
      <c r="AHW117" s="38"/>
      <c r="AIC117" s="36"/>
      <c r="AID117" s="38"/>
      <c r="AIE117" s="38"/>
      <c r="AIK117" s="36"/>
      <c r="AIL117" s="38"/>
      <c r="AIM117" s="38"/>
      <c r="AIS117" s="36"/>
      <c r="AIT117" s="38"/>
      <c r="AIU117" s="38"/>
      <c r="AJA117" s="36"/>
      <c r="AJB117" s="38"/>
      <c r="AJC117" s="38"/>
      <c r="AJI117" s="36"/>
      <c r="AJJ117" s="38"/>
      <c r="AJK117" s="38"/>
      <c r="AJQ117" s="36"/>
      <c r="AJR117" s="38"/>
      <c r="AJS117" s="38"/>
      <c r="AJY117" s="36"/>
      <c r="AJZ117" s="38"/>
      <c r="AKA117" s="38"/>
      <c r="AKG117" s="36"/>
      <c r="AKH117" s="38"/>
      <c r="AKI117" s="38"/>
      <c r="AKO117" s="36"/>
      <c r="AKP117" s="38"/>
      <c r="AKQ117" s="38"/>
      <c r="AKW117" s="36"/>
      <c r="AKX117" s="38"/>
      <c r="AKY117" s="38"/>
      <c r="ALE117" s="36"/>
      <c r="ALF117" s="38"/>
      <c r="ALG117" s="38"/>
      <c r="ALM117" s="36"/>
      <c r="ALN117" s="38"/>
      <c r="ALO117" s="38"/>
      <c r="ALU117" s="36"/>
      <c r="ALV117" s="38"/>
      <c r="ALW117" s="38"/>
      <c r="AMC117" s="36"/>
      <c r="AMD117" s="38"/>
      <c r="AME117" s="38"/>
      <c r="AMK117" s="36"/>
      <c r="AML117" s="38"/>
      <c r="AMM117" s="38"/>
      <c r="AMS117" s="36"/>
      <c r="AMT117" s="38"/>
      <c r="AMU117" s="38"/>
      <c r="ANA117" s="36"/>
      <c r="ANB117" s="38"/>
      <c r="ANC117" s="38"/>
      <c r="ANI117" s="36"/>
      <c r="ANJ117" s="38"/>
      <c r="ANK117" s="38"/>
      <c r="ANQ117" s="36"/>
      <c r="ANR117" s="38"/>
      <c r="ANS117" s="38"/>
      <c r="ANY117" s="36"/>
      <c r="ANZ117" s="38"/>
      <c r="AOA117" s="38"/>
      <c r="AOG117" s="36"/>
      <c r="AOH117" s="38"/>
      <c r="AOI117" s="38"/>
      <c r="AOO117" s="36"/>
      <c r="AOP117" s="38"/>
      <c r="AOQ117" s="38"/>
      <c r="AOW117" s="36"/>
      <c r="AOX117" s="38"/>
      <c r="AOY117" s="38"/>
      <c r="APE117" s="36"/>
      <c r="APF117" s="38"/>
      <c r="APG117" s="38"/>
      <c r="APM117" s="36"/>
      <c r="APN117" s="38"/>
      <c r="APO117" s="38"/>
      <c r="APU117" s="36"/>
      <c r="APV117" s="38"/>
      <c r="APW117" s="38"/>
      <c r="AQC117" s="36"/>
      <c r="AQD117" s="38"/>
      <c r="AQE117" s="38"/>
      <c r="AQK117" s="36"/>
      <c r="AQL117" s="38"/>
      <c r="AQM117" s="38"/>
      <c r="AQS117" s="36"/>
      <c r="AQT117" s="38"/>
      <c r="AQU117" s="38"/>
      <c r="ARA117" s="36"/>
      <c r="ARB117" s="38"/>
      <c r="ARC117" s="38"/>
      <c r="ARI117" s="36"/>
      <c r="ARJ117" s="38"/>
      <c r="ARK117" s="38"/>
      <c r="ARQ117" s="36"/>
      <c r="ARR117" s="38"/>
      <c r="ARS117" s="38"/>
      <c r="ARY117" s="36"/>
      <c r="ARZ117" s="38"/>
      <c r="ASA117" s="38"/>
      <c r="ASG117" s="36"/>
      <c r="ASH117" s="38"/>
      <c r="ASI117" s="38"/>
      <c r="ASO117" s="36"/>
      <c r="ASP117" s="38"/>
      <c r="ASQ117" s="38"/>
      <c r="ASW117" s="36"/>
      <c r="ASX117" s="38"/>
      <c r="ASY117" s="38"/>
      <c r="ATE117" s="36"/>
      <c r="ATF117" s="38"/>
      <c r="ATG117" s="38"/>
      <c r="ATM117" s="36"/>
      <c r="ATN117" s="38"/>
      <c r="ATO117" s="38"/>
      <c r="ATU117" s="36"/>
      <c r="ATV117" s="38"/>
      <c r="ATW117" s="38"/>
      <c r="AUC117" s="36"/>
      <c r="AUD117" s="38"/>
      <c r="AUE117" s="38"/>
      <c r="AUK117" s="36"/>
      <c r="AUL117" s="38"/>
      <c r="AUM117" s="38"/>
      <c r="AUS117" s="36"/>
      <c r="AUT117" s="38"/>
      <c r="AUU117" s="38"/>
      <c r="AVA117" s="36"/>
      <c r="AVB117" s="38"/>
      <c r="AVC117" s="38"/>
      <c r="AVI117" s="36"/>
      <c r="AVJ117" s="38"/>
      <c r="AVK117" s="38"/>
      <c r="AVQ117" s="36"/>
      <c r="AVR117" s="38"/>
      <c r="AVS117" s="38"/>
      <c r="AVY117" s="36"/>
      <c r="AVZ117" s="38"/>
      <c r="AWA117" s="38"/>
      <c r="AWG117" s="36"/>
      <c r="AWH117" s="38"/>
      <c r="AWI117" s="38"/>
      <c r="AWO117" s="36"/>
      <c r="AWP117" s="38"/>
      <c r="AWQ117" s="38"/>
      <c r="AWW117" s="36"/>
      <c r="AWX117" s="38"/>
      <c r="AWY117" s="38"/>
      <c r="AXE117" s="36"/>
      <c r="AXF117" s="38"/>
      <c r="AXG117" s="38"/>
      <c r="AXM117" s="36"/>
      <c r="AXN117" s="38"/>
      <c r="AXO117" s="38"/>
      <c r="AXU117" s="36"/>
      <c r="AXV117" s="38"/>
      <c r="AXW117" s="38"/>
      <c r="AYC117" s="36"/>
      <c r="AYD117" s="38"/>
      <c r="AYE117" s="38"/>
      <c r="AYK117" s="36"/>
      <c r="AYL117" s="38"/>
      <c r="AYM117" s="38"/>
      <c r="AYS117" s="36"/>
      <c r="AYT117" s="38"/>
      <c r="AYU117" s="38"/>
      <c r="AZA117" s="36"/>
      <c r="AZB117" s="38"/>
      <c r="AZC117" s="38"/>
      <c r="AZI117" s="36"/>
      <c r="AZJ117" s="38"/>
      <c r="AZK117" s="38"/>
      <c r="AZQ117" s="36"/>
      <c r="AZR117" s="38"/>
      <c r="AZS117" s="38"/>
      <c r="AZY117" s="36"/>
      <c r="AZZ117" s="38"/>
      <c r="BAA117" s="38"/>
      <c r="BAG117" s="36"/>
      <c r="BAH117" s="38"/>
      <c r="BAI117" s="38"/>
      <c r="BAO117" s="36"/>
      <c r="BAP117" s="38"/>
      <c r="BAQ117" s="38"/>
      <c r="BAW117" s="36"/>
      <c r="BAX117" s="38"/>
      <c r="BAY117" s="38"/>
      <c r="BBE117" s="36"/>
      <c r="BBF117" s="38"/>
      <c r="BBG117" s="38"/>
      <c r="BBM117" s="36"/>
      <c r="BBN117" s="38"/>
      <c r="BBO117" s="38"/>
      <c r="BBU117" s="36"/>
      <c r="BBV117" s="38"/>
      <c r="BBW117" s="38"/>
      <c r="BCC117" s="36"/>
      <c r="BCD117" s="38"/>
      <c r="BCE117" s="38"/>
      <c r="BCK117" s="36"/>
      <c r="BCL117" s="38"/>
      <c r="BCM117" s="38"/>
      <c r="BCS117" s="36"/>
      <c r="BCT117" s="38"/>
      <c r="BCU117" s="38"/>
      <c r="BDA117" s="36"/>
      <c r="BDB117" s="38"/>
      <c r="BDC117" s="38"/>
      <c r="BDI117" s="36"/>
      <c r="BDJ117" s="38"/>
      <c r="BDK117" s="38"/>
      <c r="BDQ117" s="36"/>
      <c r="BDR117" s="38"/>
      <c r="BDS117" s="38"/>
      <c r="BDY117" s="36"/>
      <c r="BDZ117" s="38"/>
      <c r="BEA117" s="38"/>
      <c r="BEG117" s="36"/>
      <c r="BEH117" s="38"/>
      <c r="BEI117" s="38"/>
      <c r="BEO117" s="36"/>
      <c r="BEP117" s="38"/>
      <c r="BEQ117" s="38"/>
      <c r="BEW117" s="36"/>
      <c r="BEX117" s="38"/>
      <c r="BEY117" s="38"/>
      <c r="BFE117" s="36"/>
      <c r="BFF117" s="38"/>
      <c r="BFG117" s="38"/>
      <c r="BFM117" s="36"/>
      <c r="BFN117" s="38"/>
      <c r="BFO117" s="38"/>
      <c r="BFU117" s="36"/>
      <c r="BFV117" s="38"/>
      <c r="BFW117" s="38"/>
      <c r="BGC117" s="36"/>
      <c r="BGD117" s="38"/>
      <c r="BGE117" s="38"/>
      <c r="BGK117" s="36"/>
      <c r="BGL117" s="38"/>
      <c r="BGM117" s="38"/>
      <c r="BGS117" s="36"/>
      <c r="BGT117" s="38"/>
      <c r="BGU117" s="38"/>
      <c r="BHA117" s="36"/>
      <c r="BHB117" s="38"/>
      <c r="BHC117" s="38"/>
      <c r="BHI117" s="36"/>
      <c r="BHJ117" s="38"/>
      <c r="BHK117" s="38"/>
      <c r="BHQ117" s="36"/>
      <c r="BHR117" s="38"/>
      <c r="BHS117" s="38"/>
      <c r="BHY117" s="36"/>
      <c r="BHZ117" s="38"/>
      <c r="BIA117" s="38"/>
      <c r="BIG117" s="36"/>
      <c r="BIH117" s="38"/>
      <c r="BII117" s="38"/>
      <c r="BIO117" s="36"/>
      <c r="BIP117" s="38"/>
      <c r="BIQ117" s="38"/>
      <c r="BIW117" s="36"/>
      <c r="BIX117" s="38"/>
      <c r="BIY117" s="38"/>
      <c r="BJE117" s="36"/>
      <c r="BJF117" s="38"/>
      <c r="BJG117" s="38"/>
      <c r="BJM117" s="36"/>
      <c r="BJN117" s="38"/>
      <c r="BJO117" s="38"/>
      <c r="BJU117" s="36"/>
      <c r="BJV117" s="38"/>
      <c r="BJW117" s="38"/>
      <c r="BKC117" s="36"/>
      <c r="BKD117" s="38"/>
      <c r="BKE117" s="38"/>
      <c r="BKK117" s="36"/>
      <c r="BKL117" s="38"/>
      <c r="BKM117" s="38"/>
      <c r="BKS117" s="36"/>
      <c r="BKT117" s="38"/>
      <c r="BKU117" s="38"/>
      <c r="BLA117" s="36"/>
      <c r="BLB117" s="38"/>
      <c r="BLC117" s="38"/>
      <c r="BLI117" s="36"/>
      <c r="BLJ117" s="38"/>
      <c r="BLK117" s="38"/>
      <c r="BLQ117" s="36"/>
      <c r="BLR117" s="38"/>
      <c r="BLS117" s="38"/>
      <c r="BLY117" s="36"/>
      <c r="BLZ117" s="38"/>
      <c r="BMA117" s="38"/>
      <c r="BMG117" s="36"/>
      <c r="BMH117" s="38"/>
      <c r="BMI117" s="38"/>
      <c r="BMO117" s="36"/>
      <c r="BMP117" s="38"/>
      <c r="BMQ117" s="38"/>
      <c r="BMW117" s="36"/>
      <c r="BMX117" s="38"/>
      <c r="BMY117" s="38"/>
      <c r="BNE117" s="36"/>
      <c r="BNF117" s="38"/>
      <c r="BNG117" s="38"/>
      <c r="BNM117" s="36"/>
      <c r="BNN117" s="38"/>
      <c r="BNO117" s="38"/>
      <c r="BNU117" s="36"/>
      <c r="BNV117" s="38"/>
      <c r="BNW117" s="38"/>
      <c r="BOC117" s="36"/>
      <c r="BOD117" s="38"/>
      <c r="BOE117" s="38"/>
      <c r="BOK117" s="36"/>
      <c r="BOL117" s="38"/>
      <c r="BOM117" s="38"/>
      <c r="BOS117" s="36"/>
      <c r="BOT117" s="38"/>
      <c r="BOU117" s="38"/>
      <c r="BPA117" s="36"/>
      <c r="BPB117" s="38"/>
      <c r="BPC117" s="38"/>
      <c r="BPI117" s="36"/>
      <c r="BPJ117" s="38"/>
      <c r="BPK117" s="38"/>
      <c r="BPQ117" s="36"/>
      <c r="BPR117" s="38"/>
      <c r="BPS117" s="38"/>
      <c r="BPY117" s="36"/>
      <c r="BPZ117" s="38"/>
      <c r="BQA117" s="38"/>
      <c r="BQG117" s="36"/>
      <c r="BQH117" s="38"/>
      <c r="BQI117" s="38"/>
      <c r="BQO117" s="36"/>
      <c r="BQP117" s="38"/>
      <c r="BQQ117" s="38"/>
      <c r="BQW117" s="36"/>
      <c r="BQX117" s="38"/>
      <c r="BQY117" s="38"/>
      <c r="BRE117" s="36"/>
      <c r="BRF117" s="38"/>
      <c r="BRG117" s="38"/>
      <c r="BRM117" s="36"/>
      <c r="BRN117" s="38"/>
      <c r="BRO117" s="38"/>
      <c r="BRU117" s="36"/>
      <c r="BRV117" s="38"/>
      <c r="BRW117" s="38"/>
      <c r="BSC117" s="36"/>
      <c r="BSD117" s="38"/>
      <c r="BSE117" s="38"/>
      <c r="BSK117" s="36"/>
      <c r="BSL117" s="38"/>
      <c r="BSM117" s="38"/>
      <c r="BSS117" s="36"/>
      <c r="BST117" s="38"/>
      <c r="BSU117" s="38"/>
      <c r="BTA117" s="36"/>
      <c r="BTB117" s="38"/>
      <c r="BTC117" s="38"/>
      <c r="BTI117" s="36"/>
      <c r="BTJ117" s="38"/>
      <c r="BTK117" s="38"/>
      <c r="BTQ117" s="36"/>
      <c r="BTR117" s="38"/>
      <c r="BTS117" s="38"/>
      <c r="BTY117" s="36"/>
      <c r="BTZ117" s="38"/>
      <c r="BUA117" s="38"/>
      <c r="BUG117" s="36"/>
      <c r="BUH117" s="38"/>
      <c r="BUI117" s="38"/>
      <c r="BUO117" s="36"/>
      <c r="BUP117" s="38"/>
      <c r="BUQ117" s="38"/>
      <c r="BUW117" s="36"/>
      <c r="BUX117" s="38"/>
      <c r="BUY117" s="38"/>
      <c r="BVE117" s="36"/>
      <c r="BVF117" s="38"/>
      <c r="BVG117" s="38"/>
      <c r="BVM117" s="36"/>
      <c r="BVN117" s="38"/>
      <c r="BVO117" s="38"/>
      <c r="BVU117" s="36"/>
      <c r="BVV117" s="38"/>
      <c r="BVW117" s="38"/>
      <c r="BWC117" s="36"/>
      <c r="BWD117" s="38"/>
      <c r="BWE117" s="38"/>
      <c r="BWK117" s="36"/>
      <c r="BWL117" s="38"/>
      <c r="BWM117" s="38"/>
      <c r="BWS117" s="36"/>
      <c r="BWT117" s="38"/>
      <c r="BWU117" s="38"/>
      <c r="BXA117" s="36"/>
      <c r="BXB117" s="38"/>
      <c r="BXC117" s="38"/>
      <c r="BXI117" s="36"/>
      <c r="BXJ117" s="38"/>
      <c r="BXK117" s="38"/>
      <c r="BXQ117" s="36"/>
      <c r="BXR117" s="38"/>
      <c r="BXS117" s="38"/>
      <c r="BXY117" s="36"/>
      <c r="BXZ117" s="38"/>
      <c r="BYA117" s="38"/>
      <c r="BYG117" s="36"/>
      <c r="BYH117" s="38"/>
      <c r="BYI117" s="38"/>
      <c r="BYO117" s="36"/>
      <c r="BYP117" s="38"/>
      <c r="BYQ117" s="38"/>
      <c r="BYW117" s="36"/>
      <c r="BYX117" s="38"/>
      <c r="BYY117" s="38"/>
      <c r="BZE117" s="36"/>
      <c r="BZF117" s="38"/>
      <c r="BZG117" s="38"/>
      <c r="BZM117" s="36"/>
      <c r="BZN117" s="38"/>
      <c r="BZO117" s="38"/>
      <c r="BZU117" s="36"/>
      <c r="BZV117" s="38"/>
      <c r="BZW117" s="38"/>
      <c r="CAC117" s="36"/>
      <c r="CAD117" s="38"/>
      <c r="CAE117" s="38"/>
      <c r="CAK117" s="36"/>
      <c r="CAL117" s="38"/>
      <c r="CAM117" s="38"/>
      <c r="CAS117" s="36"/>
      <c r="CAT117" s="38"/>
      <c r="CAU117" s="38"/>
      <c r="CBA117" s="36"/>
      <c r="CBB117" s="38"/>
      <c r="CBC117" s="38"/>
      <c r="CBI117" s="36"/>
      <c r="CBJ117" s="38"/>
      <c r="CBK117" s="38"/>
      <c r="CBQ117" s="36"/>
      <c r="CBR117" s="38"/>
      <c r="CBS117" s="38"/>
      <c r="CBY117" s="36"/>
      <c r="CBZ117" s="38"/>
      <c r="CCA117" s="38"/>
      <c r="CCG117" s="36"/>
      <c r="CCH117" s="38"/>
      <c r="CCI117" s="38"/>
      <c r="CCO117" s="36"/>
      <c r="CCP117" s="38"/>
      <c r="CCQ117" s="38"/>
      <c r="CCW117" s="36"/>
      <c r="CCX117" s="38"/>
      <c r="CCY117" s="38"/>
      <c r="CDE117" s="36"/>
      <c r="CDF117" s="38"/>
      <c r="CDG117" s="38"/>
      <c r="CDM117" s="36"/>
      <c r="CDN117" s="38"/>
      <c r="CDO117" s="38"/>
      <c r="CDU117" s="36"/>
      <c r="CDV117" s="38"/>
      <c r="CDW117" s="38"/>
      <c r="CEC117" s="36"/>
      <c r="CED117" s="38"/>
      <c r="CEE117" s="38"/>
      <c r="CEK117" s="36"/>
      <c r="CEL117" s="38"/>
      <c r="CEM117" s="38"/>
      <c r="CES117" s="36"/>
      <c r="CET117" s="38"/>
      <c r="CEU117" s="38"/>
      <c r="CFA117" s="36"/>
      <c r="CFB117" s="38"/>
      <c r="CFC117" s="38"/>
      <c r="CFI117" s="36"/>
      <c r="CFJ117" s="38"/>
      <c r="CFK117" s="38"/>
      <c r="CFQ117" s="36"/>
      <c r="CFR117" s="38"/>
      <c r="CFS117" s="38"/>
      <c r="CFY117" s="36"/>
      <c r="CFZ117" s="38"/>
      <c r="CGA117" s="38"/>
      <c r="CGG117" s="36"/>
      <c r="CGH117" s="38"/>
      <c r="CGI117" s="38"/>
      <c r="CGO117" s="36"/>
      <c r="CGP117" s="38"/>
      <c r="CGQ117" s="38"/>
      <c r="CGW117" s="36"/>
      <c r="CGX117" s="38"/>
      <c r="CGY117" s="38"/>
      <c r="CHE117" s="36"/>
      <c r="CHF117" s="38"/>
      <c r="CHG117" s="38"/>
      <c r="CHM117" s="36"/>
      <c r="CHN117" s="38"/>
      <c r="CHO117" s="38"/>
      <c r="CHU117" s="36"/>
      <c r="CHV117" s="38"/>
      <c r="CHW117" s="38"/>
      <c r="CIC117" s="36"/>
      <c r="CID117" s="38"/>
      <c r="CIE117" s="38"/>
      <c r="CIK117" s="36"/>
      <c r="CIL117" s="38"/>
      <c r="CIM117" s="38"/>
      <c r="CIS117" s="36"/>
      <c r="CIT117" s="38"/>
      <c r="CIU117" s="38"/>
      <c r="CJA117" s="36"/>
      <c r="CJB117" s="38"/>
      <c r="CJC117" s="38"/>
      <c r="CJI117" s="36"/>
      <c r="CJJ117" s="38"/>
      <c r="CJK117" s="38"/>
      <c r="CJQ117" s="36"/>
      <c r="CJR117" s="38"/>
      <c r="CJS117" s="38"/>
      <c r="CJY117" s="36"/>
      <c r="CJZ117" s="38"/>
      <c r="CKA117" s="38"/>
      <c r="CKG117" s="36"/>
      <c r="CKH117" s="38"/>
      <c r="CKI117" s="38"/>
      <c r="CKO117" s="36"/>
      <c r="CKP117" s="38"/>
      <c r="CKQ117" s="38"/>
      <c r="CKW117" s="36"/>
      <c r="CKX117" s="38"/>
      <c r="CKY117" s="38"/>
      <c r="CLE117" s="36"/>
      <c r="CLF117" s="38"/>
      <c r="CLG117" s="38"/>
      <c r="CLM117" s="36"/>
      <c r="CLN117" s="38"/>
      <c r="CLO117" s="38"/>
      <c r="CLU117" s="36"/>
      <c r="CLV117" s="38"/>
      <c r="CLW117" s="38"/>
      <c r="CMC117" s="36"/>
      <c r="CMD117" s="38"/>
      <c r="CME117" s="38"/>
      <c r="CMK117" s="36"/>
      <c r="CML117" s="38"/>
      <c r="CMM117" s="38"/>
      <c r="CMS117" s="36"/>
      <c r="CMT117" s="38"/>
      <c r="CMU117" s="38"/>
      <c r="CNA117" s="36"/>
      <c r="CNB117" s="38"/>
      <c r="CNC117" s="38"/>
      <c r="CNI117" s="36"/>
      <c r="CNJ117" s="38"/>
      <c r="CNK117" s="38"/>
      <c r="CNQ117" s="36"/>
      <c r="CNR117" s="38"/>
      <c r="CNS117" s="38"/>
      <c r="CNY117" s="36"/>
      <c r="CNZ117" s="38"/>
      <c r="COA117" s="38"/>
      <c r="COG117" s="36"/>
      <c r="COH117" s="38"/>
      <c r="COI117" s="38"/>
      <c r="COO117" s="36"/>
      <c r="COP117" s="38"/>
      <c r="COQ117" s="38"/>
      <c r="COW117" s="36"/>
      <c r="COX117" s="38"/>
      <c r="COY117" s="38"/>
      <c r="CPE117" s="36"/>
      <c r="CPF117" s="38"/>
      <c r="CPG117" s="38"/>
      <c r="CPM117" s="36"/>
      <c r="CPN117" s="38"/>
      <c r="CPO117" s="38"/>
      <c r="CPU117" s="36"/>
      <c r="CPV117" s="38"/>
      <c r="CPW117" s="38"/>
      <c r="CQC117" s="36"/>
      <c r="CQD117" s="38"/>
      <c r="CQE117" s="38"/>
      <c r="CQK117" s="36"/>
      <c r="CQL117" s="38"/>
      <c r="CQM117" s="38"/>
      <c r="CQS117" s="36"/>
      <c r="CQT117" s="38"/>
      <c r="CQU117" s="38"/>
      <c r="CRA117" s="36"/>
      <c r="CRB117" s="38"/>
      <c r="CRC117" s="38"/>
      <c r="CRI117" s="36"/>
      <c r="CRJ117" s="38"/>
      <c r="CRK117" s="38"/>
      <c r="CRQ117" s="36"/>
      <c r="CRR117" s="38"/>
      <c r="CRS117" s="38"/>
      <c r="CRY117" s="36"/>
      <c r="CRZ117" s="38"/>
      <c r="CSA117" s="38"/>
      <c r="CSG117" s="36"/>
      <c r="CSH117" s="38"/>
      <c r="CSI117" s="38"/>
      <c r="CSO117" s="36"/>
      <c r="CSP117" s="38"/>
      <c r="CSQ117" s="38"/>
      <c r="CSW117" s="36"/>
      <c r="CSX117" s="38"/>
      <c r="CSY117" s="38"/>
      <c r="CTE117" s="36"/>
      <c r="CTF117" s="38"/>
      <c r="CTG117" s="38"/>
      <c r="CTM117" s="36"/>
      <c r="CTN117" s="38"/>
      <c r="CTO117" s="38"/>
      <c r="CTU117" s="36"/>
      <c r="CTV117" s="38"/>
      <c r="CTW117" s="38"/>
      <c r="CUC117" s="36"/>
      <c r="CUD117" s="38"/>
      <c r="CUE117" s="38"/>
      <c r="CUK117" s="36"/>
      <c r="CUL117" s="38"/>
      <c r="CUM117" s="38"/>
      <c r="CUS117" s="36"/>
      <c r="CUT117" s="38"/>
      <c r="CUU117" s="38"/>
      <c r="CVA117" s="36"/>
      <c r="CVB117" s="38"/>
      <c r="CVC117" s="38"/>
      <c r="CVI117" s="36"/>
      <c r="CVJ117" s="38"/>
      <c r="CVK117" s="38"/>
      <c r="CVQ117" s="36"/>
      <c r="CVR117" s="38"/>
      <c r="CVS117" s="38"/>
      <c r="CVY117" s="36"/>
      <c r="CVZ117" s="38"/>
      <c r="CWA117" s="38"/>
      <c r="CWG117" s="36"/>
      <c r="CWH117" s="38"/>
      <c r="CWI117" s="38"/>
      <c r="CWO117" s="36"/>
      <c r="CWP117" s="38"/>
      <c r="CWQ117" s="38"/>
      <c r="CWW117" s="36"/>
      <c r="CWX117" s="38"/>
      <c r="CWY117" s="38"/>
      <c r="CXE117" s="36"/>
      <c r="CXF117" s="38"/>
      <c r="CXG117" s="38"/>
      <c r="CXM117" s="36"/>
      <c r="CXN117" s="38"/>
      <c r="CXO117" s="38"/>
      <c r="CXU117" s="36"/>
      <c r="CXV117" s="38"/>
      <c r="CXW117" s="38"/>
      <c r="CYC117" s="36"/>
      <c r="CYD117" s="38"/>
      <c r="CYE117" s="38"/>
      <c r="CYK117" s="36"/>
      <c r="CYL117" s="38"/>
      <c r="CYM117" s="38"/>
      <c r="CYS117" s="36"/>
      <c r="CYT117" s="38"/>
      <c r="CYU117" s="38"/>
      <c r="CZA117" s="36"/>
      <c r="CZB117" s="38"/>
      <c r="CZC117" s="38"/>
      <c r="CZI117" s="36"/>
      <c r="CZJ117" s="38"/>
      <c r="CZK117" s="38"/>
      <c r="CZQ117" s="36"/>
      <c r="CZR117" s="38"/>
      <c r="CZS117" s="38"/>
      <c r="CZY117" s="36"/>
      <c r="CZZ117" s="38"/>
      <c r="DAA117" s="38"/>
      <c r="DAG117" s="36"/>
      <c r="DAH117" s="38"/>
      <c r="DAI117" s="38"/>
      <c r="DAO117" s="36"/>
      <c r="DAP117" s="38"/>
      <c r="DAQ117" s="38"/>
      <c r="DAW117" s="36"/>
      <c r="DAX117" s="38"/>
      <c r="DAY117" s="38"/>
      <c r="DBE117" s="36"/>
      <c r="DBF117" s="38"/>
      <c r="DBG117" s="38"/>
      <c r="DBM117" s="36"/>
      <c r="DBN117" s="38"/>
      <c r="DBO117" s="38"/>
      <c r="DBU117" s="36"/>
      <c r="DBV117" s="38"/>
      <c r="DBW117" s="38"/>
      <c r="DCC117" s="36"/>
      <c r="DCD117" s="38"/>
      <c r="DCE117" s="38"/>
      <c r="DCK117" s="36"/>
      <c r="DCL117" s="38"/>
      <c r="DCM117" s="38"/>
      <c r="DCS117" s="36"/>
      <c r="DCT117" s="38"/>
      <c r="DCU117" s="38"/>
      <c r="DDA117" s="36"/>
      <c r="DDB117" s="38"/>
      <c r="DDC117" s="38"/>
      <c r="DDI117" s="36"/>
      <c r="DDJ117" s="38"/>
      <c r="DDK117" s="38"/>
      <c r="DDQ117" s="36"/>
      <c r="DDR117" s="38"/>
      <c r="DDS117" s="38"/>
      <c r="DDY117" s="36"/>
      <c r="DDZ117" s="38"/>
      <c r="DEA117" s="38"/>
      <c r="DEG117" s="36"/>
      <c r="DEH117" s="38"/>
      <c r="DEI117" s="38"/>
      <c r="DEO117" s="36"/>
      <c r="DEP117" s="38"/>
      <c r="DEQ117" s="38"/>
      <c r="DEW117" s="36"/>
      <c r="DEX117" s="38"/>
      <c r="DEY117" s="38"/>
      <c r="DFE117" s="36"/>
      <c r="DFF117" s="38"/>
      <c r="DFG117" s="38"/>
      <c r="DFM117" s="36"/>
      <c r="DFN117" s="38"/>
      <c r="DFO117" s="38"/>
      <c r="DFU117" s="36"/>
      <c r="DFV117" s="38"/>
      <c r="DFW117" s="38"/>
      <c r="DGC117" s="36"/>
      <c r="DGD117" s="38"/>
      <c r="DGE117" s="38"/>
      <c r="DGK117" s="36"/>
      <c r="DGL117" s="38"/>
      <c r="DGM117" s="38"/>
      <c r="DGS117" s="36"/>
      <c r="DGT117" s="38"/>
      <c r="DGU117" s="38"/>
      <c r="DHA117" s="36"/>
      <c r="DHB117" s="38"/>
      <c r="DHC117" s="38"/>
      <c r="DHI117" s="36"/>
      <c r="DHJ117" s="38"/>
      <c r="DHK117" s="38"/>
      <c r="DHQ117" s="36"/>
      <c r="DHR117" s="38"/>
      <c r="DHS117" s="38"/>
      <c r="DHY117" s="36"/>
      <c r="DHZ117" s="38"/>
      <c r="DIA117" s="38"/>
      <c r="DIG117" s="36"/>
      <c r="DIH117" s="38"/>
      <c r="DII117" s="38"/>
      <c r="DIO117" s="36"/>
      <c r="DIP117" s="38"/>
      <c r="DIQ117" s="38"/>
      <c r="DIW117" s="36"/>
      <c r="DIX117" s="38"/>
      <c r="DIY117" s="38"/>
      <c r="DJE117" s="36"/>
      <c r="DJF117" s="38"/>
      <c r="DJG117" s="38"/>
      <c r="DJM117" s="36"/>
      <c r="DJN117" s="38"/>
      <c r="DJO117" s="38"/>
      <c r="DJU117" s="36"/>
      <c r="DJV117" s="38"/>
      <c r="DJW117" s="38"/>
      <c r="DKC117" s="36"/>
      <c r="DKD117" s="38"/>
      <c r="DKE117" s="38"/>
      <c r="DKK117" s="36"/>
      <c r="DKL117" s="38"/>
      <c r="DKM117" s="38"/>
      <c r="DKS117" s="36"/>
      <c r="DKT117" s="38"/>
      <c r="DKU117" s="38"/>
      <c r="DLA117" s="36"/>
      <c r="DLB117" s="38"/>
      <c r="DLC117" s="38"/>
      <c r="DLI117" s="36"/>
      <c r="DLJ117" s="38"/>
      <c r="DLK117" s="38"/>
      <c r="DLQ117" s="36"/>
      <c r="DLR117" s="38"/>
      <c r="DLS117" s="38"/>
      <c r="DLY117" s="36"/>
      <c r="DLZ117" s="38"/>
      <c r="DMA117" s="38"/>
      <c r="DMG117" s="36"/>
      <c r="DMH117" s="38"/>
      <c r="DMI117" s="38"/>
      <c r="DMO117" s="36"/>
      <c r="DMP117" s="38"/>
      <c r="DMQ117" s="38"/>
      <c r="DMW117" s="36"/>
      <c r="DMX117" s="38"/>
      <c r="DMY117" s="38"/>
      <c r="DNE117" s="36"/>
      <c r="DNF117" s="38"/>
      <c r="DNG117" s="38"/>
      <c r="DNM117" s="36"/>
      <c r="DNN117" s="38"/>
      <c r="DNO117" s="38"/>
      <c r="DNU117" s="36"/>
      <c r="DNV117" s="38"/>
      <c r="DNW117" s="38"/>
      <c r="DOC117" s="36"/>
      <c r="DOD117" s="38"/>
      <c r="DOE117" s="38"/>
      <c r="DOK117" s="36"/>
      <c r="DOL117" s="38"/>
      <c r="DOM117" s="38"/>
      <c r="DOS117" s="36"/>
      <c r="DOT117" s="38"/>
      <c r="DOU117" s="38"/>
      <c r="DPA117" s="36"/>
      <c r="DPB117" s="38"/>
      <c r="DPC117" s="38"/>
      <c r="DPI117" s="36"/>
      <c r="DPJ117" s="38"/>
      <c r="DPK117" s="38"/>
      <c r="DPQ117" s="36"/>
      <c r="DPR117" s="38"/>
      <c r="DPS117" s="38"/>
      <c r="DPY117" s="36"/>
      <c r="DPZ117" s="38"/>
      <c r="DQA117" s="38"/>
      <c r="DQG117" s="36"/>
      <c r="DQH117" s="38"/>
      <c r="DQI117" s="38"/>
      <c r="DQO117" s="36"/>
      <c r="DQP117" s="38"/>
      <c r="DQQ117" s="38"/>
      <c r="DQW117" s="36"/>
      <c r="DQX117" s="38"/>
      <c r="DQY117" s="38"/>
      <c r="DRE117" s="36"/>
      <c r="DRF117" s="38"/>
      <c r="DRG117" s="38"/>
      <c r="DRM117" s="36"/>
      <c r="DRN117" s="38"/>
      <c r="DRO117" s="38"/>
      <c r="DRU117" s="36"/>
      <c r="DRV117" s="38"/>
      <c r="DRW117" s="38"/>
      <c r="DSC117" s="36"/>
      <c r="DSD117" s="38"/>
      <c r="DSE117" s="38"/>
      <c r="DSK117" s="36"/>
      <c r="DSL117" s="38"/>
      <c r="DSM117" s="38"/>
      <c r="DSS117" s="36"/>
      <c r="DST117" s="38"/>
      <c r="DSU117" s="38"/>
      <c r="DTA117" s="36"/>
      <c r="DTB117" s="38"/>
      <c r="DTC117" s="38"/>
      <c r="DTI117" s="36"/>
      <c r="DTJ117" s="38"/>
      <c r="DTK117" s="38"/>
      <c r="DTQ117" s="36"/>
      <c r="DTR117" s="38"/>
      <c r="DTS117" s="38"/>
      <c r="DTY117" s="36"/>
      <c r="DTZ117" s="38"/>
      <c r="DUA117" s="38"/>
      <c r="DUG117" s="36"/>
      <c r="DUH117" s="38"/>
      <c r="DUI117" s="38"/>
      <c r="DUO117" s="36"/>
      <c r="DUP117" s="38"/>
      <c r="DUQ117" s="38"/>
      <c r="DUW117" s="36"/>
      <c r="DUX117" s="38"/>
      <c r="DUY117" s="38"/>
      <c r="DVE117" s="36"/>
      <c r="DVF117" s="38"/>
      <c r="DVG117" s="38"/>
      <c r="DVM117" s="36"/>
      <c r="DVN117" s="38"/>
      <c r="DVO117" s="38"/>
      <c r="DVU117" s="36"/>
      <c r="DVV117" s="38"/>
      <c r="DVW117" s="38"/>
      <c r="DWC117" s="36"/>
      <c r="DWD117" s="38"/>
      <c r="DWE117" s="38"/>
      <c r="DWK117" s="36"/>
      <c r="DWL117" s="38"/>
      <c r="DWM117" s="38"/>
      <c r="DWS117" s="36"/>
      <c r="DWT117" s="38"/>
      <c r="DWU117" s="38"/>
      <c r="DXA117" s="36"/>
      <c r="DXB117" s="38"/>
      <c r="DXC117" s="38"/>
      <c r="DXI117" s="36"/>
      <c r="DXJ117" s="38"/>
      <c r="DXK117" s="38"/>
      <c r="DXQ117" s="36"/>
      <c r="DXR117" s="38"/>
      <c r="DXS117" s="38"/>
      <c r="DXY117" s="36"/>
      <c r="DXZ117" s="38"/>
      <c r="DYA117" s="38"/>
      <c r="DYG117" s="36"/>
      <c r="DYH117" s="38"/>
      <c r="DYI117" s="38"/>
      <c r="DYO117" s="36"/>
      <c r="DYP117" s="38"/>
      <c r="DYQ117" s="38"/>
      <c r="DYW117" s="36"/>
      <c r="DYX117" s="38"/>
      <c r="DYY117" s="38"/>
      <c r="DZE117" s="36"/>
      <c r="DZF117" s="38"/>
      <c r="DZG117" s="38"/>
      <c r="DZM117" s="36"/>
      <c r="DZN117" s="38"/>
      <c r="DZO117" s="38"/>
      <c r="DZU117" s="36"/>
      <c r="DZV117" s="38"/>
      <c r="DZW117" s="38"/>
      <c r="EAC117" s="36"/>
      <c r="EAD117" s="38"/>
      <c r="EAE117" s="38"/>
      <c r="EAK117" s="36"/>
      <c r="EAL117" s="38"/>
      <c r="EAM117" s="38"/>
      <c r="EAS117" s="36"/>
      <c r="EAT117" s="38"/>
      <c r="EAU117" s="38"/>
      <c r="EBA117" s="36"/>
      <c r="EBB117" s="38"/>
      <c r="EBC117" s="38"/>
      <c r="EBI117" s="36"/>
      <c r="EBJ117" s="38"/>
      <c r="EBK117" s="38"/>
      <c r="EBQ117" s="36"/>
      <c r="EBR117" s="38"/>
      <c r="EBS117" s="38"/>
      <c r="EBY117" s="36"/>
      <c r="EBZ117" s="38"/>
      <c r="ECA117" s="38"/>
      <c r="ECG117" s="36"/>
      <c r="ECH117" s="38"/>
      <c r="ECI117" s="38"/>
      <c r="ECO117" s="36"/>
      <c r="ECP117" s="38"/>
      <c r="ECQ117" s="38"/>
      <c r="ECW117" s="36"/>
      <c r="ECX117" s="38"/>
      <c r="ECY117" s="38"/>
      <c r="EDE117" s="36"/>
      <c r="EDF117" s="38"/>
      <c r="EDG117" s="38"/>
      <c r="EDM117" s="36"/>
      <c r="EDN117" s="38"/>
      <c r="EDO117" s="38"/>
      <c r="EDU117" s="36"/>
      <c r="EDV117" s="38"/>
      <c r="EDW117" s="38"/>
      <c r="EEC117" s="36"/>
      <c r="EED117" s="38"/>
      <c r="EEE117" s="38"/>
      <c r="EEK117" s="36"/>
      <c r="EEL117" s="38"/>
      <c r="EEM117" s="38"/>
      <c r="EES117" s="36"/>
      <c r="EET117" s="38"/>
      <c r="EEU117" s="38"/>
      <c r="EFA117" s="36"/>
      <c r="EFB117" s="38"/>
      <c r="EFC117" s="38"/>
      <c r="EFI117" s="36"/>
      <c r="EFJ117" s="38"/>
      <c r="EFK117" s="38"/>
      <c r="EFQ117" s="36"/>
      <c r="EFR117" s="38"/>
      <c r="EFS117" s="38"/>
      <c r="EFY117" s="36"/>
      <c r="EFZ117" s="38"/>
      <c r="EGA117" s="38"/>
      <c r="EGG117" s="36"/>
      <c r="EGH117" s="38"/>
      <c r="EGI117" s="38"/>
      <c r="EGO117" s="36"/>
      <c r="EGP117" s="38"/>
      <c r="EGQ117" s="38"/>
      <c r="EGW117" s="36"/>
      <c r="EGX117" s="38"/>
      <c r="EGY117" s="38"/>
      <c r="EHE117" s="36"/>
      <c r="EHF117" s="38"/>
      <c r="EHG117" s="38"/>
      <c r="EHM117" s="36"/>
      <c r="EHN117" s="38"/>
      <c r="EHO117" s="38"/>
      <c r="EHU117" s="36"/>
      <c r="EHV117" s="38"/>
      <c r="EHW117" s="38"/>
      <c r="EIC117" s="36"/>
      <c r="EID117" s="38"/>
      <c r="EIE117" s="38"/>
      <c r="EIK117" s="36"/>
      <c r="EIL117" s="38"/>
      <c r="EIM117" s="38"/>
      <c r="EIS117" s="36"/>
      <c r="EIT117" s="38"/>
      <c r="EIU117" s="38"/>
      <c r="EJA117" s="36"/>
      <c r="EJB117" s="38"/>
      <c r="EJC117" s="38"/>
      <c r="EJI117" s="36"/>
      <c r="EJJ117" s="38"/>
      <c r="EJK117" s="38"/>
      <c r="EJQ117" s="36"/>
      <c r="EJR117" s="38"/>
      <c r="EJS117" s="38"/>
      <c r="EJY117" s="36"/>
      <c r="EJZ117" s="38"/>
      <c r="EKA117" s="38"/>
      <c r="EKG117" s="36"/>
      <c r="EKH117" s="38"/>
      <c r="EKI117" s="38"/>
      <c r="EKO117" s="36"/>
      <c r="EKP117" s="38"/>
      <c r="EKQ117" s="38"/>
      <c r="EKW117" s="36"/>
      <c r="EKX117" s="38"/>
      <c r="EKY117" s="38"/>
      <c r="ELE117" s="36"/>
      <c r="ELF117" s="38"/>
      <c r="ELG117" s="38"/>
      <c r="ELM117" s="36"/>
      <c r="ELN117" s="38"/>
      <c r="ELO117" s="38"/>
      <c r="ELU117" s="36"/>
      <c r="ELV117" s="38"/>
      <c r="ELW117" s="38"/>
      <c r="EMC117" s="36"/>
      <c r="EMD117" s="38"/>
      <c r="EME117" s="38"/>
      <c r="EMK117" s="36"/>
      <c r="EML117" s="38"/>
      <c r="EMM117" s="38"/>
      <c r="EMS117" s="36"/>
      <c r="EMT117" s="38"/>
      <c r="EMU117" s="38"/>
      <c r="ENA117" s="36"/>
      <c r="ENB117" s="38"/>
      <c r="ENC117" s="38"/>
      <c r="ENI117" s="36"/>
      <c r="ENJ117" s="38"/>
      <c r="ENK117" s="38"/>
      <c r="ENQ117" s="36"/>
      <c r="ENR117" s="38"/>
      <c r="ENS117" s="38"/>
      <c r="ENY117" s="36"/>
      <c r="ENZ117" s="38"/>
      <c r="EOA117" s="38"/>
      <c r="EOG117" s="36"/>
      <c r="EOH117" s="38"/>
      <c r="EOI117" s="38"/>
      <c r="EOO117" s="36"/>
      <c r="EOP117" s="38"/>
      <c r="EOQ117" s="38"/>
      <c r="EOW117" s="36"/>
      <c r="EOX117" s="38"/>
      <c r="EOY117" s="38"/>
      <c r="EPE117" s="36"/>
      <c r="EPF117" s="38"/>
      <c r="EPG117" s="38"/>
      <c r="EPM117" s="36"/>
      <c r="EPN117" s="38"/>
      <c r="EPO117" s="38"/>
      <c r="EPU117" s="36"/>
      <c r="EPV117" s="38"/>
      <c r="EPW117" s="38"/>
      <c r="EQC117" s="36"/>
      <c r="EQD117" s="38"/>
      <c r="EQE117" s="38"/>
      <c r="EQK117" s="36"/>
      <c r="EQL117" s="38"/>
      <c r="EQM117" s="38"/>
      <c r="EQS117" s="36"/>
      <c r="EQT117" s="38"/>
      <c r="EQU117" s="38"/>
      <c r="ERA117" s="36"/>
      <c r="ERB117" s="38"/>
      <c r="ERC117" s="38"/>
      <c r="ERI117" s="36"/>
      <c r="ERJ117" s="38"/>
      <c r="ERK117" s="38"/>
      <c r="ERQ117" s="36"/>
      <c r="ERR117" s="38"/>
      <c r="ERS117" s="38"/>
      <c r="ERY117" s="36"/>
      <c r="ERZ117" s="38"/>
      <c r="ESA117" s="38"/>
      <c r="ESG117" s="36"/>
      <c r="ESH117" s="38"/>
      <c r="ESI117" s="38"/>
      <c r="ESO117" s="36"/>
      <c r="ESP117" s="38"/>
      <c r="ESQ117" s="38"/>
      <c r="ESW117" s="36"/>
      <c r="ESX117" s="38"/>
      <c r="ESY117" s="38"/>
      <c r="ETE117" s="36"/>
      <c r="ETF117" s="38"/>
      <c r="ETG117" s="38"/>
      <c r="ETM117" s="36"/>
      <c r="ETN117" s="38"/>
      <c r="ETO117" s="38"/>
      <c r="ETU117" s="36"/>
      <c r="ETV117" s="38"/>
      <c r="ETW117" s="38"/>
      <c r="EUC117" s="36"/>
      <c r="EUD117" s="38"/>
      <c r="EUE117" s="38"/>
      <c r="EUK117" s="36"/>
      <c r="EUL117" s="38"/>
      <c r="EUM117" s="38"/>
      <c r="EUS117" s="36"/>
      <c r="EUT117" s="38"/>
      <c r="EUU117" s="38"/>
      <c r="EVA117" s="36"/>
      <c r="EVB117" s="38"/>
      <c r="EVC117" s="38"/>
      <c r="EVI117" s="36"/>
      <c r="EVJ117" s="38"/>
      <c r="EVK117" s="38"/>
      <c r="EVQ117" s="36"/>
      <c r="EVR117" s="38"/>
      <c r="EVS117" s="38"/>
      <c r="EVY117" s="36"/>
      <c r="EVZ117" s="38"/>
      <c r="EWA117" s="38"/>
      <c r="EWG117" s="36"/>
      <c r="EWH117" s="38"/>
      <c r="EWI117" s="38"/>
      <c r="EWO117" s="36"/>
      <c r="EWP117" s="38"/>
      <c r="EWQ117" s="38"/>
      <c r="EWW117" s="36"/>
      <c r="EWX117" s="38"/>
      <c r="EWY117" s="38"/>
      <c r="EXE117" s="36"/>
      <c r="EXF117" s="38"/>
      <c r="EXG117" s="38"/>
      <c r="EXM117" s="36"/>
      <c r="EXN117" s="38"/>
      <c r="EXO117" s="38"/>
      <c r="EXU117" s="36"/>
      <c r="EXV117" s="38"/>
      <c r="EXW117" s="38"/>
      <c r="EYC117" s="36"/>
      <c r="EYD117" s="38"/>
      <c r="EYE117" s="38"/>
      <c r="EYK117" s="36"/>
      <c r="EYL117" s="38"/>
      <c r="EYM117" s="38"/>
      <c r="EYS117" s="36"/>
      <c r="EYT117" s="38"/>
      <c r="EYU117" s="38"/>
      <c r="EZA117" s="36"/>
      <c r="EZB117" s="38"/>
      <c r="EZC117" s="38"/>
      <c r="EZI117" s="36"/>
      <c r="EZJ117" s="38"/>
      <c r="EZK117" s="38"/>
      <c r="EZQ117" s="36"/>
      <c r="EZR117" s="38"/>
      <c r="EZS117" s="38"/>
      <c r="EZY117" s="36"/>
      <c r="EZZ117" s="38"/>
      <c r="FAA117" s="38"/>
      <c r="FAG117" s="36"/>
      <c r="FAH117" s="38"/>
      <c r="FAI117" s="38"/>
      <c r="FAO117" s="36"/>
      <c r="FAP117" s="38"/>
      <c r="FAQ117" s="38"/>
      <c r="FAW117" s="36"/>
      <c r="FAX117" s="38"/>
      <c r="FAY117" s="38"/>
      <c r="FBE117" s="36"/>
      <c r="FBF117" s="38"/>
      <c r="FBG117" s="38"/>
      <c r="FBM117" s="36"/>
      <c r="FBN117" s="38"/>
      <c r="FBO117" s="38"/>
      <c r="FBU117" s="36"/>
      <c r="FBV117" s="38"/>
      <c r="FBW117" s="38"/>
      <c r="FCC117" s="36"/>
      <c r="FCD117" s="38"/>
      <c r="FCE117" s="38"/>
      <c r="FCK117" s="36"/>
      <c r="FCL117" s="38"/>
      <c r="FCM117" s="38"/>
      <c r="FCS117" s="36"/>
      <c r="FCT117" s="38"/>
      <c r="FCU117" s="38"/>
      <c r="FDA117" s="36"/>
      <c r="FDB117" s="38"/>
      <c r="FDC117" s="38"/>
      <c r="FDI117" s="36"/>
      <c r="FDJ117" s="38"/>
      <c r="FDK117" s="38"/>
      <c r="FDQ117" s="36"/>
      <c r="FDR117" s="38"/>
      <c r="FDS117" s="38"/>
      <c r="FDY117" s="36"/>
      <c r="FDZ117" s="38"/>
      <c r="FEA117" s="38"/>
      <c r="FEG117" s="36"/>
      <c r="FEH117" s="38"/>
      <c r="FEI117" s="38"/>
      <c r="FEO117" s="36"/>
      <c r="FEP117" s="38"/>
      <c r="FEQ117" s="38"/>
      <c r="FEW117" s="36"/>
      <c r="FEX117" s="38"/>
      <c r="FEY117" s="38"/>
      <c r="FFE117" s="36"/>
      <c r="FFF117" s="38"/>
      <c r="FFG117" s="38"/>
      <c r="FFM117" s="36"/>
      <c r="FFN117" s="38"/>
      <c r="FFO117" s="38"/>
      <c r="FFU117" s="36"/>
      <c r="FFV117" s="38"/>
      <c r="FFW117" s="38"/>
      <c r="FGC117" s="36"/>
      <c r="FGD117" s="38"/>
      <c r="FGE117" s="38"/>
      <c r="FGK117" s="36"/>
      <c r="FGL117" s="38"/>
      <c r="FGM117" s="38"/>
      <c r="FGS117" s="36"/>
      <c r="FGT117" s="38"/>
      <c r="FGU117" s="38"/>
      <c r="FHA117" s="36"/>
      <c r="FHB117" s="38"/>
      <c r="FHC117" s="38"/>
      <c r="FHI117" s="36"/>
      <c r="FHJ117" s="38"/>
      <c r="FHK117" s="38"/>
      <c r="FHQ117" s="36"/>
      <c r="FHR117" s="38"/>
      <c r="FHS117" s="38"/>
      <c r="FHY117" s="36"/>
      <c r="FHZ117" s="38"/>
      <c r="FIA117" s="38"/>
      <c r="FIG117" s="36"/>
      <c r="FIH117" s="38"/>
      <c r="FII117" s="38"/>
      <c r="FIO117" s="36"/>
      <c r="FIP117" s="38"/>
      <c r="FIQ117" s="38"/>
      <c r="FIW117" s="36"/>
      <c r="FIX117" s="38"/>
      <c r="FIY117" s="38"/>
      <c r="FJE117" s="36"/>
      <c r="FJF117" s="38"/>
      <c r="FJG117" s="38"/>
      <c r="FJM117" s="36"/>
      <c r="FJN117" s="38"/>
      <c r="FJO117" s="38"/>
      <c r="FJU117" s="36"/>
      <c r="FJV117" s="38"/>
      <c r="FJW117" s="38"/>
      <c r="FKC117" s="36"/>
      <c r="FKD117" s="38"/>
      <c r="FKE117" s="38"/>
      <c r="FKK117" s="36"/>
      <c r="FKL117" s="38"/>
      <c r="FKM117" s="38"/>
      <c r="FKS117" s="36"/>
      <c r="FKT117" s="38"/>
      <c r="FKU117" s="38"/>
      <c r="FLA117" s="36"/>
      <c r="FLB117" s="38"/>
      <c r="FLC117" s="38"/>
      <c r="FLI117" s="36"/>
      <c r="FLJ117" s="38"/>
      <c r="FLK117" s="38"/>
      <c r="FLQ117" s="36"/>
      <c r="FLR117" s="38"/>
      <c r="FLS117" s="38"/>
      <c r="FLY117" s="36"/>
      <c r="FLZ117" s="38"/>
      <c r="FMA117" s="38"/>
      <c r="FMG117" s="36"/>
      <c r="FMH117" s="38"/>
      <c r="FMI117" s="38"/>
      <c r="FMO117" s="36"/>
      <c r="FMP117" s="38"/>
      <c r="FMQ117" s="38"/>
      <c r="FMW117" s="36"/>
      <c r="FMX117" s="38"/>
      <c r="FMY117" s="38"/>
      <c r="FNE117" s="36"/>
      <c r="FNF117" s="38"/>
      <c r="FNG117" s="38"/>
      <c r="FNM117" s="36"/>
      <c r="FNN117" s="38"/>
      <c r="FNO117" s="38"/>
      <c r="FNU117" s="36"/>
      <c r="FNV117" s="38"/>
      <c r="FNW117" s="38"/>
      <c r="FOC117" s="36"/>
      <c r="FOD117" s="38"/>
      <c r="FOE117" s="38"/>
      <c r="FOK117" s="36"/>
      <c r="FOL117" s="38"/>
      <c r="FOM117" s="38"/>
      <c r="FOS117" s="36"/>
      <c r="FOT117" s="38"/>
      <c r="FOU117" s="38"/>
      <c r="FPA117" s="36"/>
      <c r="FPB117" s="38"/>
      <c r="FPC117" s="38"/>
      <c r="FPI117" s="36"/>
      <c r="FPJ117" s="38"/>
      <c r="FPK117" s="38"/>
      <c r="FPQ117" s="36"/>
      <c r="FPR117" s="38"/>
      <c r="FPS117" s="38"/>
      <c r="FPY117" s="36"/>
      <c r="FPZ117" s="38"/>
      <c r="FQA117" s="38"/>
      <c r="FQG117" s="36"/>
      <c r="FQH117" s="38"/>
      <c r="FQI117" s="38"/>
      <c r="FQO117" s="36"/>
      <c r="FQP117" s="38"/>
      <c r="FQQ117" s="38"/>
      <c r="FQW117" s="36"/>
      <c r="FQX117" s="38"/>
      <c r="FQY117" s="38"/>
      <c r="FRE117" s="36"/>
      <c r="FRF117" s="38"/>
      <c r="FRG117" s="38"/>
      <c r="FRM117" s="36"/>
      <c r="FRN117" s="38"/>
      <c r="FRO117" s="38"/>
      <c r="FRU117" s="36"/>
      <c r="FRV117" s="38"/>
      <c r="FRW117" s="38"/>
      <c r="FSC117" s="36"/>
      <c r="FSD117" s="38"/>
      <c r="FSE117" s="38"/>
      <c r="FSK117" s="36"/>
      <c r="FSL117" s="38"/>
      <c r="FSM117" s="38"/>
      <c r="FSS117" s="36"/>
      <c r="FST117" s="38"/>
      <c r="FSU117" s="38"/>
      <c r="FTA117" s="36"/>
      <c r="FTB117" s="38"/>
      <c r="FTC117" s="38"/>
      <c r="FTI117" s="36"/>
      <c r="FTJ117" s="38"/>
      <c r="FTK117" s="38"/>
      <c r="FTQ117" s="36"/>
      <c r="FTR117" s="38"/>
      <c r="FTS117" s="38"/>
      <c r="FTY117" s="36"/>
      <c r="FTZ117" s="38"/>
      <c r="FUA117" s="38"/>
      <c r="FUG117" s="36"/>
      <c r="FUH117" s="38"/>
      <c r="FUI117" s="38"/>
      <c r="FUO117" s="36"/>
      <c r="FUP117" s="38"/>
      <c r="FUQ117" s="38"/>
      <c r="FUW117" s="36"/>
      <c r="FUX117" s="38"/>
      <c r="FUY117" s="38"/>
      <c r="FVE117" s="36"/>
      <c r="FVF117" s="38"/>
      <c r="FVG117" s="38"/>
      <c r="FVM117" s="36"/>
      <c r="FVN117" s="38"/>
      <c r="FVO117" s="38"/>
      <c r="FVU117" s="36"/>
      <c r="FVV117" s="38"/>
      <c r="FVW117" s="38"/>
      <c r="FWC117" s="36"/>
      <c r="FWD117" s="38"/>
      <c r="FWE117" s="38"/>
      <c r="FWK117" s="36"/>
      <c r="FWL117" s="38"/>
      <c r="FWM117" s="38"/>
      <c r="FWS117" s="36"/>
      <c r="FWT117" s="38"/>
      <c r="FWU117" s="38"/>
      <c r="FXA117" s="36"/>
      <c r="FXB117" s="38"/>
      <c r="FXC117" s="38"/>
      <c r="FXI117" s="36"/>
      <c r="FXJ117" s="38"/>
      <c r="FXK117" s="38"/>
      <c r="FXQ117" s="36"/>
      <c r="FXR117" s="38"/>
      <c r="FXS117" s="38"/>
      <c r="FXY117" s="36"/>
      <c r="FXZ117" s="38"/>
      <c r="FYA117" s="38"/>
      <c r="FYG117" s="36"/>
      <c r="FYH117" s="38"/>
      <c r="FYI117" s="38"/>
      <c r="FYO117" s="36"/>
      <c r="FYP117" s="38"/>
      <c r="FYQ117" s="38"/>
      <c r="FYW117" s="36"/>
      <c r="FYX117" s="38"/>
      <c r="FYY117" s="38"/>
      <c r="FZE117" s="36"/>
      <c r="FZF117" s="38"/>
      <c r="FZG117" s="38"/>
      <c r="FZM117" s="36"/>
      <c r="FZN117" s="38"/>
      <c r="FZO117" s="38"/>
      <c r="FZU117" s="36"/>
      <c r="FZV117" s="38"/>
      <c r="FZW117" s="38"/>
      <c r="GAC117" s="36"/>
      <c r="GAD117" s="38"/>
      <c r="GAE117" s="38"/>
      <c r="GAK117" s="36"/>
      <c r="GAL117" s="38"/>
      <c r="GAM117" s="38"/>
      <c r="GAS117" s="36"/>
      <c r="GAT117" s="38"/>
      <c r="GAU117" s="38"/>
      <c r="GBA117" s="36"/>
      <c r="GBB117" s="38"/>
      <c r="GBC117" s="38"/>
      <c r="GBI117" s="36"/>
      <c r="GBJ117" s="38"/>
      <c r="GBK117" s="38"/>
      <c r="GBQ117" s="36"/>
      <c r="GBR117" s="38"/>
      <c r="GBS117" s="38"/>
      <c r="GBY117" s="36"/>
      <c r="GBZ117" s="38"/>
      <c r="GCA117" s="38"/>
      <c r="GCG117" s="36"/>
      <c r="GCH117" s="38"/>
      <c r="GCI117" s="38"/>
      <c r="GCO117" s="36"/>
      <c r="GCP117" s="38"/>
      <c r="GCQ117" s="38"/>
      <c r="GCW117" s="36"/>
      <c r="GCX117" s="38"/>
      <c r="GCY117" s="38"/>
      <c r="GDE117" s="36"/>
      <c r="GDF117" s="38"/>
      <c r="GDG117" s="38"/>
      <c r="GDM117" s="36"/>
      <c r="GDN117" s="38"/>
      <c r="GDO117" s="38"/>
      <c r="GDU117" s="36"/>
      <c r="GDV117" s="38"/>
      <c r="GDW117" s="38"/>
      <c r="GEC117" s="36"/>
      <c r="GED117" s="38"/>
      <c r="GEE117" s="38"/>
      <c r="GEK117" s="36"/>
      <c r="GEL117" s="38"/>
      <c r="GEM117" s="38"/>
      <c r="GES117" s="36"/>
      <c r="GET117" s="38"/>
      <c r="GEU117" s="38"/>
      <c r="GFA117" s="36"/>
      <c r="GFB117" s="38"/>
      <c r="GFC117" s="38"/>
      <c r="GFI117" s="36"/>
      <c r="GFJ117" s="38"/>
      <c r="GFK117" s="38"/>
      <c r="GFQ117" s="36"/>
      <c r="GFR117" s="38"/>
      <c r="GFS117" s="38"/>
      <c r="GFY117" s="36"/>
      <c r="GFZ117" s="38"/>
      <c r="GGA117" s="38"/>
      <c r="GGG117" s="36"/>
      <c r="GGH117" s="38"/>
      <c r="GGI117" s="38"/>
      <c r="GGO117" s="36"/>
      <c r="GGP117" s="38"/>
      <c r="GGQ117" s="38"/>
      <c r="GGW117" s="36"/>
      <c r="GGX117" s="38"/>
      <c r="GGY117" s="38"/>
      <c r="GHE117" s="36"/>
      <c r="GHF117" s="38"/>
      <c r="GHG117" s="38"/>
      <c r="GHM117" s="36"/>
      <c r="GHN117" s="38"/>
      <c r="GHO117" s="38"/>
      <c r="GHU117" s="36"/>
      <c r="GHV117" s="38"/>
      <c r="GHW117" s="38"/>
      <c r="GIC117" s="36"/>
      <c r="GID117" s="38"/>
      <c r="GIE117" s="38"/>
      <c r="GIK117" s="36"/>
      <c r="GIL117" s="38"/>
      <c r="GIM117" s="38"/>
      <c r="GIS117" s="36"/>
      <c r="GIT117" s="38"/>
      <c r="GIU117" s="38"/>
      <c r="GJA117" s="36"/>
      <c r="GJB117" s="38"/>
      <c r="GJC117" s="38"/>
      <c r="GJI117" s="36"/>
      <c r="GJJ117" s="38"/>
      <c r="GJK117" s="38"/>
      <c r="GJQ117" s="36"/>
      <c r="GJR117" s="38"/>
      <c r="GJS117" s="38"/>
      <c r="GJY117" s="36"/>
      <c r="GJZ117" s="38"/>
      <c r="GKA117" s="38"/>
      <c r="GKG117" s="36"/>
      <c r="GKH117" s="38"/>
      <c r="GKI117" s="38"/>
      <c r="GKO117" s="36"/>
      <c r="GKP117" s="38"/>
      <c r="GKQ117" s="38"/>
      <c r="GKW117" s="36"/>
      <c r="GKX117" s="38"/>
      <c r="GKY117" s="38"/>
      <c r="GLE117" s="36"/>
      <c r="GLF117" s="38"/>
      <c r="GLG117" s="38"/>
      <c r="GLM117" s="36"/>
      <c r="GLN117" s="38"/>
      <c r="GLO117" s="38"/>
      <c r="GLU117" s="36"/>
      <c r="GLV117" s="38"/>
      <c r="GLW117" s="38"/>
      <c r="GMC117" s="36"/>
      <c r="GMD117" s="38"/>
      <c r="GME117" s="38"/>
      <c r="GMK117" s="36"/>
      <c r="GML117" s="38"/>
      <c r="GMM117" s="38"/>
      <c r="GMS117" s="36"/>
      <c r="GMT117" s="38"/>
      <c r="GMU117" s="38"/>
      <c r="GNA117" s="36"/>
      <c r="GNB117" s="38"/>
      <c r="GNC117" s="38"/>
      <c r="GNI117" s="36"/>
      <c r="GNJ117" s="38"/>
      <c r="GNK117" s="38"/>
      <c r="GNQ117" s="36"/>
      <c r="GNR117" s="38"/>
      <c r="GNS117" s="38"/>
      <c r="GNY117" s="36"/>
      <c r="GNZ117" s="38"/>
      <c r="GOA117" s="38"/>
      <c r="GOG117" s="36"/>
      <c r="GOH117" s="38"/>
      <c r="GOI117" s="38"/>
      <c r="GOO117" s="36"/>
      <c r="GOP117" s="38"/>
      <c r="GOQ117" s="38"/>
      <c r="GOW117" s="36"/>
      <c r="GOX117" s="38"/>
      <c r="GOY117" s="38"/>
      <c r="GPE117" s="36"/>
      <c r="GPF117" s="38"/>
      <c r="GPG117" s="38"/>
      <c r="GPM117" s="36"/>
      <c r="GPN117" s="38"/>
      <c r="GPO117" s="38"/>
      <c r="GPU117" s="36"/>
      <c r="GPV117" s="38"/>
      <c r="GPW117" s="38"/>
      <c r="GQC117" s="36"/>
      <c r="GQD117" s="38"/>
      <c r="GQE117" s="38"/>
      <c r="GQK117" s="36"/>
      <c r="GQL117" s="38"/>
      <c r="GQM117" s="38"/>
      <c r="GQS117" s="36"/>
      <c r="GQT117" s="38"/>
      <c r="GQU117" s="38"/>
      <c r="GRA117" s="36"/>
      <c r="GRB117" s="38"/>
      <c r="GRC117" s="38"/>
      <c r="GRI117" s="36"/>
      <c r="GRJ117" s="38"/>
      <c r="GRK117" s="38"/>
      <c r="GRQ117" s="36"/>
      <c r="GRR117" s="38"/>
      <c r="GRS117" s="38"/>
      <c r="GRY117" s="36"/>
      <c r="GRZ117" s="38"/>
      <c r="GSA117" s="38"/>
      <c r="GSG117" s="36"/>
      <c r="GSH117" s="38"/>
      <c r="GSI117" s="38"/>
      <c r="GSO117" s="36"/>
      <c r="GSP117" s="38"/>
      <c r="GSQ117" s="38"/>
      <c r="GSW117" s="36"/>
      <c r="GSX117" s="38"/>
      <c r="GSY117" s="38"/>
      <c r="GTE117" s="36"/>
      <c r="GTF117" s="38"/>
      <c r="GTG117" s="38"/>
      <c r="GTM117" s="36"/>
      <c r="GTN117" s="38"/>
      <c r="GTO117" s="38"/>
      <c r="GTU117" s="36"/>
      <c r="GTV117" s="38"/>
      <c r="GTW117" s="38"/>
      <c r="GUC117" s="36"/>
      <c r="GUD117" s="38"/>
      <c r="GUE117" s="38"/>
      <c r="GUK117" s="36"/>
      <c r="GUL117" s="38"/>
      <c r="GUM117" s="38"/>
      <c r="GUS117" s="36"/>
      <c r="GUT117" s="38"/>
      <c r="GUU117" s="38"/>
      <c r="GVA117" s="36"/>
      <c r="GVB117" s="38"/>
      <c r="GVC117" s="38"/>
      <c r="GVI117" s="36"/>
      <c r="GVJ117" s="38"/>
      <c r="GVK117" s="38"/>
      <c r="GVQ117" s="36"/>
      <c r="GVR117" s="38"/>
      <c r="GVS117" s="38"/>
      <c r="GVY117" s="36"/>
      <c r="GVZ117" s="38"/>
      <c r="GWA117" s="38"/>
      <c r="GWG117" s="36"/>
      <c r="GWH117" s="38"/>
      <c r="GWI117" s="38"/>
      <c r="GWO117" s="36"/>
      <c r="GWP117" s="38"/>
      <c r="GWQ117" s="38"/>
      <c r="GWW117" s="36"/>
      <c r="GWX117" s="38"/>
      <c r="GWY117" s="38"/>
      <c r="GXE117" s="36"/>
      <c r="GXF117" s="38"/>
      <c r="GXG117" s="38"/>
      <c r="GXM117" s="36"/>
      <c r="GXN117" s="38"/>
      <c r="GXO117" s="38"/>
      <c r="GXU117" s="36"/>
      <c r="GXV117" s="38"/>
      <c r="GXW117" s="38"/>
      <c r="GYC117" s="36"/>
      <c r="GYD117" s="38"/>
      <c r="GYE117" s="38"/>
      <c r="GYK117" s="36"/>
      <c r="GYL117" s="38"/>
      <c r="GYM117" s="38"/>
      <c r="GYS117" s="36"/>
      <c r="GYT117" s="38"/>
      <c r="GYU117" s="38"/>
      <c r="GZA117" s="36"/>
      <c r="GZB117" s="38"/>
      <c r="GZC117" s="38"/>
      <c r="GZI117" s="36"/>
      <c r="GZJ117" s="38"/>
      <c r="GZK117" s="38"/>
      <c r="GZQ117" s="36"/>
      <c r="GZR117" s="38"/>
      <c r="GZS117" s="38"/>
      <c r="GZY117" s="36"/>
      <c r="GZZ117" s="38"/>
      <c r="HAA117" s="38"/>
      <c r="HAG117" s="36"/>
      <c r="HAH117" s="38"/>
      <c r="HAI117" s="38"/>
      <c r="HAO117" s="36"/>
      <c r="HAP117" s="38"/>
      <c r="HAQ117" s="38"/>
      <c r="HAW117" s="36"/>
      <c r="HAX117" s="38"/>
      <c r="HAY117" s="38"/>
      <c r="HBE117" s="36"/>
      <c r="HBF117" s="38"/>
      <c r="HBG117" s="38"/>
      <c r="HBM117" s="36"/>
      <c r="HBN117" s="38"/>
      <c r="HBO117" s="38"/>
      <c r="HBU117" s="36"/>
      <c r="HBV117" s="38"/>
      <c r="HBW117" s="38"/>
      <c r="HCC117" s="36"/>
      <c r="HCD117" s="38"/>
      <c r="HCE117" s="38"/>
      <c r="HCK117" s="36"/>
      <c r="HCL117" s="38"/>
      <c r="HCM117" s="38"/>
      <c r="HCS117" s="36"/>
      <c r="HCT117" s="38"/>
      <c r="HCU117" s="38"/>
      <c r="HDA117" s="36"/>
      <c r="HDB117" s="38"/>
      <c r="HDC117" s="38"/>
      <c r="HDI117" s="36"/>
      <c r="HDJ117" s="38"/>
      <c r="HDK117" s="38"/>
      <c r="HDQ117" s="36"/>
      <c r="HDR117" s="38"/>
      <c r="HDS117" s="38"/>
      <c r="HDY117" s="36"/>
      <c r="HDZ117" s="38"/>
      <c r="HEA117" s="38"/>
      <c r="HEG117" s="36"/>
      <c r="HEH117" s="38"/>
      <c r="HEI117" s="38"/>
      <c r="HEO117" s="36"/>
      <c r="HEP117" s="38"/>
      <c r="HEQ117" s="38"/>
      <c r="HEW117" s="36"/>
      <c r="HEX117" s="38"/>
      <c r="HEY117" s="38"/>
      <c r="HFE117" s="36"/>
      <c r="HFF117" s="38"/>
      <c r="HFG117" s="38"/>
      <c r="HFM117" s="36"/>
      <c r="HFN117" s="38"/>
      <c r="HFO117" s="38"/>
      <c r="HFU117" s="36"/>
      <c r="HFV117" s="38"/>
      <c r="HFW117" s="38"/>
      <c r="HGC117" s="36"/>
      <c r="HGD117" s="38"/>
      <c r="HGE117" s="38"/>
      <c r="HGK117" s="36"/>
      <c r="HGL117" s="38"/>
      <c r="HGM117" s="38"/>
      <c r="HGS117" s="36"/>
      <c r="HGT117" s="38"/>
      <c r="HGU117" s="38"/>
      <c r="HHA117" s="36"/>
      <c r="HHB117" s="38"/>
      <c r="HHC117" s="38"/>
      <c r="HHI117" s="36"/>
      <c r="HHJ117" s="38"/>
      <c r="HHK117" s="38"/>
      <c r="HHQ117" s="36"/>
      <c r="HHR117" s="38"/>
      <c r="HHS117" s="38"/>
      <c r="HHY117" s="36"/>
      <c r="HHZ117" s="38"/>
      <c r="HIA117" s="38"/>
      <c r="HIG117" s="36"/>
      <c r="HIH117" s="38"/>
      <c r="HII117" s="38"/>
      <c r="HIO117" s="36"/>
      <c r="HIP117" s="38"/>
      <c r="HIQ117" s="38"/>
      <c r="HIW117" s="36"/>
      <c r="HIX117" s="38"/>
      <c r="HIY117" s="38"/>
      <c r="HJE117" s="36"/>
      <c r="HJF117" s="38"/>
      <c r="HJG117" s="38"/>
      <c r="HJM117" s="36"/>
      <c r="HJN117" s="38"/>
      <c r="HJO117" s="38"/>
      <c r="HJU117" s="36"/>
      <c r="HJV117" s="38"/>
      <c r="HJW117" s="38"/>
      <c r="HKC117" s="36"/>
      <c r="HKD117" s="38"/>
      <c r="HKE117" s="38"/>
      <c r="HKK117" s="36"/>
      <c r="HKL117" s="38"/>
      <c r="HKM117" s="38"/>
      <c r="HKS117" s="36"/>
      <c r="HKT117" s="38"/>
      <c r="HKU117" s="38"/>
      <c r="HLA117" s="36"/>
      <c r="HLB117" s="38"/>
      <c r="HLC117" s="38"/>
      <c r="HLI117" s="36"/>
      <c r="HLJ117" s="38"/>
      <c r="HLK117" s="38"/>
      <c r="HLQ117" s="36"/>
      <c r="HLR117" s="38"/>
      <c r="HLS117" s="38"/>
      <c r="HLY117" s="36"/>
      <c r="HLZ117" s="38"/>
      <c r="HMA117" s="38"/>
      <c r="HMG117" s="36"/>
      <c r="HMH117" s="38"/>
      <c r="HMI117" s="38"/>
      <c r="HMO117" s="36"/>
      <c r="HMP117" s="38"/>
      <c r="HMQ117" s="38"/>
      <c r="HMW117" s="36"/>
      <c r="HMX117" s="38"/>
      <c r="HMY117" s="38"/>
      <c r="HNE117" s="36"/>
      <c r="HNF117" s="38"/>
      <c r="HNG117" s="38"/>
      <c r="HNM117" s="36"/>
      <c r="HNN117" s="38"/>
      <c r="HNO117" s="38"/>
      <c r="HNU117" s="36"/>
      <c r="HNV117" s="38"/>
      <c r="HNW117" s="38"/>
      <c r="HOC117" s="36"/>
      <c r="HOD117" s="38"/>
      <c r="HOE117" s="38"/>
      <c r="HOK117" s="36"/>
      <c r="HOL117" s="38"/>
      <c r="HOM117" s="38"/>
      <c r="HOS117" s="36"/>
      <c r="HOT117" s="38"/>
      <c r="HOU117" s="38"/>
      <c r="HPA117" s="36"/>
      <c r="HPB117" s="38"/>
      <c r="HPC117" s="38"/>
      <c r="HPI117" s="36"/>
      <c r="HPJ117" s="38"/>
      <c r="HPK117" s="38"/>
      <c r="HPQ117" s="36"/>
      <c r="HPR117" s="38"/>
      <c r="HPS117" s="38"/>
      <c r="HPY117" s="36"/>
      <c r="HPZ117" s="38"/>
      <c r="HQA117" s="38"/>
      <c r="HQG117" s="36"/>
      <c r="HQH117" s="38"/>
      <c r="HQI117" s="38"/>
      <c r="HQO117" s="36"/>
      <c r="HQP117" s="38"/>
      <c r="HQQ117" s="38"/>
      <c r="HQW117" s="36"/>
      <c r="HQX117" s="38"/>
      <c r="HQY117" s="38"/>
      <c r="HRE117" s="36"/>
      <c r="HRF117" s="38"/>
      <c r="HRG117" s="38"/>
      <c r="HRM117" s="36"/>
      <c r="HRN117" s="38"/>
      <c r="HRO117" s="38"/>
      <c r="HRU117" s="36"/>
      <c r="HRV117" s="38"/>
      <c r="HRW117" s="38"/>
      <c r="HSC117" s="36"/>
      <c r="HSD117" s="38"/>
      <c r="HSE117" s="38"/>
      <c r="HSK117" s="36"/>
      <c r="HSL117" s="38"/>
      <c r="HSM117" s="38"/>
      <c r="HSS117" s="36"/>
      <c r="HST117" s="38"/>
      <c r="HSU117" s="38"/>
      <c r="HTA117" s="36"/>
      <c r="HTB117" s="38"/>
      <c r="HTC117" s="38"/>
      <c r="HTI117" s="36"/>
      <c r="HTJ117" s="38"/>
      <c r="HTK117" s="38"/>
      <c r="HTQ117" s="36"/>
      <c r="HTR117" s="38"/>
      <c r="HTS117" s="38"/>
      <c r="HTY117" s="36"/>
      <c r="HTZ117" s="38"/>
      <c r="HUA117" s="38"/>
      <c r="HUG117" s="36"/>
      <c r="HUH117" s="38"/>
      <c r="HUI117" s="38"/>
      <c r="HUO117" s="36"/>
      <c r="HUP117" s="38"/>
      <c r="HUQ117" s="38"/>
      <c r="HUW117" s="36"/>
      <c r="HUX117" s="38"/>
      <c r="HUY117" s="38"/>
      <c r="HVE117" s="36"/>
      <c r="HVF117" s="38"/>
      <c r="HVG117" s="38"/>
      <c r="HVM117" s="36"/>
      <c r="HVN117" s="38"/>
      <c r="HVO117" s="38"/>
      <c r="HVU117" s="36"/>
      <c r="HVV117" s="38"/>
      <c r="HVW117" s="38"/>
      <c r="HWC117" s="36"/>
      <c r="HWD117" s="38"/>
      <c r="HWE117" s="38"/>
      <c r="HWK117" s="36"/>
      <c r="HWL117" s="38"/>
      <c r="HWM117" s="38"/>
      <c r="HWS117" s="36"/>
      <c r="HWT117" s="38"/>
      <c r="HWU117" s="38"/>
      <c r="HXA117" s="36"/>
      <c r="HXB117" s="38"/>
      <c r="HXC117" s="38"/>
      <c r="HXI117" s="36"/>
      <c r="HXJ117" s="38"/>
      <c r="HXK117" s="38"/>
      <c r="HXQ117" s="36"/>
      <c r="HXR117" s="38"/>
      <c r="HXS117" s="38"/>
      <c r="HXY117" s="36"/>
      <c r="HXZ117" s="38"/>
      <c r="HYA117" s="38"/>
      <c r="HYG117" s="36"/>
      <c r="HYH117" s="38"/>
      <c r="HYI117" s="38"/>
      <c r="HYO117" s="36"/>
      <c r="HYP117" s="38"/>
      <c r="HYQ117" s="38"/>
      <c r="HYW117" s="36"/>
      <c r="HYX117" s="38"/>
      <c r="HYY117" s="38"/>
      <c r="HZE117" s="36"/>
      <c r="HZF117" s="38"/>
      <c r="HZG117" s="38"/>
      <c r="HZM117" s="36"/>
      <c r="HZN117" s="38"/>
      <c r="HZO117" s="38"/>
      <c r="HZU117" s="36"/>
      <c r="HZV117" s="38"/>
      <c r="HZW117" s="38"/>
      <c r="IAC117" s="36"/>
      <c r="IAD117" s="38"/>
      <c r="IAE117" s="38"/>
      <c r="IAK117" s="36"/>
      <c r="IAL117" s="38"/>
      <c r="IAM117" s="38"/>
      <c r="IAS117" s="36"/>
      <c r="IAT117" s="38"/>
      <c r="IAU117" s="38"/>
      <c r="IBA117" s="36"/>
      <c r="IBB117" s="38"/>
      <c r="IBC117" s="38"/>
      <c r="IBI117" s="36"/>
      <c r="IBJ117" s="38"/>
      <c r="IBK117" s="38"/>
      <c r="IBQ117" s="36"/>
      <c r="IBR117" s="38"/>
      <c r="IBS117" s="38"/>
      <c r="IBY117" s="36"/>
      <c r="IBZ117" s="38"/>
      <c r="ICA117" s="38"/>
      <c r="ICG117" s="36"/>
      <c r="ICH117" s="38"/>
      <c r="ICI117" s="38"/>
      <c r="ICO117" s="36"/>
      <c r="ICP117" s="38"/>
      <c r="ICQ117" s="38"/>
      <c r="ICW117" s="36"/>
      <c r="ICX117" s="38"/>
      <c r="ICY117" s="38"/>
      <c r="IDE117" s="36"/>
      <c r="IDF117" s="38"/>
      <c r="IDG117" s="38"/>
      <c r="IDM117" s="36"/>
      <c r="IDN117" s="38"/>
      <c r="IDO117" s="38"/>
      <c r="IDU117" s="36"/>
      <c r="IDV117" s="38"/>
      <c r="IDW117" s="38"/>
      <c r="IEC117" s="36"/>
      <c r="IED117" s="38"/>
      <c r="IEE117" s="38"/>
      <c r="IEK117" s="36"/>
      <c r="IEL117" s="38"/>
      <c r="IEM117" s="38"/>
      <c r="IES117" s="36"/>
      <c r="IET117" s="38"/>
      <c r="IEU117" s="38"/>
      <c r="IFA117" s="36"/>
      <c r="IFB117" s="38"/>
      <c r="IFC117" s="38"/>
      <c r="IFI117" s="36"/>
      <c r="IFJ117" s="38"/>
      <c r="IFK117" s="38"/>
      <c r="IFQ117" s="36"/>
      <c r="IFR117" s="38"/>
      <c r="IFS117" s="38"/>
      <c r="IFY117" s="36"/>
      <c r="IFZ117" s="38"/>
      <c r="IGA117" s="38"/>
      <c r="IGG117" s="36"/>
      <c r="IGH117" s="38"/>
      <c r="IGI117" s="38"/>
      <c r="IGO117" s="36"/>
      <c r="IGP117" s="38"/>
      <c r="IGQ117" s="38"/>
      <c r="IGW117" s="36"/>
      <c r="IGX117" s="38"/>
      <c r="IGY117" s="38"/>
      <c r="IHE117" s="36"/>
      <c r="IHF117" s="38"/>
      <c r="IHG117" s="38"/>
      <c r="IHM117" s="36"/>
      <c r="IHN117" s="38"/>
      <c r="IHO117" s="38"/>
      <c r="IHU117" s="36"/>
      <c r="IHV117" s="38"/>
      <c r="IHW117" s="38"/>
      <c r="IIC117" s="36"/>
      <c r="IID117" s="38"/>
      <c r="IIE117" s="38"/>
      <c r="IIK117" s="36"/>
      <c r="IIL117" s="38"/>
      <c r="IIM117" s="38"/>
      <c r="IIS117" s="36"/>
      <c r="IIT117" s="38"/>
      <c r="IIU117" s="38"/>
      <c r="IJA117" s="36"/>
      <c r="IJB117" s="38"/>
      <c r="IJC117" s="38"/>
      <c r="IJI117" s="36"/>
      <c r="IJJ117" s="38"/>
      <c r="IJK117" s="38"/>
      <c r="IJQ117" s="36"/>
      <c r="IJR117" s="38"/>
      <c r="IJS117" s="38"/>
      <c r="IJY117" s="36"/>
      <c r="IJZ117" s="38"/>
      <c r="IKA117" s="38"/>
      <c r="IKG117" s="36"/>
      <c r="IKH117" s="38"/>
      <c r="IKI117" s="38"/>
      <c r="IKO117" s="36"/>
      <c r="IKP117" s="38"/>
      <c r="IKQ117" s="38"/>
      <c r="IKW117" s="36"/>
      <c r="IKX117" s="38"/>
      <c r="IKY117" s="38"/>
      <c r="ILE117" s="36"/>
      <c r="ILF117" s="38"/>
      <c r="ILG117" s="38"/>
      <c r="ILM117" s="36"/>
      <c r="ILN117" s="38"/>
      <c r="ILO117" s="38"/>
      <c r="ILU117" s="36"/>
      <c r="ILV117" s="38"/>
      <c r="ILW117" s="38"/>
      <c r="IMC117" s="36"/>
      <c r="IMD117" s="38"/>
      <c r="IME117" s="38"/>
      <c r="IMK117" s="36"/>
      <c r="IML117" s="38"/>
      <c r="IMM117" s="38"/>
      <c r="IMS117" s="36"/>
      <c r="IMT117" s="38"/>
      <c r="IMU117" s="38"/>
      <c r="INA117" s="36"/>
      <c r="INB117" s="38"/>
      <c r="INC117" s="38"/>
      <c r="INI117" s="36"/>
      <c r="INJ117" s="38"/>
      <c r="INK117" s="38"/>
      <c r="INQ117" s="36"/>
      <c r="INR117" s="38"/>
      <c r="INS117" s="38"/>
      <c r="INY117" s="36"/>
      <c r="INZ117" s="38"/>
      <c r="IOA117" s="38"/>
      <c r="IOG117" s="36"/>
      <c r="IOH117" s="38"/>
      <c r="IOI117" s="38"/>
      <c r="IOO117" s="36"/>
      <c r="IOP117" s="38"/>
      <c r="IOQ117" s="38"/>
      <c r="IOW117" s="36"/>
      <c r="IOX117" s="38"/>
      <c r="IOY117" s="38"/>
      <c r="IPE117" s="36"/>
      <c r="IPF117" s="38"/>
      <c r="IPG117" s="38"/>
      <c r="IPM117" s="36"/>
      <c r="IPN117" s="38"/>
      <c r="IPO117" s="38"/>
      <c r="IPU117" s="36"/>
      <c r="IPV117" s="38"/>
      <c r="IPW117" s="38"/>
      <c r="IQC117" s="36"/>
      <c r="IQD117" s="38"/>
      <c r="IQE117" s="38"/>
      <c r="IQK117" s="36"/>
      <c r="IQL117" s="38"/>
      <c r="IQM117" s="38"/>
      <c r="IQS117" s="36"/>
      <c r="IQT117" s="38"/>
      <c r="IQU117" s="38"/>
      <c r="IRA117" s="36"/>
      <c r="IRB117" s="38"/>
      <c r="IRC117" s="38"/>
      <c r="IRI117" s="36"/>
      <c r="IRJ117" s="38"/>
      <c r="IRK117" s="38"/>
      <c r="IRQ117" s="36"/>
      <c r="IRR117" s="38"/>
      <c r="IRS117" s="38"/>
      <c r="IRY117" s="36"/>
      <c r="IRZ117" s="38"/>
      <c r="ISA117" s="38"/>
      <c r="ISG117" s="36"/>
      <c r="ISH117" s="38"/>
      <c r="ISI117" s="38"/>
      <c r="ISO117" s="36"/>
      <c r="ISP117" s="38"/>
      <c r="ISQ117" s="38"/>
      <c r="ISW117" s="36"/>
      <c r="ISX117" s="38"/>
      <c r="ISY117" s="38"/>
      <c r="ITE117" s="36"/>
      <c r="ITF117" s="38"/>
      <c r="ITG117" s="38"/>
      <c r="ITM117" s="36"/>
      <c r="ITN117" s="38"/>
      <c r="ITO117" s="38"/>
      <c r="ITU117" s="36"/>
      <c r="ITV117" s="38"/>
      <c r="ITW117" s="38"/>
      <c r="IUC117" s="36"/>
      <c r="IUD117" s="38"/>
      <c r="IUE117" s="38"/>
      <c r="IUK117" s="36"/>
      <c r="IUL117" s="38"/>
      <c r="IUM117" s="38"/>
      <c r="IUS117" s="36"/>
      <c r="IUT117" s="38"/>
      <c r="IUU117" s="38"/>
      <c r="IVA117" s="36"/>
      <c r="IVB117" s="38"/>
      <c r="IVC117" s="38"/>
      <c r="IVI117" s="36"/>
      <c r="IVJ117" s="38"/>
      <c r="IVK117" s="38"/>
      <c r="IVQ117" s="36"/>
      <c r="IVR117" s="38"/>
      <c r="IVS117" s="38"/>
      <c r="IVY117" s="36"/>
      <c r="IVZ117" s="38"/>
      <c r="IWA117" s="38"/>
      <c r="IWG117" s="36"/>
      <c r="IWH117" s="38"/>
      <c r="IWI117" s="38"/>
      <c r="IWO117" s="36"/>
      <c r="IWP117" s="38"/>
      <c r="IWQ117" s="38"/>
      <c r="IWW117" s="36"/>
      <c r="IWX117" s="38"/>
      <c r="IWY117" s="38"/>
      <c r="IXE117" s="36"/>
      <c r="IXF117" s="38"/>
      <c r="IXG117" s="38"/>
      <c r="IXM117" s="36"/>
      <c r="IXN117" s="38"/>
      <c r="IXO117" s="38"/>
      <c r="IXU117" s="36"/>
      <c r="IXV117" s="38"/>
      <c r="IXW117" s="38"/>
      <c r="IYC117" s="36"/>
      <c r="IYD117" s="38"/>
      <c r="IYE117" s="38"/>
      <c r="IYK117" s="36"/>
      <c r="IYL117" s="38"/>
      <c r="IYM117" s="38"/>
      <c r="IYS117" s="36"/>
      <c r="IYT117" s="38"/>
      <c r="IYU117" s="38"/>
      <c r="IZA117" s="36"/>
      <c r="IZB117" s="38"/>
      <c r="IZC117" s="38"/>
      <c r="IZI117" s="36"/>
      <c r="IZJ117" s="38"/>
      <c r="IZK117" s="38"/>
      <c r="IZQ117" s="36"/>
      <c r="IZR117" s="38"/>
      <c r="IZS117" s="38"/>
      <c r="IZY117" s="36"/>
      <c r="IZZ117" s="38"/>
      <c r="JAA117" s="38"/>
      <c r="JAG117" s="36"/>
      <c r="JAH117" s="38"/>
      <c r="JAI117" s="38"/>
      <c r="JAO117" s="36"/>
      <c r="JAP117" s="38"/>
      <c r="JAQ117" s="38"/>
      <c r="JAW117" s="36"/>
      <c r="JAX117" s="38"/>
      <c r="JAY117" s="38"/>
      <c r="JBE117" s="36"/>
      <c r="JBF117" s="38"/>
      <c r="JBG117" s="38"/>
      <c r="JBM117" s="36"/>
      <c r="JBN117" s="38"/>
      <c r="JBO117" s="38"/>
      <c r="JBU117" s="36"/>
      <c r="JBV117" s="38"/>
      <c r="JBW117" s="38"/>
      <c r="JCC117" s="36"/>
      <c r="JCD117" s="38"/>
      <c r="JCE117" s="38"/>
      <c r="JCK117" s="36"/>
      <c r="JCL117" s="38"/>
      <c r="JCM117" s="38"/>
      <c r="JCS117" s="36"/>
      <c r="JCT117" s="38"/>
      <c r="JCU117" s="38"/>
      <c r="JDA117" s="36"/>
      <c r="JDB117" s="38"/>
      <c r="JDC117" s="38"/>
      <c r="JDI117" s="36"/>
      <c r="JDJ117" s="38"/>
      <c r="JDK117" s="38"/>
      <c r="JDQ117" s="36"/>
      <c r="JDR117" s="38"/>
      <c r="JDS117" s="38"/>
      <c r="JDY117" s="36"/>
      <c r="JDZ117" s="38"/>
      <c r="JEA117" s="38"/>
      <c r="JEG117" s="36"/>
      <c r="JEH117" s="38"/>
      <c r="JEI117" s="38"/>
      <c r="JEO117" s="36"/>
      <c r="JEP117" s="38"/>
      <c r="JEQ117" s="38"/>
      <c r="JEW117" s="36"/>
      <c r="JEX117" s="38"/>
      <c r="JEY117" s="38"/>
      <c r="JFE117" s="36"/>
      <c r="JFF117" s="38"/>
      <c r="JFG117" s="38"/>
      <c r="JFM117" s="36"/>
      <c r="JFN117" s="38"/>
      <c r="JFO117" s="38"/>
      <c r="JFU117" s="36"/>
      <c r="JFV117" s="38"/>
      <c r="JFW117" s="38"/>
      <c r="JGC117" s="36"/>
      <c r="JGD117" s="38"/>
      <c r="JGE117" s="38"/>
      <c r="JGK117" s="36"/>
      <c r="JGL117" s="38"/>
      <c r="JGM117" s="38"/>
      <c r="JGS117" s="36"/>
      <c r="JGT117" s="38"/>
      <c r="JGU117" s="38"/>
      <c r="JHA117" s="36"/>
      <c r="JHB117" s="38"/>
      <c r="JHC117" s="38"/>
      <c r="JHI117" s="36"/>
      <c r="JHJ117" s="38"/>
      <c r="JHK117" s="38"/>
      <c r="JHQ117" s="36"/>
      <c r="JHR117" s="38"/>
      <c r="JHS117" s="38"/>
      <c r="JHY117" s="36"/>
      <c r="JHZ117" s="38"/>
      <c r="JIA117" s="38"/>
      <c r="JIG117" s="36"/>
      <c r="JIH117" s="38"/>
      <c r="JII117" s="38"/>
      <c r="JIO117" s="36"/>
      <c r="JIP117" s="38"/>
      <c r="JIQ117" s="38"/>
      <c r="JIW117" s="36"/>
      <c r="JIX117" s="38"/>
      <c r="JIY117" s="38"/>
      <c r="JJE117" s="36"/>
      <c r="JJF117" s="38"/>
      <c r="JJG117" s="38"/>
      <c r="JJM117" s="36"/>
      <c r="JJN117" s="38"/>
      <c r="JJO117" s="38"/>
      <c r="JJU117" s="36"/>
      <c r="JJV117" s="38"/>
      <c r="JJW117" s="38"/>
      <c r="JKC117" s="36"/>
      <c r="JKD117" s="38"/>
      <c r="JKE117" s="38"/>
      <c r="JKK117" s="36"/>
      <c r="JKL117" s="38"/>
      <c r="JKM117" s="38"/>
      <c r="JKS117" s="36"/>
      <c r="JKT117" s="38"/>
      <c r="JKU117" s="38"/>
      <c r="JLA117" s="36"/>
      <c r="JLB117" s="38"/>
      <c r="JLC117" s="38"/>
      <c r="JLI117" s="36"/>
      <c r="JLJ117" s="38"/>
      <c r="JLK117" s="38"/>
      <c r="JLQ117" s="36"/>
      <c r="JLR117" s="38"/>
      <c r="JLS117" s="38"/>
      <c r="JLY117" s="36"/>
      <c r="JLZ117" s="38"/>
      <c r="JMA117" s="38"/>
      <c r="JMG117" s="36"/>
      <c r="JMH117" s="38"/>
      <c r="JMI117" s="38"/>
      <c r="JMO117" s="36"/>
      <c r="JMP117" s="38"/>
      <c r="JMQ117" s="38"/>
      <c r="JMW117" s="36"/>
      <c r="JMX117" s="38"/>
      <c r="JMY117" s="38"/>
      <c r="JNE117" s="36"/>
      <c r="JNF117" s="38"/>
      <c r="JNG117" s="38"/>
      <c r="JNM117" s="36"/>
      <c r="JNN117" s="38"/>
      <c r="JNO117" s="38"/>
      <c r="JNU117" s="36"/>
      <c r="JNV117" s="38"/>
      <c r="JNW117" s="38"/>
      <c r="JOC117" s="36"/>
      <c r="JOD117" s="38"/>
      <c r="JOE117" s="38"/>
      <c r="JOK117" s="36"/>
      <c r="JOL117" s="38"/>
      <c r="JOM117" s="38"/>
      <c r="JOS117" s="36"/>
      <c r="JOT117" s="38"/>
      <c r="JOU117" s="38"/>
      <c r="JPA117" s="36"/>
      <c r="JPB117" s="38"/>
      <c r="JPC117" s="38"/>
      <c r="JPI117" s="36"/>
      <c r="JPJ117" s="38"/>
      <c r="JPK117" s="38"/>
      <c r="JPQ117" s="36"/>
      <c r="JPR117" s="38"/>
      <c r="JPS117" s="38"/>
      <c r="JPY117" s="36"/>
      <c r="JPZ117" s="38"/>
      <c r="JQA117" s="38"/>
      <c r="JQG117" s="36"/>
      <c r="JQH117" s="38"/>
      <c r="JQI117" s="38"/>
      <c r="JQO117" s="36"/>
      <c r="JQP117" s="38"/>
      <c r="JQQ117" s="38"/>
      <c r="JQW117" s="36"/>
      <c r="JQX117" s="38"/>
      <c r="JQY117" s="38"/>
      <c r="JRE117" s="36"/>
      <c r="JRF117" s="38"/>
      <c r="JRG117" s="38"/>
      <c r="JRM117" s="36"/>
      <c r="JRN117" s="38"/>
      <c r="JRO117" s="38"/>
      <c r="JRU117" s="36"/>
      <c r="JRV117" s="38"/>
      <c r="JRW117" s="38"/>
      <c r="JSC117" s="36"/>
      <c r="JSD117" s="38"/>
      <c r="JSE117" s="38"/>
      <c r="JSK117" s="36"/>
      <c r="JSL117" s="38"/>
      <c r="JSM117" s="38"/>
      <c r="JSS117" s="36"/>
      <c r="JST117" s="38"/>
      <c r="JSU117" s="38"/>
      <c r="JTA117" s="36"/>
      <c r="JTB117" s="38"/>
      <c r="JTC117" s="38"/>
      <c r="JTI117" s="36"/>
      <c r="JTJ117" s="38"/>
      <c r="JTK117" s="38"/>
      <c r="JTQ117" s="36"/>
      <c r="JTR117" s="38"/>
      <c r="JTS117" s="38"/>
      <c r="JTY117" s="36"/>
      <c r="JTZ117" s="38"/>
      <c r="JUA117" s="38"/>
      <c r="JUG117" s="36"/>
      <c r="JUH117" s="38"/>
      <c r="JUI117" s="38"/>
      <c r="JUO117" s="36"/>
      <c r="JUP117" s="38"/>
      <c r="JUQ117" s="38"/>
      <c r="JUW117" s="36"/>
      <c r="JUX117" s="38"/>
      <c r="JUY117" s="38"/>
      <c r="JVE117" s="36"/>
      <c r="JVF117" s="38"/>
      <c r="JVG117" s="38"/>
      <c r="JVM117" s="36"/>
      <c r="JVN117" s="38"/>
      <c r="JVO117" s="38"/>
      <c r="JVU117" s="36"/>
      <c r="JVV117" s="38"/>
      <c r="JVW117" s="38"/>
      <c r="JWC117" s="36"/>
      <c r="JWD117" s="38"/>
      <c r="JWE117" s="38"/>
      <c r="JWK117" s="36"/>
      <c r="JWL117" s="38"/>
      <c r="JWM117" s="38"/>
      <c r="JWS117" s="36"/>
      <c r="JWT117" s="38"/>
      <c r="JWU117" s="38"/>
      <c r="JXA117" s="36"/>
      <c r="JXB117" s="38"/>
      <c r="JXC117" s="38"/>
      <c r="JXI117" s="36"/>
      <c r="JXJ117" s="38"/>
      <c r="JXK117" s="38"/>
      <c r="JXQ117" s="36"/>
      <c r="JXR117" s="38"/>
      <c r="JXS117" s="38"/>
      <c r="JXY117" s="36"/>
      <c r="JXZ117" s="38"/>
      <c r="JYA117" s="38"/>
      <c r="JYG117" s="36"/>
      <c r="JYH117" s="38"/>
      <c r="JYI117" s="38"/>
      <c r="JYO117" s="36"/>
      <c r="JYP117" s="38"/>
      <c r="JYQ117" s="38"/>
      <c r="JYW117" s="36"/>
      <c r="JYX117" s="38"/>
      <c r="JYY117" s="38"/>
      <c r="JZE117" s="36"/>
      <c r="JZF117" s="38"/>
      <c r="JZG117" s="38"/>
      <c r="JZM117" s="36"/>
      <c r="JZN117" s="38"/>
      <c r="JZO117" s="38"/>
      <c r="JZU117" s="36"/>
      <c r="JZV117" s="38"/>
      <c r="JZW117" s="38"/>
      <c r="KAC117" s="36"/>
      <c r="KAD117" s="38"/>
      <c r="KAE117" s="38"/>
      <c r="KAK117" s="36"/>
      <c r="KAL117" s="38"/>
      <c r="KAM117" s="38"/>
      <c r="KAS117" s="36"/>
      <c r="KAT117" s="38"/>
      <c r="KAU117" s="38"/>
      <c r="KBA117" s="36"/>
      <c r="KBB117" s="38"/>
      <c r="KBC117" s="38"/>
      <c r="KBI117" s="36"/>
      <c r="KBJ117" s="38"/>
      <c r="KBK117" s="38"/>
      <c r="KBQ117" s="36"/>
      <c r="KBR117" s="38"/>
      <c r="KBS117" s="38"/>
      <c r="KBY117" s="36"/>
      <c r="KBZ117" s="38"/>
      <c r="KCA117" s="38"/>
      <c r="KCG117" s="36"/>
      <c r="KCH117" s="38"/>
      <c r="KCI117" s="38"/>
      <c r="KCO117" s="36"/>
      <c r="KCP117" s="38"/>
      <c r="KCQ117" s="38"/>
      <c r="KCW117" s="36"/>
      <c r="KCX117" s="38"/>
      <c r="KCY117" s="38"/>
      <c r="KDE117" s="36"/>
      <c r="KDF117" s="38"/>
      <c r="KDG117" s="38"/>
      <c r="KDM117" s="36"/>
      <c r="KDN117" s="38"/>
      <c r="KDO117" s="38"/>
      <c r="KDU117" s="36"/>
      <c r="KDV117" s="38"/>
      <c r="KDW117" s="38"/>
      <c r="KEC117" s="36"/>
      <c r="KED117" s="38"/>
      <c r="KEE117" s="38"/>
      <c r="KEK117" s="36"/>
      <c r="KEL117" s="38"/>
      <c r="KEM117" s="38"/>
      <c r="KES117" s="36"/>
      <c r="KET117" s="38"/>
      <c r="KEU117" s="38"/>
      <c r="KFA117" s="36"/>
      <c r="KFB117" s="38"/>
      <c r="KFC117" s="38"/>
      <c r="KFI117" s="36"/>
      <c r="KFJ117" s="38"/>
      <c r="KFK117" s="38"/>
      <c r="KFQ117" s="36"/>
      <c r="KFR117" s="38"/>
      <c r="KFS117" s="38"/>
      <c r="KFY117" s="36"/>
      <c r="KFZ117" s="38"/>
      <c r="KGA117" s="38"/>
      <c r="KGG117" s="36"/>
      <c r="KGH117" s="38"/>
      <c r="KGI117" s="38"/>
      <c r="KGO117" s="36"/>
      <c r="KGP117" s="38"/>
      <c r="KGQ117" s="38"/>
      <c r="KGW117" s="36"/>
      <c r="KGX117" s="38"/>
      <c r="KGY117" s="38"/>
      <c r="KHE117" s="36"/>
      <c r="KHF117" s="38"/>
      <c r="KHG117" s="38"/>
      <c r="KHM117" s="36"/>
      <c r="KHN117" s="38"/>
      <c r="KHO117" s="38"/>
      <c r="KHU117" s="36"/>
      <c r="KHV117" s="38"/>
      <c r="KHW117" s="38"/>
      <c r="KIC117" s="36"/>
      <c r="KID117" s="38"/>
      <c r="KIE117" s="38"/>
      <c r="KIK117" s="36"/>
      <c r="KIL117" s="38"/>
      <c r="KIM117" s="38"/>
      <c r="KIS117" s="36"/>
      <c r="KIT117" s="38"/>
      <c r="KIU117" s="38"/>
      <c r="KJA117" s="36"/>
      <c r="KJB117" s="38"/>
      <c r="KJC117" s="38"/>
      <c r="KJI117" s="36"/>
      <c r="KJJ117" s="38"/>
      <c r="KJK117" s="38"/>
      <c r="KJQ117" s="36"/>
      <c r="KJR117" s="38"/>
      <c r="KJS117" s="38"/>
      <c r="KJY117" s="36"/>
      <c r="KJZ117" s="38"/>
      <c r="KKA117" s="38"/>
      <c r="KKG117" s="36"/>
      <c r="KKH117" s="38"/>
      <c r="KKI117" s="38"/>
      <c r="KKO117" s="36"/>
      <c r="KKP117" s="38"/>
      <c r="KKQ117" s="38"/>
      <c r="KKW117" s="36"/>
      <c r="KKX117" s="38"/>
      <c r="KKY117" s="38"/>
      <c r="KLE117" s="36"/>
      <c r="KLF117" s="38"/>
      <c r="KLG117" s="38"/>
      <c r="KLM117" s="36"/>
      <c r="KLN117" s="38"/>
      <c r="KLO117" s="38"/>
      <c r="KLU117" s="36"/>
      <c r="KLV117" s="38"/>
      <c r="KLW117" s="38"/>
      <c r="KMC117" s="36"/>
      <c r="KMD117" s="38"/>
      <c r="KME117" s="38"/>
      <c r="KMK117" s="36"/>
      <c r="KML117" s="38"/>
      <c r="KMM117" s="38"/>
      <c r="KMS117" s="36"/>
      <c r="KMT117" s="38"/>
      <c r="KMU117" s="38"/>
      <c r="KNA117" s="36"/>
      <c r="KNB117" s="38"/>
      <c r="KNC117" s="38"/>
      <c r="KNI117" s="36"/>
      <c r="KNJ117" s="38"/>
      <c r="KNK117" s="38"/>
      <c r="KNQ117" s="36"/>
      <c r="KNR117" s="38"/>
      <c r="KNS117" s="38"/>
      <c r="KNY117" s="36"/>
      <c r="KNZ117" s="38"/>
      <c r="KOA117" s="38"/>
      <c r="KOG117" s="36"/>
      <c r="KOH117" s="38"/>
      <c r="KOI117" s="38"/>
      <c r="KOO117" s="36"/>
      <c r="KOP117" s="38"/>
      <c r="KOQ117" s="38"/>
      <c r="KOW117" s="36"/>
      <c r="KOX117" s="38"/>
      <c r="KOY117" s="38"/>
      <c r="KPE117" s="36"/>
      <c r="KPF117" s="38"/>
      <c r="KPG117" s="38"/>
      <c r="KPM117" s="36"/>
      <c r="KPN117" s="38"/>
      <c r="KPO117" s="38"/>
      <c r="KPU117" s="36"/>
      <c r="KPV117" s="38"/>
      <c r="KPW117" s="38"/>
      <c r="KQC117" s="36"/>
      <c r="KQD117" s="38"/>
      <c r="KQE117" s="38"/>
      <c r="KQK117" s="36"/>
      <c r="KQL117" s="38"/>
      <c r="KQM117" s="38"/>
      <c r="KQS117" s="36"/>
      <c r="KQT117" s="38"/>
      <c r="KQU117" s="38"/>
      <c r="KRA117" s="36"/>
      <c r="KRB117" s="38"/>
      <c r="KRC117" s="38"/>
      <c r="KRI117" s="36"/>
      <c r="KRJ117" s="38"/>
      <c r="KRK117" s="38"/>
      <c r="KRQ117" s="36"/>
      <c r="KRR117" s="38"/>
      <c r="KRS117" s="38"/>
      <c r="KRY117" s="36"/>
      <c r="KRZ117" s="38"/>
      <c r="KSA117" s="38"/>
      <c r="KSG117" s="36"/>
      <c r="KSH117" s="38"/>
      <c r="KSI117" s="38"/>
      <c r="KSO117" s="36"/>
      <c r="KSP117" s="38"/>
      <c r="KSQ117" s="38"/>
      <c r="KSW117" s="36"/>
      <c r="KSX117" s="38"/>
      <c r="KSY117" s="38"/>
      <c r="KTE117" s="36"/>
      <c r="KTF117" s="38"/>
      <c r="KTG117" s="38"/>
      <c r="KTM117" s="36"/>
      <c r="KTN117" s="38"/>
      <c r="KTO117" s="38"/>
      <c r="KTU117" s="36"/>
      <c r="KTV117" s="38"/>
      <c r="KTW117" s="38"/>
      <c r="KUC117" s="36"/>
      <c r="KUD117" s="38"/>
      <c r="KUE117" s="38"/>
      <c r="KUK117" s="36"/>
      <c r="KUL117" s="38"/>
      <c r="KUM117" s="38"/>
      <c r="KUS117" s="36"/>
      <c r="KUT117" s="38"/>
      <c r="KUU117" s="38"/>
      <c r="KVA117" s="36"/>
      <c r="KVB117" s="38"/>
      <c r="KVC117" s="38"/>
      <c r="KVI117" s="36"/>
      <c r="KVJ117" s="38"/>
      <c r="KVK117" s="38"/>
      <c r="KVQ117" s="36"/>
      <c r="KVR117" s="38"/>
      <c r="KVS117" s="38"/>
      <c r="KVY117" s="36"/>
      <c r="KVZ117" s="38"/>
      <c r="KWA117" s="38"/>
      <c r="KWG117" s="36"/>
      <c r="KWH117" s="38"/>
      <c r="KWI117" s="38"/>
      <c r="KWO117" s="36"/>
      <c r="KWP117" s="38"/>
      <c r="KWQ117" s="38"/>
      <c r="KWW117" s="36"/>
      <c r="KWX117" s="38"/>
      <c r="KWY117" s="38"/>
      <c r="KXE117" s="36"/>
      <c r="KXF117" s="38"/>
      <c r="KXG117" s="38"/>
      <c r="KXM117" s="36"/>
      <c r="KXN117" s="38"/>
      <c r="KXO117" s="38"/>
      <c r="KXU117" s="36"/>
      <c r="KXV117" s="38"/>
      <c r="KXW117" s="38"/>
      <c r="KYC117" s="36"/>
      <c r="KYD117" s="38"/>
      <c r="KYE117" s="38"/>
      <c r="KYK117" s="36"/>
      <c r="KYL117" s="38"/>
      <c r="KYM117" s="38"/>
      <c r="KYS117" s="36"/>
      <c r="KYT117" s="38"/>
      <c r="KYU117" s="38"/>
      <c r="KZA117" s="36"/>
      <c r="KZB117" s="38"/>
      <c r="KZC117" s="38"/>
      <c r="KZI117" s="36"/>
      <c r="KZJ117" s="38"/>
      <c r="KZK117" s="38"/>
      <c r="KZQ117" s="36"/>
      <c r="KZR117" s="38"/>
      <c r="KZS117" s="38"/>
      <c r="KZY117" s="36"/>
      <c r="KZZ117" s="38"/>
      <c r="LAA117" s="38"/>
      <c r="LAG117" s="36"/>
      <c r="LAH117" s="38"/>
      <c r="LAI117" s="38"/>
      <c r="LAO117" s="36"/>
      <c r="LAP117" s="38"/>
      <c r="LAQ117" s="38"/>
      <c r="LAW117" s="36"/>
      <c r="LAX117" s="38"/>
      <c r="LAY117" s="38"/>
      <c r="LBE117" s="36"/>
      <c r="LBF117" s="38"/>
      <c r="LBG117" s="38"/>
      <c r="LBM117" s="36"/>
      <c r="LBN117" s="38"/>
      <c r="LBO117" s="38"/>
      <c r="LBU117" s="36"/>
      <c r="LBV117" s="38"/>
      <c r="LBW117" s="38"/>
      <c r="LCC117" s="36"/>
      <c r="LCD117" s="38"/>
      <c r="LCE117" s="38"/>
      <c r="LCK117" s="36"/>
      <c r="LCL117" s="38"/>
      <c r="LCM117" s="38"/>
      <c r="LCS117" s="36"/>
      <c r="LCT117" s="38"/>
      <c r="LCU117" s="38"/>
      <c r="LDA117" s="36"/>
      <c r="LDB117" s="38"/>
      <c r="LDC117" s="38"/>
      <c r="LDI117" s="36"/>
      <c r="LDJ117" s="38"/>
      <c r="LDK117" s="38"/>
      <c r="LDQ117" s="36"/>
      <c r="LDR117" s="38"/>
      <c r="LDS117" s="38"/>
      <c r="LDY117" s="36"/>
      <c r="LDZ117" s="38"/>
      <c r="LEA117" s="38"/>
      <c r="LEG117" s="36"/>
      <c r="LEH117" s="38"/>
      <c r="LEI117" s="38"/>
      <c r="LEO117" s="36"/>
      <c r="LEP117" s="38"/>
      <c r="LEQ117" s="38"/>
      <c r="LEW117" s="36"/>
      <c r="LEX117" s="38"/>
      <c r="LEY117" s="38"/>
      <c r="LFE117" s="36"/>
      <c r="LFF117" s="38"/>
      <c r="LFG117" s="38"/>
      <c r="LFM117" s="36"/>
      <c r="LFN117" s="38"/>
      <c r="LFO117" s="38"/>
      <c r="LFU117" s="36"/>
      <c r="LFV117" s="38"/>
      <c r="LFW117" s="38"/>
      <c r="LGC117" s="36"/>
      <c r="LGD117" s="38"/>
      <c r="LGE117" s="38"/>
      <c r="LGK117" s="36"/>
      <c r="LGL117" s="38"/>
      <c r="LGM117" s="38"/>
      <c r="LGS117" s="36"/>
      <c r="LGT117" s="38"/>
      <c r="LGU117" s="38"/>
      <c r="LHA117" s="36"/>
      <c r="LHB117" s="38"/>
      <c r="LHC117" s="38"/>
      <c r="LHI117" s="36"/>
      <c r="LHJ117" s="38"/>
      <c r="LHK117" s="38"/>
      <c r="LHQ117" s="36"/>
      <c r="LHR117" s="38"/>
      <c r="LHS117" s="38"/>
      <c r="LHY117" s="36"/>
      <c r="LHZ117" s="38"/>
      <c r="LIA117" s="38"/>
      <c r="LIG117" s="36"/>
      <c r="LIH117" s="38"/>
      <c r="LII117" s="38"/>
      <c r="LIO117" s="36"/>
      <c r="LIP117" s="38"/>
      <c r="LIQ117" s="38"/>
      <c r="LIW117" s="36"/>
      <c r="LIX117" s="38"/>
      <c r="LIY117" s="38"/>
      <c r="LJE117" s="36"/>
      <c r="LJF117" s="38"/>
      <c r="LJG117" s="38"/>
      <c r="LJM117" s="36"/>
      <c r="LJN117" s="38"/>
      <c r="LJO117" s="38"/>
      <c r="LJU117" s="36"/>
      <c r="LJV117" s="38"/>
      <c r="LJW117" s="38"/>
      <c r="LKC117" s="36"/>
      <c r="LKD117" s="38"/>
      <c r="LKE117" s="38"/>
      <c r="LKK117" s="36"/>
      <c r="LKL117" s="38"/>
      <c r="LKM117" s="38"/>
      <c r="LKS117" s="36"/>
      <c r="LKT117" s="38"/>
      <c r="LKU117" s="38"/>
      <c r="LLA117" s="36"/>
      <c r="LLB117" s="38"/>
      <c r="LLC117" s="38"/>
      <c r="LLI117" s="36"/>
      <c r="LLJ117" s="38"/>
      <c r="LLK117" s="38"/>
      <c r="LLQ117" s="36"/>
      <c r="LLR117" s="38"/>
      <c r="LLS117" s="38"/>
      <c r="LLY117" s="36"/>
      <c r="LLZ117" s="38"/>
      <c r="LMA117" s="38"/>
      <c r="LMG117" s="36"/>
      <c r="LMH117" s="38"/>
      <c r="LMI117" s="38"/>
      <c r="LMO117" s="36"/>
      <c r="LMP117" s="38"/>
      <c r="LMQ117" s="38"/>
      <c r="LMW117" s="36"/>
      <c r="LMX117" s="38"/>
      <c r="LMY117" s="38"/>
      <c r="LNE117" s="36"/>
      <c r="LNF117" s="38"/>
      <c r="LNG117" s="38"/>
      <c r="LNM117" s="36"/>
      <c r="LNN117" s="38"/>
      <c r="LNO117" s="38"/>
      <c r="LNU117" s="36"/>
      <c r="LNV117" s="38"/>
      <c r="LNW117" s="38"/>
      <c r="LOC117" s="36"/>
      <c r="LOD117" s="38"/>
      <c r="LOE117" s="38"/>
      <c r="LOK117" s="36"/>
      <c r="LOL117" s="38"/>
      <c r="LOM117" s="38"/>
      <c r="LOS117" s="36"/>
      <c r="LOT117" s="38"/>
      <c r="LOU117" s="38"/>
      <c r="LPA117" s="36"/>
      <c r="LPB117" s="38"/>
      <c r="LPC117" s="38"/>
      <c r="LPI117" s="36"/>
      <c r="LPJ117" s="38"/>
      <c r="LPK117" s="38"/>
      <c r="LPQ117" s="36"/>
      <c r="LPR117" s="38"/>
      <c r="LPS117" s="38"/>
      <c r="LPY117" s="36"/>
      <c r="LPZ117" s="38"/>
      <c r="LQA117" s="38"/>
      <c r="LQG117" s="36"/>
      <c r="LQH117" s="38"/>
      <c r="LQI117" s="38"/>
      <c r="LQO117" s="36"/>
      <c r="LQP117" s="38"/>
      <c r="LQQ117" s="38"/>
      <c r="LQW117" s="36"/>
      <c r="LQX117" s="38"/>
      <c r="LQY117" s="38"/>
      <c r="LRE117" s="36"/>
      <c r="LRF117" s="38"/>
      <c r="LRG117" s="38"/>
      <c r="LRM117" s="36"/>
      <c r="LRN117" s="38"/>
      <c r="LRO117" s="38"/>
      <c r="LRU117" s="36"/>
      <c r="LRV117" s="38"/>
      <c r="LRW117" s="38"/>
      <c r="LSC117" s="36"/>
      <c r="LSD117" s="38"/>
      <c r="LSE117" s="38"/>
      <c r="LSK117" s="36"/>
      <c r="LSL117" s="38"/>
      <c r="LSM117" s="38"/>
      <c r="LSS117" s="36"/>
      <c r="LST117" s="38"/>
      <c r="LSU117" s="38"/>
      <c r="LTA117" s="36"/>
      <c r="LTB117" s="38"/>
      <c r="LTC117" s="38"/>
      <c r="LTI117" s="36"/>
      <c r="LTJ117" s="38"/>
      <c r="LTK117" s="38"/>
      <c r="LTQ117" s="36"/>
      <c r="LTR117" s="38"/>
      <c r="LTS117" s="38"/>
      <c r="LTY117" s="36"/>
      <c r="LTZ117" s="38"/>
      <c r="LUA117" s="38"/>
      <c r="LUG117" s="36"/>
      <c r="LUH117" s="38"/>
      <c r="LUI117" s="38"/>
      <c r="LUO117" s="36"/>
      <c r="LUP117" s="38"/>
      <c r="LUQ117" s="38"/>
      <c r="LUW117" s="36"/>
      <c r="LUX117" s="38"/>
      <c r="LUY117" s="38"/>
      <c r="LVE117" s="36"/>
      <c r="LVF117" s="38"/>
      <c r="LVG117" s="38"/>
      <c r="LVM117" s="36"/>
      <c r="LVN117" s="38"/>
      <c r="LVO117" s="38"/>
      <c r="LVU117" s="36"/>
      <c r="LVV117" s="38"/>
      <c r="LVW117" s="38"/>
      <c r="LWC117" s="36"/>
      <c r="LWD117" s="38"/>
      <c r="LWE117" s="38"/>
      <c r="LWK117" s="36"/>
      <c r="LWL117" s="38"/>
      <c r="LWM117" s="38"/>
      <c r="LWS117" s="36"/>
      <c r="LWT117" s="38"/>
      <c r="LWU117" s="38"/>
      <c r="LXA117" s="36"/>
      <c r="LXB117" s="38"/>
      <c r="LXC117" s="38"/>
      <c r="LXI117" s="36"/>
      <c r="LXJ117" s="38"/>
      <c r="LXK117" s="38"/>
      <c r="LXQ117" s="36"/>
      <c r="LXR117" s="38"/>
      <c r="LXS117" s="38"/>
      <c r="LXY117" s="36"/>
      <c r="LXZ117" s="38"/>
      <c r="LYA117" s="38"/>
      <c r="LYG117" s="36"/>
      <c r="LYH117" s="38"/>
      <c r="LYI117" s="38"/>
      <c r="LYO117" s="36"/>
      <c r="LYP117" s="38"/>
      <c r="LYQ117" s="38"/>
      <c r="LYW117" s="36"/>
      <c r="LYX117" s="38"/>
      <c r="LYY117" s="38"/>
      <c r="LZE117" s="36"/>
      <c r="LZF117" s="38"/>
      <c r="LZG117" s="38"/>
      <c r="LZM117" s="36"/>
      <c r="LZN117" s="38"/>
      <c r="LZO117" s="38"/>
      <c r="LZU117" s="36"/>
      <c r="LZV117" s="38"/>
      <c r="LZW117" s="38"/>
      <c r="MAC117" s="36"/>
      <c r="MAD117" s="38"/>
      <c r="MAE117" s="38"/>
      <c r="MAK117" s="36"/>
      <c r="MAL117" s="38"/>
      <c r="MAM117" s="38"/>
      <c r="MAS117" s="36"/>
      <c r="MAT117" s="38"/>
      <c r="MAU117" s="38"/>
      <c r="MBA117" s="36"/>
      <c r="MBB117" s="38"/>
      <c r="MBC117" s="38"/>
      <c r="MBI117" s="36"/>
      <c r="MBJ117" s="38"/>
      <c r="MBK117" s="38"/>
      <c r="MBQ117" s="36"/>
      <c r="MBR117" s="38"/>
      <c r="MBS117" s="38"/>
      <c r="MBY117" s="36"/>
      <c r="MBZ117" s="38"/>
      <c r="MCA117" s="38"/>
      <c r="MCG117" s="36"/>
      <c r="MCH117" s="38"/>
      <c r="MCI117" s="38"/>
      <c r="MCO117" s="36"/>
      <c r="MCP117" s="38"/>
      <c r="MCQ117" s="38"/>
      <c r="MCW117" s="36"/>
      <c r="MCX117" s="38"/>
      <c r="MCY117" s="38"/>
      <c r="MDE117" s="36"/>
      <c r="MDF117" s="38"/>
      <c r="MDG117" s="38"/>
      <c r="MDM117" s="36"/>
      <c r="MDN117" s="38"/>
      <c r="MDO117" s="38"/>
      <c r="MDU117" s="36"/>
      <c r="MDV117" s="38"/>
      <c r="MDW117" s="38"/>
      <c r="MEC117" s="36"/>
      <c r="MED117" s="38"/>
      <c r="MEE117" s="38"/>
      <c r="MEK117" s="36"/>
      <c r="MEL117" s="38"/>
      <c r="MEM117" s="38"/>
      <c r="MES117" s="36"/>
      <c r="MET117" s="38"/>
      <c r="MEU117" s="38"/>
      <c r="MFA117" s="36"/>
      <c r="MFB117" s="38"/>
      <c r="MFC117" s="38"/>
      <c r="MFI117" s="36"/>
      <c r="MFJ117" s="38"/>
      <c r="MFK117" s="38"/>
      <c r="MFQ117" s="36"/>
      <c r="MFR117" s="38"/>
      <c r="MFS117" s="38"/>
      <c r="MFY117" s="36"/>
      <c r="MFZ117" s="38"/>
      <c r="MGA117" s="38"/>
      <c r="MGG117" s="36"/>
      <c r="MGH117" s="38"/>
      <c r="MGI117" s="38"/>
      <c r="MGO117" s="36"/>
      <c r="MGP117" s="38"/>
      <c r="MGQ117" s="38"/>
      <c r="MGW117" s="36"/>
      <c r="MGX117" s="38"/>
      <c r="MGY117" s="38"/>
      <c r="MHE117" s="36"/>
      <c r="MHF117" s="38"/>
      <c r="MHG117" s="38"/>
      <c r="MHM117" s="36"/>
      <c r="MHN117" s="38"/>
      <c r="MHO117" s="38"/>
      <c r="MHU117" s="36"/>
      <c r="MHV117" s="38"/>
      <c r="MHW117" s="38"/>
      <c r="MIC117" s="36"/>
      <c r="MID117" s="38"/>
      <c r="MIE117" s="38"/>
      <c r="MIK117" s="36"/>
      <c r="MIL117" s="38"/>
      <c r="MIM117" s="38"/>
      <c r="MIS117" s="36"/>
      <c r="MIT117" s="38"/>
      <c r="MIU117" s="38"/>
      <c r="MJA117" s="36"/>
      <c r="MJB117" s="38"/>
      <c r="MJC117" s="38"/>
      <c r="MJI117" s="36"/>
      <c r="MJJ117" s="38"/>
      <c r="MJK117" s="38"/>
      <c r="MJQ117" s="36"/>
      <c r="MJR117" s="38"/>
      <c r="MJS117" s="38"/>
      <c r="MJY117" s="36"/>
      <c r="MJZ117" s="38"/>
      <c r="MKA117" s="38"/>
      <c r="MKG117" s="36"/>
      <c r="MKH117" s="38"/>
      <c r="MKI117" s="38"/>
      <c r="MKO117" s="36"/>
      <c r="MKP117" s="38"/>
      <c r="MKQ117" s="38"/>
      <c r="MKW117" s="36"/>
      <c r="MKX117" s="38"/>
      <c r="MKY117" s="38"/>
      <c r="MLE117" s="36"/>
      <c r="MLF117" s="38"/>
      <c r="MLG117" s="38"/>
      <c r="MLM117" s="36"/>
      <c r="MLN117" s="38"/>
      <c r="MLO117" s="38"/>
      <c r="MLU117" s="36"/>
      <c r="MLV117" s="38"/>
      <c r="MLW117" s="38"/>
      <c r="MMC117" s="36"/>
      <c r="MMD117" s="38"/>
      <c r="MME117" s="38"/>
      <c r="MMK117" s="36"/>
      <c r="MML117" s="38"/>
      <c r="MMM117" s="38"/>
      <c r="MMS117" s="36"/>
      <c r="MMT117" s="38"/>
      <c r="MMU117" s="38"/>
      <c r="MNA117" s="36"/>
      <c r="MNB117" s="38"/>
      <c r="MNC117" s="38"/>
      <c r="MNI117" s="36"/>
      <c r="MNJ117" s="38"/>
      <c r="MNK117" s="38"/>
      <c r="MNQ117" s="36"/>
      <c r="MNR117" s="38"/>
      <c r="MNS117" s="38"/>
      <c r="MNY117" s="36"/>
      <c r="MNZ117" s="38"/>
      <c r="MOA117" s="38"/>
      <c r="MOG117" s="36"/>
      <c r="MOH117" s="38"/>
      <c r="MOI117" s="38"/>
      <c r="MOO117" s="36"/>
      <c r="MOP117" s="38"/>
      <c r="MOQ117" s="38"/>
      <c r="MOW117" s="36"/>
      <c r="MOX117" s="38"/>
      <c r="MOY117" s="38"/>
      <c r="MPE117" s="36"/>
      <c r="MPF117" s="38"/>
      <c r="MPG117" s="38"/>
      <c r="MPM117" s="36"/>
      <c r="MPN117" s="38"/>
      <c r="MPO117" s="38"/>
      <c r="MPU117" s="36"/>
      <c r="MPV117" s="38"/>
      <c r="MPW117" s="38"/>
      <c r="MQC117" s="36"/>
      <c r="MQD117" s="38"/>
      <c r="MQE117" s="38"/>
      <c r="MQK117" s="36"/>
      <c r="MQL117" s="38"/>
      <c r="MQM117" s="38"/>
      <c r="MQS117" s="36"/>
      <c r="MQT117" s="38"/>
      <c r="MQU117" s="38"/>
      <c r="MRA117" s="36"/>
      <c r="MRB117" s="38"/>
      <c r="MRC117" s="38"/>
      <c r="MRI117" s="36"/>
      <c r="MRJ117" s="38"/>
      <c r="MRK117" s="38"/>
      <c r="MRQ117" s="36"/>
      <c r="MRR117" s="38"/>
      <c r="MRS117" s="38"/>
      <c r="MRY117" s="36"/>
      <c r="MRZ117" s="38"/>
      <c r="MSA117" s="38"/>
      <c r="MSG117" s="36"/>
      <c r="MSH117" s="38"/>
      <c r="MSI117" s="38"/>
      <c r="MSO117" s="36"/>
      <c r="MSP117" s="38"/>
      <c r="MSQ117" s="38"/>
      <c r="MSW117" s="36"/>
      <c r="MSX117" s="38"/>
      <c r="MSY117" s="38"/>
      <c r="MTE117" s="36"/>
      <c r="MTF117" s="38"/>
      <c r="MTG117" s="38"/>
      <c r="MTM117" s="36"/>
      <c r="MTN117" s="38"/>
      <c r="MTO117" s="38"/>
      <c r="MTU117" s="36"/>
      <c r="MTV117" s="38"/>
      <c r="MTW117" s="38"/>
      <c r="MUC117" s="36"/>
      <c r="MUD117" s="38"/>
      <c r="MUE117" s="38"/>
      <c r="MUK117" s="36"/>
      <c r="MUL117" s="38"/>
      <c r="MUM117" s="38"/>
      <c r="MUS117" s="36"/>
      <c r="MUT117" s="38"/>
      <c r="MUU117" s="38"/>
      <c r="MVA117" s="36"/>
      <c r="MVB117" s="38"/>
      <c r="MVC117" s="38"/>
      <c r="MVI117" s="36"/>
      <c r="MVJ117" s="38"/>
      <c r="MVK117" s="38"/>
      <c r="MVQ117" s="36"/>
      <c r="MVR117" s="38"/>
      <c r="MVS117" s="38"/>
      <c r="MVY117" s="36"/>
      <c r="MVZ117" s="38"/>
      <c r="MWA117" s="38"/>
      <c r="MWG117" s="36"/>
      <c r="MWH117" s="38"/>
      <c r="MWI117" s="38"/>
      <c r="MWO117" s="36"/>
      <c r="MWP117" s="38"/>
      <c r="MWQ117" s="38"/>
      <c r="MWW117" s="36"/>
      <c r="MWX117" s="38"/>
      <c r="MWY117" s="38"/>
      <c r="MXE117" s="36"/>
      <c r="MXF117" s="38"/>
      <c r="MXG117" s="38"/>
      <c r="MXM117" s="36"/>
      <c r="MXN117" s="38"/>
      <c r="MXO117" s="38"/>
      <c r="MXU117" s="36"/>
      <c r="MXV117" s="38"/>
      <c r="MXW117" s="38"/>
      <c r="MYC117" s="36"/>
      <c r="MYD117" s="38"/>
      <c r="MYE117" s="38"/>
      <c r="MYK117" s="36"/>
      <c r="MYL117" s="38"/>
      <c r="MYM117" s="38"/>
      <c r="MYS117" s="36"/>
      <c r="MYT117" s="38"/>
      <c r="MYU117" s="38"/>
      <c r="MZA117" s="36"/>
      <c r="MZB117" s="38"/>
      <c r="MZC117" s="38"/>
      <c r="MZI117" s="36"/>
      <c r="MZJ117" s="38"/>
      <c r="MZK117" s="38"/>
      <c r="MZQ117" s="36"/>
      <c r="MZR117" s="38"/>
      <c r="MZS117" s="38"/>
      <c r="MZY117" s="36"/>
      <c r="MZZ117" s="38"/>
      <c r="NAA117" s="38"/>
      <c r="NAG117" s="36"/>
      <c r="NAH117" s="38"/>
      <c r="NAI117" s="38"/>
      <c r="NAO117" s="36"/>
      <c r="NAP117" s="38"/>
      <c r="NAQ117" s="38"/>
      <c r="NAW117" s="36"/>
      <c r="NAX117" s="38"/>
      <c r="NAY117" s="38"/>
      <c r="NBE117" s="36"/>
      <c r="NBF117" s="38"/>
      <c r="NBG117" s="38"/>
      <c r="NBM117" s="36"/>
      <c r="NBN117" s="38"/>
      <c r="NBO117" s="38"/>
      <c r="NBU117" s="36"/>
      <c r="NBV117" s="38"/>
      <c r="NBW117" s="38"/>
      <c r="NCC117" s="36"/>
      <c r="NCD117" s="38"/>
      <c r="NCE117" s="38"/>
      <c r="NCK117" s="36"/>
      <c r="NCL117" s="38"/>
      <c r="NCM117" s="38"/>
      <c r="NCS117" s="36"/>
      <c r="NCT117" s="38"/>
      <c r="NCU117" s="38"/>
      <c r="NDA117" s="36"/>
      <c r="NDB117" s="38"/>
      <c r="NDC117" s="38"/>
      <c r="NDI117" s="36"/>
      <c r="NDJ117" s="38"/>
      <c r="NDK117" s="38"/>
      <c r="NDQ117" s="36"/>
      <c r="NDR117" s="38"/>
      <c r="NDS117" s="38"/>
      <c r="NDY117" s="36"/>
      <c r="NDZ117" s="38"/>
      <c r="NEA117" s="38"/>
      <c r="NEG117" s="36"/>
      <c r="NEH117" s="38"/>
      <c r="NEI117" s="38"/>
      <c r="NEO117" s="36"/>
      <c r="NEP117" s="38"/>
      <c r="NEQ117" s="38"/>
      <c r="NEW117" s="36"/>
      <c r="NEX117" s="38"/>
      <c r="NEY117" s="38"/>
      <c r="NFE117" s="36"/>
      <c r="NFF117" s="38"/>
      <c r="NFG117" s="38"/>
      <c r="NFM117" s="36"/>
      <c r="NFN117" s="38"/>
      <c r="NFO117" s="38"/>
      <c r="NFU117" s="36"/>
      <c r="NFV117" s="38"/>
      <c r="NFW117" s="38"/>
      <c r="NGC117" s="36"/>
      <c r="NGD117" s="38"/>
      <c r="NGE117" s="38"/>
      <c r="NGK117" s="36"/>
      <c r="NGL117" s="38"/>
      <c r="NGM117" s="38"/>
      <c r="NGS117" s="36"/>
      <c r="NGT117" s="38"/>
      <c r="NGU117" s="38"/>
      <c r="NHA117" s="36"/>
      <c r="NHB117" s="38"/>
      <c r="NHC117" s="38"/>
      <c r="NHI117" s="36"/>
      <c r="NHJ117" s="38"/>
      <c r="NHK117" s="38"/>
      <c r="NHQ117" s="36"/>
      <c r="NHR117" s="38"/>
      <c r="NHS117" s="38"/>
      <c r="NHY117" s="36"/>
      <c r="NHZ117" s="38"/>
      <c r="NIA117" s="38"/>
      <c r="NIG117" s="36"/>
      <c r="NIH117" s="38"/>
      <c r="NII117" s="38"/>
      <c r="NIO117" s="36"/>
      <c r="NIP117" s="38"/>
      <c r="NIQ117" s="38"/>
      <c r="NIW117" s="36"/>
      <c r="NIX117" s="38"/>
      <c r="NIY117" s="38"/>
      <c r="NJE117" s="36"/>
      <c r="NJF117" s="38"/>
      <c r="NJG117" s="38"/>
      <c r="NJM117" s="36"/>
      <c r="NJN117" s="38"/>
      <c r="NJO117" s="38"/>
      <c r="NJU117" s="36"/>
      <c r="NJV117" s="38"/>
      <c r="NJW117" s="38"/>
      <c r="NKC117" s="36"/>
      <c r="NKD117" s="38"/>
      <c r="NKE117" s="38"/>
      <c r="NKK117" s="36"/>
      <c r="NKL117" s="38"/>
      <c r="NKM117" s="38"/>
      <c r="NKS117" s="36"/>
      <c r="NKT117" s="38"/>
      <c r="NKU117" s="38"/>
      <c r="NLA117" s="36"/>
      <c r="NLB117" s="38"/>
      <c r="NLC117" s="38"/>
      <c r="NLI117" s="36"/>
      <c r="NLJ117" s="38"/>
      <c r="NLK117" s="38"/>
      <c r="NLQ117" s="36"/>
      <c r="NLR117" s="38"/>
      <c r="NLS117" s="38"/>
      <c r="NLY117" s="36"/>
      <c r="NLZ117" s="38"/>
      <c r="NMA117" s="38"/>
      <c r="NMG117" s="36"/>
      <c r="NMH117" s="38"/>
      <c r="NMI117" s="38"/>
      <c r="NMO117" s="36"/>
      <c r="NMP117" s="38"/>
      <c r="NMQ117" s="38"/>
      <c r="NMW117" s="36"/>
      <c r="NMX117" s="38"/>
      <c r="NMY117" s="38"/>
      <c r="NNE117" s="36"/>
      <c r="NNF117" s="38"/>
      <c r="NNG117" s="38"/>
      <c r="NNM117" s="36"/>
      <c r="NNN117" s="38"/>
      <c r="NNO117" s="38"/>
      <c r="NNU117" s="36"/>
      <c r="NNV117" s="38"/>
      <c r="NNW117" s="38"/>
      <c r="NOC117" s="36"/>
      <c r="NOD117" s="38"/>
      <c r="NOE117" s="38"/>
      <c r="NOK117" s="36"/>
      <c r="NOL117" s="38"/>
      <c r="NOM117" s="38"/>
      <c r="NOS117" s="36"/>
      <c r="NOT117" s="38"/>
      <c r="NOU117" s="38"/>
      <c r="NPA117" s="36"/>
      <c r="NPB117" s="38"/>
      <c r="NPC117" s="38"/>
      <c r="NPI117" s="36"/>
      <c r="NPJ117" s="38"/>
      <c r="NPK117" s="38"/>
      <c r="NPQ117" s="36"/>
      <c r="NPR117" s="38"/>
      <c r="NPS117" s="38"/>
      <c r="NPY117" s="36"/>
      <c r="NPZ117" s="38"/>
      <c r="NQA117" s="38"/>
      <c r="NQG117" s="36"/>
      <c r="NQH117" s="38"/>
      <c r="NQI117" s="38"/>
      <c r="NQO117" s="36"/>
      <c r="NQP117" s="38"/>
      <c r="NQQ117" s="38"/>
      <c r="NQW117" s="36"/>
      <c r="NQX117" s="38"/>
      <c r="NQY117" s="38"/>
      <c r="NRE117" s="36"/>
      <c r="NRF117" s="38"/>
      <c r="NRG117" s="38"/>
      <c r="NRM117" s="36"/>
      <c r="NRN117" s="38"/>
      <c r="NRO117" s="38"/>
      <c r="NRU117" s="36"/>
      <c r="NRV117" s="38"/>
      <c r="NRW117" s="38"/>
      <c r="NSC117" s="36"/>
      <c r="NSD117" s="38"/>
      <c r="NSE117" s="38"/>
      <c r="NSK117" s="36"/>
      <c r="NSL117" s="38"/>
      <c r="NSM117" s="38"/>
      <c r="NSS117" s="36"/>
      <c r="NST117" s="38"/>
      <c r="NSU117" s="38"/>
      <c r="NTA117" s="36"/>
      <c r="NTB117" s="38"/>
      <c r="NTC117" s="38"/>
      <c r="NTI117" s="36"/>
      <c r="NTJ117" s="38"/>
      <c r="NTK117" s="38"/>
      <c r="NTQ117" s="36"/>
      <c r="NTR117" s="38"/>
      <c r="NTS117" s="38"/>
      <c r="NTY117" s="36"/>
      <c r="NTZ117" s="38"/>
      <c r="NUA117" s="38"/>
      <c r="NUG117" s="36"/>
      <c r="NUH117" s="38"/>
      <c r="NUI117" s="38"/>
      <c r="NUO117" s="36"/>
      <c r="NUP117" s="38"/>
      <c r="NUQ117" s="38"/>
      <c r="NUW117" s="36"/>
      <c r="NUX117" s="38"/>
      <c r="NUY117" s="38"/>
      <c r="NVE117" s="36"/>
      <c r="NVF117" s="38"/>
      <c r="NVG117" s="38"/>
      <c r="NVM117" s="36"/>
      <c r="NVN117" s="38"/>
      <c r="NVO117" s="38"/>
      <c r="NVU117" s="36"/>
      <c r="NVV117" s="38"/>
      <c r="NVW117" s="38"/>
      <c r="NWC117" s="36"/>
      <c r="NWD117" s="38"/>
      <c r="NWE117" s="38"/>
      <c r="NWK117" s="36"/>
      <c r="NWL117" s="38"/>
      <c r="NWM117" s="38"/>
      <c r="NWS117" s="36"/>
      <c r="NWT117" s="38"/>
      <c r="NWU117" s="38"/>
      <c r="NXA117" s="36"/>
      <c r="NXB117" s="38"/>
      <c r="NXC117" s="38"/>
      <c r="NXI117" s="36"/>
      <c r="NXJ117" s="38"/>
      <c r="NXK117" s="38"/>
      <c r="NXQ117" s="36"/>
      <c r="NXR117" s="38"/>
      <c r="NXS117" s="38"/>
      <c r="NXY117" s="36"/>
      <c r="NXZ117" s="38"/>
      <c r="NYA117" s="38"/>
      <c r="NYG117" s="36"/>
      <c r="NYH117" s="38"/>
      <c r="NYI117" s="38"/>
      <c r="NYO117" s="36"/>
      <c r="NYP117" s="38"/>
      <c r="NYQ117" s="38"/>
      <c r="NYW117" s="36"/>
      <c r="NYX117" s="38"/>
      <c r="NYY117" s="38"/>
      <c r="NZE117" s="36"/>
      <c r="NZF117" s="38"/>
      <c r="NZG117" s="38"/>
      <c r="NZM117" s="36"/>
      <c r="NZN117" s="38"/>
      <c r="NZO117" s="38"/>
      <c r="NZU117" s="36"/>
      <c r="NZV117" s="38"/>
      <c r="NZW117" s="38"/>
      <c r="OAC117" s="36"/>
      <c r="OAD117" s="38"/>
      <c r="OAE117" s="38"/>
      <c r="OAK117" s="36"/>
      <c r="OAL117" s="38"/>
      <c r="OAM117" s="38"/>
      <c r="OAS117" s="36"/>
      <c r="OAT117" s="38"/>
      <c r="OAU117" s="38"/>
      <c r="OBA117" s="36"/>
      <c r="OBB117" s="38"/>
      <c r="OBC117" s="38"/>
      <c r="OBI117" s="36"/>
      <c r="OBJ117" s="38"/>
      <c r="OBK117" s="38"/>
      <c r="OBQ117" s="36"/>
      <c r="OBR117" s="38"/>
      <c r="OBS117" s="38"/>
      <c r="OBY117" s="36"/>
      <c r="OBZ117" s="38"/>
      <c r="OCA117" s="38"/>
      <c r="OCG117" s="36"/>
      <c r="OCH117" s="38"/>
      <c r="OCI117" s="38"/>
      <c r="OCO117" s="36"/>
      <c r="OCP117" s="38"/>
      <c r="OCQ117" s="38"/>
      <c r="OCW117" s="36"/>
      <c r="OCX117" s="38"/>
      <c r="OCY117" s="38"/>
      <c r="ODE117" s="36"/>
      <c r="ODF117" s="38"/>
      <c r="ODG117" s="38"/>
      <c r="ODM117" s="36"/>
      <c r="ODN117" s="38"/>
      <c r="ODO117" s="38"/>
      <c r="ODU117" s="36"/>
      <c r="ODV117" s="38"/>
      <c r="ODW117" s="38"/>
      <c r="OEC117" s="36"/>
      <c r="OED117" s="38"/>
      <c r="OEE117" s="38"/>
      <c r="OEK117" s="36"/>
      <c r="OEL117" s="38"/>
      <c r="OEM117" s="38"/>
      <c r="OES117" s="36"/>
      <c r="OET117" s="38"/>
      <c r="OEU117" s="38"/>
      <c r="OFA117" s="36"/>
      <c r="OFB117" s="38"/>
      <c r="OFC117" s="38"/>
      <c r="OFI117" s="36"/>
      <c r="OFJ117" s="38"/>
      <c r="OFK117" s="38"/>
      <c r="OFQ117" s="36"/>
      <c r="OFR117" s="38"/>
      <c r="OFS117" s="38"/>
      <c r="OFY117" s="36"/>
      <c r="OFZ117" s="38"/>
      <c r="OGA117" s="38"/>
      <c r="OGG117" s="36"/>
      <c r="OGH117" s="38"/>
      <c r="OGI117" s="38"/>
      <c r="OGO117" s="36"/>
      <c r="OGP117" s="38"/>
      <c r="OGQ117" s="38"/>
      <c r="OGW117" s="36"/>
      <c r="OGX117" s="38"/>
      <c r="OGY117" s="38"/>
      <c r="OHE117" s="36"/>
      <c r="OHF117" s="38"/>
      <c r="OHG117" s="38"/>
      <c r="OHM117" s="36"/>
      <c r="OHN117" s="38"/>
      <c r="OHO117" s="38"/>
      <c r="OHU117" s="36"/>
      <c r="OHV117" s="38"/>
      <c r="OHW117" s="38"/>
      <c r="OIC117" s="36"/>
      <c r="OID117" s="38"/>
      <c r="OIE117" s="38"/>
      <c r="OIK117" s="36"/>
      <c r="OIL117" s="38"/>
      <c r="OIM117" s="38"/>
      <c r="OIS117" s="36"/>
      <c r="OIT117" s="38"/>
      <c r="OIU117" s="38"/>
      <c r="OJA117" s="36"/>
      <c r="OJB117" s="38"/>
      <c r="OJC117" s="38"/>
      <c r="OJI117" s="36"/>
      <c r="OJJ117" s="38"/>
      <c r="OJK117" s="38"/>
      <c r="OJQ117" s="36"/>
      <c r="OJR117" s="38"/>
      <c r="OJS117" s="38"/>
      <c r="OJY117" s="36"/>
      <c r="OJZ117" s="38"/>
      <c r="OKA117" s="38"/>
      <c r="OKG117" s="36"/>
      <c r="OKH117" s="38"/>
      <c r="OKI117" s="38"/>
      <c r="OKO117" s="36"/>
      <c r="OKP117" s="38"/>
      <c r="OKQ117" s="38"/>
      <c r="OKW117" s="36"/>
      <c r="OKX117" s="38"/>
      <c r="OKY117" s="38"/>
      <c r="OLE117" s="36"/>
      <c r="OLF117" s="38"/>
      <c r="OLG117" s="38"/>
      <c r="OLM117" s="36"/>
      <c r="OLN117" s="38"/>
      <c r="OLO117" s="38"/>
      <c r="OLU117" s="36"/>
      <c r="OLV117" s="38"/>
      <c r="OLW117" s="38"/>
      <c r="OMC117" s="36"/>
      <c r="OMD117" s="38"/>
      <c r="OME117" s="38"/>
      <c r="OMK117" s="36"/>
      <c r="OML117" s="38"/>
      <c r="OMM117" s="38"/>
      <c r="OMS117" s="36"/>
      <c r="OMT117" s="38"/>
      <c r="OMU117" s="38"/>
      <c r="ONA117" s="36"/>
      <c r="ONB117" s="38"/>
      <c r="ONC117" s="38"/>
      <c r="ONI117" s="36"/>
      <c r="ONJ117" s="38"/>
      <c r="ONK117" s="38"/>
      <c r="ONQ117" s="36"/>
      <c r="ONR117" s="38"/>
      <c r="ONS117" s="38"/>
      <c r="ONY117" s="36"/>
      <c r="ONZ117" s="38"/>
      <c r="OOA117" s="38"/>
      <c r="OOG117" s="36"/>
      <c r="OOH117" s="38"/>
      <c r="OOI117" s="38"/>
      <c r="OOO117" s="36"/>
      <c r="OOP117" s="38"/>
      <c r="OOQ117" s="38"/>
      <c r="OOW117" s="36"/>
      <c r="OOX117" s="38"/>
      <c r="OOY117" s="38"/>
      <c r="OPE117" s="36"/>
      <c r="OPF117" s="38"/>
      <c r="OPG117" s="38"/>
      <c r="OPM117" s="36"/>
      <c r="OPN117" s="38"/>
      <c r="OPO117" s="38"/>
      <c r="OPU117" s="36"/>
      <c r="OPV117" s="38"/>
      <c r="OPW117" s="38"/>
      <c r="OQC117" s="36"/>
      <c r="OQD117" s="38"/>
      <c r="OQE117" s="38"/>
      <c r="OQK117" s="36"/>
      <c r="OQL117" s="38"/>
      <c r="OQM117" s="38"/>
      <c r="OQS117" s="36"/>
      <c r="OQT117" s="38"/>
      <c r="OQU117" s="38"/>
      <c r="ORA117" s="36"/>
      <c r="ORB117" s="38"/>
      <c r="ORC117" s="38"/>
      <c r="ORI117" s="36"/>
      <c r="ORJ117" s="38"/>
      <c r="ORK117" s="38"/>
      <c r="ORQ117" s="36"/>
      <c r="ORR117" s="38"/>
      <c r="ORS117" s="38"/>
      <c r="ORY117" s="36"/>
      <c r="ORZ117" s="38"/>
      <c r="OSA117" s="38"/>
      <c r="OSG117" s="36"/>
      <c r="OSH117" s="38"/>
      <c r="OSI117" s="38"/>
      <c r="OSO117" s="36"/>
      <c r="OSP117" s="38"/>
      <c r="OSQ117" s="38"/>
      <c r="OSW117" s="36"/>
      <c r="OSX117" s="38"/>
      <c r="OSY117" s="38"/>
      <c r="OTE117" s="36"/>
      <c r="OTF117" s="38"/>
      <c r="OTG117" s="38"/>
      <c r="OTM117" s="36"/>
      <c r="OTN117" s="38"/>
      <c r="OTO117" s="38"/>
      <c r="OTU117" s="36"/>
      <c r="OTV117" s="38"/>
      <c r="OTW117" s="38"/>
      <c r="OUC117" s="36"/>
      <c r="OUD117" s="38"/>
      <c r="OUE117" s="38"/>
      <c r="OUK117" s="36"/>
      <c r="OUL117" s="38"/>
      <c r="OUM117" s="38"/>
      <c r="OUS117" s="36"/>
      <c r="OUT117" s="38"/>
      <c r="OUU117" s="38"/>
      <c r="OVA117" s="36"/>
      <c r="OVB117" s="38"/>
      <c r="OVC117" s="38"/>
      <c r="OVI117" s="36"/>
      <c r="OVJ117" s="38"/>
      <c r="OVK117" s="38"/>
      <c r="OVQ117" s="36"/>
      <c r="OVR117" s="38"/>
      <c r="OVS117" s="38"/>
      <c r="OVY117" s="36"/>
      <c r="OVZ117" s="38"/>
      <c r="OWA117" s="38"/>
      <c r="OWG117" s="36"/>
      <c r="OWH117" s="38"/>
      <c r="OWI117" s="38"/>
      <c r="OWO117" s="36"/>
      <c r="OWP117" s="38"/>
      <c r="OWQ117" s="38"/>
      <c r="OWW117" s="36"/>
      <c r="OWX117" s="38"/>
      <c r="OWY117" s="38"/>
      <c r="OXE117" s="36"/>
      <c r="OXF117" s="38"/>
      <c r="OXG117" s="38"/>
      <c r="OXM117" s="36"/>
      <c r="OXN117" s="38"/>
      <c r="OXO117" s="38"/>
      <c r="OXU117" s="36"/>
      <c r="OXV117" s="38"/>
      <c r="OXW117" s="38"/>
      <c r="OYC117" s="36"/>
      <c r="OYD117" s="38"/>
      <c r="OYE117" s="38"/>
      <c r="OYK117" s="36"/>
      <c r="OYL117" s="38"/>
      <c r="OYM117" s="38"/>
      <c r="OYS117" s="36"/>
      <c r="OYT117" s="38"/>
      <c r="OYU117" s="38"/>
      <c r="OZA117" s="36"/>
      <c r="OZB117" s="38"/>
      <c r="OZC117" s="38"/>
      <c r="OZI117" s="36"/>
      <c r="OZJ117" s="38"/>
      <c r="OZK117" s="38"/>
      <c r="OZQ117" s="36"/>
      <c r="OZR117" s="38"/>
      <c r="OZS117" s="38"/>
      <c r="OZY117" s="36"/>
      <c r="OZZ117" s="38"/>
      <c r="PAA117" s="38"/>
      <c r="PAG117" s="36"/>
      <c r="PAH117" s="38"/>
      <c r="PAI117" s="38"/>
      <c r="PAO117" s="36"/>
      <c r="PAP117" s="38"/>
      <c r="PAQ117" s="38"/>
      <c r="PAW117" s="36"/>
      <c r="PAX117" s="38"/>
      <c r="PAY117" s="38"/>
      <c r="PBE117" s="36"/>
      <c r="PBF117" s="38"/>
      <c r="PBG117" s="38"/>
      <c r="PBM117" s="36"/>
      <c r="PBN117" s="38"/>
      <c r="PBO117" s="38"/>
      <c r="PBU117" s="36"/>
      <c r="PBV117" s="38"/>
      <c r="PBW117" s="38"/>
      <c r="PCC117" s="36"/>
      <c r="PCD117" s="38"/>
      <c r="PCE117" s="38"/>
      <c r="PCK117" s="36"/>
      <c r="PCL117" s="38"/>
      <c r="PCM117" s="38"/>
      <c r="PCS117" s="36"/>
      <c r="PCT117" s="38"/>
      <c r="PCU117" s="38"/>
      <c r="PDA117" s="36"/>
      <c r="PDB117" s="38"/>
      <c r="PDC117" s="38"/>
      <c r="PDI117" s="36"/>
      <c r="PDJ117" s="38"/>
      <c r="PDK117" s="38"/>
      <c r="PDQ117" s="36"/>
      <c r="PDR117" s="38"/>
      <c r="PDS117" s="38"/>
      <c r="PDY117" s="36"/>
      <c r="PDZ117" s="38"/>
      <c r="PEA117" s="38"/>
      <c r="PEG117" s="36"/>
      <c r="PEH117" s="38"/>
      <c r="PEI117" s="38"/>
      <c r="PEO117" s="36"/>
      <c r="PEP117" s="38"/>
      <c r="PEQ117" s="38"/>
      <c r="PEW117" s="36"/>
      <c r="PEX117" s="38"/>
      <c r="PEY117" s="38"/>
      <c r="PFE117" s="36"/>
      <c r="PFF117" s="38"/>
      <c r="PFG117" s="38"/>
      <c r="PFM117" s="36"/>
      <c r="PFN117" s="38"/>
      <c r="PFO117" s="38"/>
      <c r="PFU117" s="36"/>
      <c r="PFV117" s="38"/>
      <c r="PFW117" s="38"/>
      <c r="PGC117" s="36"/>
      <c r="PGD117" s="38"/>
      <c r="PGE117" s="38"/>
      <c r="PGK117" s="36"/>
      <c r="PGL117" s="38"/>
      <c r="PGM117" s="38"/>
      <c r="PGS117" s="36"/>
      <c r="PGT117" s="38"/>
      <c r="PGU117" s="38"/>
      <c r="PHA117" s="36"/>
      <c r="PHB117" s="38"/>
      <c r="PHC117" s="38"/>
      <c r="PHI117" s="36"/>
      <c r="PHJ117" s="38"/>
      <c r="PHK117" s="38"/>
      <c r="PHQ117" s="36"/>
      <c r="PHR117" s="38"/>
      <c r="PHS117" s="38"/>
      <c r="PHY117" s="36"/>
      <c r="PHZ117" s="38"/>
      <c r="PIA117" s="38"/>
      <c r="PIG117" s="36"/>
      <c r="PIH117" s="38"/>
      <c r="PII117" s="38"/>
      <c r="PIO117" s="36"/>
      <c r="PIP117" s="38"/>
      <c r="PIQ117" s="38"/>
      <c r="PIW117" s="36"/>
      <c r="PIX117" s="38"/>
      <c r="PIY117" s="38"/>
      <c r="PJE117" s="36"/>
      <c r="PJF117" s="38"/>
      <c r="PJG117" s="38"/>
      <c r="PJM117" s="36"/>
      <c r="PJN117" s="38"/>
      <c r="PJO117" s="38"/>
      <c r="PJU117" s="36"/>
      <c r="PJV117" s="38"/>
      <c r="PJW117" s="38"/>
      <c r="PKC117" s="36"/>
      <c r="PKD117" s="38"/>
      <c r="PKE117" s="38"/>
      <c r="PKK117" s="36"/>
      <c r="PKL117" s="38"/>
      <c r="PKM117" s="38"/>
      <c r="PKS117" s="36"/>
      <c r="PKT117" s="38"/>
      <c r="PKU117" s="38"/>
      <c r="PLA117" s="36"/>
      <c r="PLB117" s="38"/>
      <c r="PLC117" s="38"/>
      <c r="PLI117" s="36"/>
      <c r="PLJ117" s="38"/>
      <c r="PLK117" s="38"/>
      <c r="PLQ117" s="36"/>
      <c r="PLR117" s="38"/>
      <c r="PLS117" s="38"/>
      <c r="PLY117" s="36"/>
      <c r="PLZ117" s="38"/>
      <c r="PMA117" s="38"/>
      <c r="PMG117" s="36"/>
      <c r="PMH117" s="38"/>
      <c r="PMI117" s="38"/>
      <c r="PMO117" s="36"/>
      <c r="PMP117" s="38"/>
      <c r="PMQ117" s="38"/>
      <c r="PMW117" s="36"/>
      <c r="PMX117" s="38"/>
      <c r="PMY117" s="38"/>
      <c r="PNE117" s="36"/>
      <c r="PNF117" s="38"/>
      <c r="PNG117" s="38"/>
      <c r="PNM117" s="36"/>
      <c r="PNN117" s="38"/>
      <c r="PNO117" s="38"/>
      <c r="PNU117" s="36"/>
      <c r="PNV117" s="38"/>
      <c r="PNW117" s="38"/>
      <c r="POC117" s="36"/>
      <c r="POD117" s="38"/>
      <c r="POE117" s="38"/>
      <c r="POK117" s="36"/>
      <c r="POL117" s="38"/>
      <c r="POM117" s="38"/>
      <c r="POS117" s="36"/>
      <c r="POT117" s="38"/>
      <c r="POU117" s="38"/>
      <c r="PPA117" s="36"/>
      <c r="PPB117" s="38"/>
      <c r="PPC117" s="38"/>
      <c r="PPI117" s="36"/>
      <c r="PPJ117" s="38"/>
      <c r="PPK117" s="38"/>
      <c r="PPQ117" s="36"/>
      <c r="PPR117" s="38"/>
      <c r="PPS117" s="38"/>
      <c r="PPY117" s="36"/>
      <c r="PPZ117" s="38"/>
      <c r="PQA117" s="38"/>
      <c r="PQG117" s="36"/>
      <c r="PQH117" s="38"/>
      <c r="PQI117" s="38"/>
      <c r="PQO117" s="36"/>
      <c r="PQP117" s="38"/>
      <c r="PQQ117" s="38"/>
      <c r="PQW117" s="36"/>
      <c r="PQX117" s="38"/>
      <c r="PQY117" s="38"/>
      <c r="PRE117" s="36"/>
      <c r="PRF117" s="38"/>
      <c r="PRG117" s="38"/>
      <c r="PRM117" s="36"/>
      <c r="PRN117" s="38"/>
      <c r="PRO117" s="38"/>
      <c r="PRU117" s="36"/>
      <c r="PRV117" s="38"/>
      <c r="PRW117" s="38"/>
      <c r="PSC117" s="36"/>
      <c r="PSD117" s="38"/>
      <c r="PSE117" s="38"/>
      <c r="PSK117" s="36"/>
      <c r="PSL117" s="38"/>
      <c r="PSM117" s="38"/>
      <c r="PSS117" s="36"/>
      <c r="PST117" s="38"/>
      <c r="PSU117" s="38"/>
      <c r="PTA117" s="36"/>
      <c r="PTB117" s="38"/>
      <c r="PTC117" s="38"/>
      <c r="PTI117" s="36"/>
      <c r="PTJ117" s="38"/>
      <c r="PTK117" s="38"/>
      <c r="PTQ117" s="36"/>
      <c r="PTR117" s="38"/>
      <c r="PTS117" s="38"/>
      <c r="PTY117" s="36"/>
      <c r="PTZ117" s="38"/>
      <c r="PUA117" s="38"/>
      <c r="PUG117" s="36"/>
      <c r="PUH117" s="38"/>
      <c r="PUI117" s="38"/>
      <c r="PUO117" s="36"/>
      <c r="PUP117" s="38"/>
      <c r="PUQ117" s="38"/>
      <c r="PUW117" s="36"/>
      <c r="PUX117" s="38"/>
      <c r="PUY117" s="38"/>
      <c r="PVE117" s="36"/>
      <c r="PVF117" s="38"/>
      <c r="PVG117" s="38"/>
      <c r="PVM117" s="36"/>
      <c r="PVN117" s="38"/>
      <c r="PVO117" s="38"/>
      <c r="PVU117" s="36"/>
      <c r="PVV117" s="38"/>
      <c r="PVW117" s="38"/>
      <c r="PWC117" s="36"/>
      <c r="PWD117" s="38"/>
      <c r="PWE117" s="38"/>
      <c r="PWK117" s="36"/>
      <c r="PWL117" s="38"/>
      <c r="PWM117" s="38"/>
      <c r="PWS117" s="36"/>
      <c r="PWT117" s="38"/>
      <c r="PWU117" s="38"/>
      <c r="PXA117" s="36"/>
      <c r="PXB117" s="38"/>
      <c r="PXC117" s="38"/>
      <c r="PXI117" s="36"/>
      <c r="PXJ117" s="38"/>
      <c r="PXK117" s="38"/>
      <c r="PXQ117" s="36"/>
      <c r="PXR117" s="38"/>
      <c r="PXS117" s="38"/>
      <c r="PXY117" s="36"/>
      <c r="PXZ117" s="38"/>
      <c r="PYA117" s="38"/>
      <c r="PYG117" s="36"/>
      <c r="PYH117" s="38"/>
      <c r="PYI117" s="38"/>
      <c r="PYO117" s="36"/>
      <c r="PYP117" s="38"/>
      <c r="PYQ117" s="38"/>
      <c r="PYW117" s="36"/>
      <c r="PYX117" s="38"/>
      <c r="PYY117" s="38"/>
      <c r="PZE117" s="36"/>
      <c r="PZF117" s="38"/>
      <c r="PZG117" s="38"/>
      <c r="PZM117" s="36"/>
      <c r="PZN117" s="38"/>
      <c r="PZO117" s="38"/>
      <c r="PZU117" s="36"/>
      <c r="PZV117" s="38"/>
      <c r="PZW117" s="38"/>
      <c r="QAC117" s="36"/>
      <c r="QAD117" s="38"/>
      <c r="QAE117" s="38"/>
      <c r="QAK117" s="36"/>
      <c r="QAL117" s="38"/>
      <c r="QAM117" s="38"/>
      <c r="QAS117" s="36"/>
      <c r="QAT117" s="38"/>
      <c r="QAU117" s="38"/>
      <c r="QBA117" s="36"/>
      <c r="QBB117" s="38"/>
      <c r="QBC117" s="38"/>
      <c r="QBI117" s="36"/>
      <c r="QBJ117" s="38"/>
      <c r="QBK117" s="38"/>
      <c r="QBQ117" s="36"/>
      <c r="QBR117" s="38"/>
      <c r="QBS117" s="38"/>
      <c r="QBY117" s="36"/>
      <c r="QBZ117" s="38"/>
      <c r="QCA117" s="38"/>
      <c r="QCG117" s="36"/>
      <c r="QCH117" s="38"/>
      <c r="QCI117" s="38"/>
      <c r="QCO117" s="36"/>
      <c r="QCP117" s="38"/>
      <c r="QCQ117" s="38"/>
      <c r="QCW117" s="36"/>
      <c r="QCX117" s="38"/>
      <c r="QCY117" s="38"/>
      <c r="QDE117" s="36"/>
      <c r="QDF117" s="38"/>
      <c r="QDG117" s="38"/>
      <c r="QDM117" s="36"/>
      <c r="QDN117" s="38"/>
      <c r="QDO117" s="38"/>
      <c r="QDU117" s="36"/>
      <c r="QDV117" s="38"/>
      <c r="QDW117" s="38"/>
      <c r="QEC117" s="36"/>
      <c r="QED117" s="38"/>
      <c r="QEE117" s="38"/>
      <c r="QEK117" s="36"/>
      <c r="QEL117" s="38"/>
      <c r="QEM117" s="38"/>
      <c r="QES117" s="36"/>
      <c r="QET117" s="38"/>
      <c r="QEU117" s="38"/>
      <c r="QFA117" s="36"/>
      <c r="QFB117" s="38"/>
      <c r="QFC117" s="38"/>
      <c r="QFI117" s="36"/>
      <c r="QFJ117" s="38"/>
      <c r="QFK117" s="38"/>
      <c r="QFQ117" s="36"/>
      <c r="QFR117" s="38"/>
      <c r="QFS117" s="38"/>
      <c r="QFY117" s="36"/>
      <c r="QFZ117" s="38"/>
      <c r="QGA117" s="38"/>
      <c r="QGG117" s="36"/>
      <c r="QGH117" s="38"/>
      <c r="QGI117" s="38"/>
      <c r="QGO117" s="36"/>
      <c r="QGP117" s="38"/>
      <c r="QGQ117" s="38"/>
      <c r="QGW117" s="36"/>
      <c r="QGX117" s="38"/>
      <c r="QGY117" s="38"/>
      <c r="QHE117" s="36"/>
      <c r="QHF117" s="38"/>
      <c r="QHG117" s="38"/>
      <c r="QHM117" s="36"/>
      <c r="QHN117" s="38"/>
      <c r="QHO117" s="38"/>
      <c r="QHU117" s="36"/>
      <c r="QHV117" s="38"/>
      <c r="QHW117" s="38"/>
      <c r="QIC117" s="36"/>
      <c r="QID117" s="38"/>
      <c r="QIE117" s="38"/>
      <c r="QIK117" s="36"/>
      <c r="QIL117" s="38"/>
      <c r="QIM117" s="38"/>
      <c r="QIS117" s="36"/>
      <c r="QIT117" s="38"/>
      <c r="QIU117" s="38"/>
      <c r="QJA117" s="36"/>
      <c r="QJB117" s="38"/>
      <c r="QJC117" s="38"/>
      <c r="QJI117" s="36"/>
      <c r="QJJ117" s="38"/>
      <c r="QJK117" s="38"/>
      <c r="QJQ117" s="36"/>
      <c r="QJR117" s="38"/>
      <c r="QJS117" s="38"/>
      <c r="QJY117" s="36"/>
      <c r="QJZ117" s="38"/>
      <c r="QKA117" s="38"/>
      <c r="QKG117" s="36"/>
      <c r="QKH117" s="38"/>
      <c r="QKI117" s="38"/>
      <c r="QKO117" s="36"/>
      <c r="QKP117" s="38"/>
      <c r="QKQ117" s="38"/>
      <c r="QKW117" s="36"/>
      <c r="QKX117" s="38"/>
      <c r="QKY117" s="38"/>
      <c r="QLE117" s="36"/>
      <c r="QLF117" s="38"/>
      <c r="QLG117" s="38"/>
      <c r="QLM117" s="36"/>
      <c r="QLN117" s="38"/>
      <c r="QLO117" s="38"/>
      <c r="QLU117" s="36"/>
      <c r="QLV117" s="38"/>
      <c r="QLW117" s="38"/>
      <c r="QMC117" s="36"/>
      <c r="QMD117" s="38"/>
      <c r="QME117" s="38"/>
      <c r="QMK117" s="36"/>
      <c r="QML117" s="38"/>
      <c r="QMM117" s="38"/>
      <c r="QMS117" s="36"/>
      <c r="QMT117" s="38"/>
      <c r="QMU117" s="38"/>
      <c r="QNA117" s="36"/>
      <c r="QNB117" s="38"/>
      <c r="QNC117" s="38"/>
      <c r="QNI117" s="36"/>
      <c r="QNJ117" s="38"/>
      <c r="QNK117" s="38"/>
      <c r="QNQ117" s="36"/>
      <c r="QNR117" s="38"/>
      <c r="QNS117" s="38"/>
      <c r="QNY117" s="36"/>
      <c r="QNZ117" s="38"/>
      <c r="QOA117" s="38"/>
      <c r="QOG117" s="36"/>
      <c r="QOH117" s="38"/>
      <c r="QOI117" s="38"/>
      <c r="QOO117" s="36"/>
      <c r="QOP117" s="38"/>
      <c r="QOQ117" s="38"/>
      <c r="QOW117" s="36"/>
      <c r="QOX117" s="38"/>
      <c r="QOY117" s="38"/>
      <c r="QPE117" s="36"/>
      <c r="QPF117" s="38"/>
      <c r="QPG117" s="38"/>
      <c r="QPM117" s="36"/>
      <c r="QPN117" s="38"/>
      <c r="QPO117" s="38"/>
      <c r="QPU117" s="36"/>
      <c r="QPV117" s="38"/>
      <c r="QPW117" s="38"/>
      <c r="QQC117" s="36"/>
      <c r="QQD117" s="38"/>
      <c r="QQE117" s="38"/>
      <c r="QQK117" s="36"/>
      <c r="QQL117" s="38"/>
      <c r="QQM117" s="38"/>
      <c r="QQS117" s="36"/>
      <c r="QQT117" s="38"/>
      <c r="QQU117" s="38"/>
      <c r="QRA117" s="36"/>
      <c r="QRB117" s="38"/>
      <c r="QRC117" s="38"/>
      <c r="QRI117" s="36"/>
      <c r="QRJ117" s="38"/>
      <c r="QRK117" s="38"/>
      <c r="QRQ117" s="36"/>
      <c r="QRR117" s="38"/>
      <c r="QRS117" s="38"/>
      <c r="QRY117" s="36"/>
      <c r="QRZ117" s="38"/>
      <c r="QSA117" s="38"/>
      <c r="QSG117" s="36"/>
      <c r="QSH117" s="38"/>
      <c r="QSI117" s="38"/>
      <c r="QSO117" s="36"/>
      <c r="QSP117" s="38"/>
      <c r="QSQ117" s="38"/>
      <c r="QSW117" s="36"/>
      <c r="QSX117" s="38"/>
      <c r="QSY117" s="38"/>
      <c r="QTE117" s="36"/>
      <c r="QTF117" s="38"/>
      <c r="QTG117" s="38"/>
      <c r="QTM117" s="36"/>
      <c r="QTN117" s="38"/>
      <c r="QTO117" s="38"/>
      <c r="QTU117" s="36"/>
      <c r="QTV117" s="38"/>
      <c r="QTW117" s="38"/>
      <c r="QUC117" s="36"/>
      <c r="QUD117" s="38"/>
      <c r="QUE117" s="38"/>
      <c r="QUK117" s="36"/>
      <c r="QUL117" s="38"/>
      <c r="QUM117" s="38"/>
      <c r="QUS117" s="36"/>
      <c r="QUT117" s="38"/>
      <c r="QUU117" s="38"/>
      <c r="QVA117" s="36"/>
      <c r="QVB117" s="38"/>
      <c r="QVC117" s="38"/>
      <c r="QVI117" s="36"/>
      <c r="QVJ117" s="38"/>
      <c r="QVK117" s="38"/>
      <c r="QVQ117" s="36"/>
      <c r="QVR117" s="38"/>
      <c r="QVS117" s="38"/>
      <c r="QVY117" s="36"/>
      <c r="QVZ117" s="38"/>
      <c r="QWA117" s="38"/>
      <c r="QWG117" s="36"/>
      <c r="QWH117" s="38"/>
      <c r="QWI117" s="38"/>
      <c r="QWO117" s="36"/>
      <c r="QWP117" s="38"/>
      <c r="QWQ117" s="38"/>
      <c r="QWW117" s="36"/>
      <c r="QWX117" s="38"/>
      <c r="QWY117" s="38"/>
      <c r="QXE117" s="36"/>
      <c r="QXF117" s="38"/>
      <c r="QXG117" s="38"/>
      <c r="QXM117" s="36"/>
      <c r="QXN117" s="38"/>
      <c r="QXO117" s="38"/>
      <c r="QXU117" s="36"/>
      <c r="QXV117" s="38"/>
      <c r="QXW117" s="38"/>
      <c r="QYC117" s="36"/>
      <c r="QYD117" s="38"/>
      <c r="QYE117" s="38"/>
      <c r="QYK117" s="36"/>
      <c r="QYL117" s="38"/>
      <c r="QYM117" s="38"/>
      <c r="QYS117" s="36"/>
      <c r="QYT117" s="38"/>
      <c r="QYU117" s="38"/>
      <c r="QZA117" s="36"/>
      <c r="QZB117" s="38"/>
      <c r="QZC117" s="38"/>
      <c r="QZI117" s="36"/>
      <c r="QZJ117" s="38"/>
      <c r="QZK117" s="38"/>
      <c r="QZQ117" s="36"/>
      <c r="QZR117" s="38"/>
      <c r="QZS117" s="38"/>
      <c r="QZY117" s="36"/>
      <c r="QZZ117" s="38"/>
      <c r="RAA117" s="38"/>
      <c r="RAG117" s="36"/>
      <c r="RAH117" s="38"/>
      <c r="RAI117" s="38"/>
      <c r="RAO117" s="36"/>
      <c r="RAP117" s="38"/>
      <c r="RAQ117" s="38"/>
      <c r="RAW117" s="36"/>
      <c r="RAX117" s="38"/>
      <c r="RAY117" s="38"/>
      <c r="RBE117" s="36"/>
      <c r="RBF117" s="38"/>
      <c r="RBG117" s="38"/>
      <c r="RBM117" s="36"/>
      <c r="RBN117" s="38"/>
      <c r="RBO117" s="38"/>
      <c r="RBU117" s="36"/>
      <c r="RBV117" s="38"/>
      <c r="RBW117" s="38"/>
      <c r="RCC117" s="36"/>
      <c r="RCD117" s="38"/>
      <c r="RCE117" s="38"/>
      <c r="RCK117" s="36"/>
      <c r="RCL117" s="38"/>
      <c r="RCM117" s="38"/>
      <c r="RCS117" s="36"/>
      <c r="RCT117" s="38"/>
      <c r="RCU117" s="38"/>
      <c r="RDA117" s="36"/>
      <c r="RDB117" s="38"/>
      <c r="RDC117" s="38"/>
      <c r="RDI117" s="36"/>
      <c r="RDJ117" s="38"/>
      <c r="RDK117" s="38"/>
      <c r="RDQ117" s="36"/>
      <c r="RDR117" s="38"/>
      <c r="RDS117" s="38"/>
      <c r="RDY117" s="36"/>
      <c r="RDZ117" s="38"/>
      <c r="REA117" s="38"/>
      <c r="REG117" s="36"/>
      <c r="REH117" s="38"/>
      <c r="REI117" s="38"/>
      <c r="REO117" s="36"/>
      <c r="REP117" s="38"/>
      <c r="REQ117" s="38"/>
      <c r="REW117" s="36"/>
      <c r="REX117" s="38"/>
      <c r="REY117" s="38"/>
      <c r="RFE117" s="36"/>
      <c r="RFF117" s="38"/>
      <c r="RFG117" s="38"/>
      <c r="RFM117" s="36"/>
      <c r="RFN117" s="38"/>
      <c r="RFO117" s="38"/>
      <c r="RFU117" s="36"/>
      <c r="RFV117" s="38"/>
      <c r="RFW117" s="38"/>
      <c r="RGC117" s="36"/>
      <c r="RGD117" s="38"/>
      <c r="RGE117" s="38"/>
      <c r="RGK117" s="36"/>
      <c r="RGL117" s="38"/>
      <c r="RGM117" s="38"/>
      <c r="RGS117" s="36"/>
      <c r="RGT117" s="38"/>
      <c r="RGU117" s="38"/>
      <c r="RHA117" s="36"/>
      <c r="RHB117" s="38"/>
      <c r="RHC117" s="38"/>
      <c r="RHI117" s="36"/>
      <c r="RHJ117" s="38"/>
      <c r="RHK117" s="38"/>
      <c r="RHQ117" s="36"/>
      <c r="RHR117" s="38"/>
      <c r="RHS117" s="38"/>
      <c r="RHY117" s="36"/>
      <c r="RHZ117" s="38"/>
      <c r="RIA117" s="38"/>
      <c r="RIG117" s="36"/>
      <c r="RIH117" s="38"/>
      <c r="RII117" s="38"/>
      <c r="RIO117" s="36"/>
      <c r="RIP117" s="38"/>
      <c r="RIQ117" s="38"/>
      <c r="RIW117" s="36"/>
      <c r="RIX117" s="38"/>
      <c r="RIY117" s="38"/>
      <c r="RJE117" s="36"/>
      <c r="RJF117" s="38"/>
      <c r="RJG117" s="38"/>
      <c r="RJM117" s="36"/>
      <c r="RJN117" s="38"/>
      <c r="RJO117" s="38"/>
      <c r="RJU117" s="36"/>
      <c r="RJV117" s="38"/>
      <c r="RJW117" s="38"/>
      <c r="RKC117" s="36"/>
      <c r="RKD117" s="38"/>
      <c r="RKE117" s="38"/>
      <c r="RKK117" s="36"/>
      <c r="RKL117" s="38"/>
      <c r="RKM117" s="38"/>
      <c r="RKS117" s="36"/>
      <c r="RKT117" s="38"/>
      <c r="RKU117" s="38"/>
      <c r="RLA117" s="36"/>
      <c r="RLB117" s="38"/>
      <c r="RLC117" s="38"/>
      <c r="RLI117" s="36"/>
      <c r="RLJ117" s="38"/>
      <c r="RLK117" s="38"/>
      <c r="RLQ117" s="36"/>
      <c r="RLR117" s="38"/>
      <c r="RLS117" s="38"/>
      <c r="RLY117" s="36"/>
      <c r="RLZ117" s="38"/>
      <c r="RMA117" s="38"/>
      <c r="RMG117" s="36"/>
      <c r="RMH117" s="38"/>
      <c r="RMI117" s="38"/>
      <c r="RMO117" s="36"/>
      <c r="RMP117" s="38"/>
      <c r="RMQ117" s="38"/>
      <c r="RMW117" s="36"/>
      <c r="RMX117" s="38"/>
      <c r="RMY117" s="38"/>
      <c r="RNE117" s="36"/>
      <c r="RNF117" s="38"/>
      <c r="RNG117" s="38"/>
      <c r="RNM117" s="36"/>
      <c r="RNN117" s="38"/>
      <c r="RNO117" s="38"/>
      <c r="RNU117" s="36"/>
      <c r="RNV117" s="38"/>
      <c r="RNW117" s="38"/>
      <c r="ROC117" s="36"/>
      <c r="ROD117" s="38"/>
      <c r="ROE117" s="38"/>
      <c r="ROK117" s="36"/>
      <c r="ROL117" s="38"/>
      <c r="ROM117" s="38"/>
      <c r="ROS117" s="36"/>
      <c r="ROT117" s="38"/>
      <c r="ROU117" s="38"/>
      <c r="RPA117" s="36"/>
      <c r="RPB117" s="38"/>
      <c r="RPC117" s="38"/>
      <c r="RPI117" s="36"/>
      <c r="RPJ117" s="38"/>
      <c r="RPK117" s="38"/>
      <c r="RPQ117" s="36"/>
      <c r="RPR117" s="38"/>
      <c r="RPS117" s="38"/>
      <c r="RPY117" s="36"/>
      <c r="RPZ117" s="38"/>
      <c r="RQA117" s="38"/>
      <c r="RQG117" s="36"/>
      <c r="RQH117" s="38"/>
      <c r="RQI117" s="38"/>
      <c r="RQO117" s="36"/>
      <c r="RQP117" s="38"/>
      <c r="RQQ117" s="38"/>
      <c r="RQW117" s="36"/>
      <c r="RQX117" s="38"/>
      <c r="RQY117" s="38"/>
      <c r="RRE117" s="36"/>
      <c r="RRF117" s="38"/>
      <c r="RRG117" s="38"/>
      <c r="RRM117" s="36"/>
      <c r="RRN117" s="38"/>
      <c r="RRO117" s="38"/>
      <c r="RRU117" s="36"/>
      <c r="RRV117" s="38"/>
      <c r="RRW117" s="38"/>
      <c r="RSC117" s="36"/>
      <c r="RSD117" s="38"/>
      <c r="RSE117" s="38"/>
      <c r="RSK117" s="36"/>
      <c r="RSL117" s="38"/>
      <c r="RSM117" s="38"/>
      <c r="RSS117" s="36"/>
      <c r="RST117" s="38"/>
      <c r="RSU117" s="38"/>
      <c r="RTA117" s="36"/>
      <c r="RTB117" s="38"/>
      <c r="RTC117" s="38"/>
      <c r="RTI117" s="36"/>
      <c r="RTJ117" s="38"/>
      <c r="RTK117" s="38"/>
      <c r="RTQ117" s="36"/>
      <c r="RTR117" s="38"/>
      <c r="RTS117" s="38"/>
      <c r="RTY117" s="36"/>
      <c r="RTZ117" s="38"/>
      <c r="RUA117" s="38"/>
      <c r="RUG117" s="36"/>
      <c r="RUH117" s="38"/>
      <c r="RUI117" s="38"/>
      <c r="RUO117" s="36"/>
      <c r="RUP117" s="38"/>
      <c r="RUQ117" s="38"/>
      <c r="RUW117" s="36"/>
      <c r="RUX117" s="38"/>
      <c r="RUY117" s="38"/>
      <c r="RVE117" s="36"/>
      <c r="RVF117" s="38"/>
      <c r="RVG117" s="38"/>
      <c r="RVM117" s="36"/>
      <c r="RVN117" s="38"/>
      <c r="RVO117" s="38"/>
      <c r="RVU117" s="36"/>
      <c r="RVV117" s="38"/>
      <c r="RVW117" s="38"/>
      <c r="RWC117" s="36"/>
      <c r="RWD117" s="38"/>
      <c r="RWE117" s="38"/>
      <c r="RWK117" s="36"/>
      <c r="RWL117" s="38"/>
      <c r="RWM117" s="38"/>
      <c r="RWS117" s="36"/>
      <c r="RWT117" s="38"/>
      <c r="RWU117" s="38"/>
      <c r="RXA117" s="36"/>
      <c r="RXB117" s="38"/>
      <c r="RXC117" s="38"/>
      <c r="RXI117" s="36"/>
      <c r="RXJ117" s="38"/>
      <c r="RXK117" s="38"/>
      <c r="RXQ117" s="36"/>
      <c r="RXR117" s="38"/>
      <c r="RXS117" s="38"/>
      <c r="RXY117" s="36"/>
      <c r="RXZ117" s="38"/>
      <c r="RYA117" s="38"/>
      <c r="RYG117" s="36"/>
      <c r="RYH117" s="38"/>
      <c r="RYI117" s="38"/>
      <c r="RYO117" s="36"/>
      <c r="RYP117" s="38"/>
      <c r="RYQ117" s="38"/>
      <c r="RYW117" s="36"/>
      <c r="RYX117" s="38"/>
      <c r="RYY117" s="38"/>
      <c r="RZE117" s="36"/>
      <c r="RZF117" s="38"/>
      <c r="RZG117" s="38"/>
      <c r="RZM117" s="36"/>
      <c r="RZN117" s="38"/>
      <c r="RZO117" s="38"/>
      <c r="RZU117" s="36"/>
      <c r="RZV117" s="38"/>
      <c r="RZW117" s="38"/>
      <c r="SAC117" s="36"/>
      <c r="SAD117" s="38"/>
      <c r="SAE117" s="38"/>
      <c r="SAK117" s="36"/>
      <c r="SAL117" s="38"/>
      <c r="SAM117" s="38"/>
      <c r="SAS117" s="36"/>
      <c r="SAT117" s="38"/>
      <c r="SAU117" s="38"/>
      <c r="SBA117" s="36"/>
      <c r="SBB117" s="38"/>
      <c r="SBC117" s="38"/>
      <c r="SBI117" s="36"/>
      <c r="SBJ117" s="38"/>
      <c r="SBK117" s="38"/>
      <c r="SBQ117" s="36"/>
      <c r="SBR117" s="38"/>
      <c r="SBS117" s="38"/>
      <c r="SBY117" s="36"/>
      <c r="SBZ117" s="38"/>
      <c r="SCA117" s="38"/>
      <c r="SCG117" s="36"/>
      <c r="SCH117" s="38"/>
      <c r="SCI117" s="38"/>
      <c r="SCO117" s="36"/>
      <c r="SCP117" s="38"/>
      <c r="SCQ117" s="38"/>
      <c r="SCW117" s="36"/>
      <c r="SCX117" s="38"/>
      <c r="SCY117" s="38"/>
      <c r="SDE117" s="36"/>
      <c r="SDF117" s="38"/>
      <c r="SDG117" s="38"/>
      <c r="SDM117" s="36"/>
      <c r="SDN117" s="38"/>
      <c r="SDO117" s="38"/>
      <c r="SDU117" s="36"/>
      <c r="SDV117" s="38"/>
      <c r="SDW117" s="38"/>
      <c r="SEC117" s="36"/>
      <c r="SED117" s="38"/>
      <c r="SEE117" s="38"/>
      <c r="SEK117" s="36"/>
      <c r="SEL117" s="38"/>
      <c r="SEM117" s="38"/>
      <c r="SES117" s="36"/>
      <c r="SET117" s="38"/>
      <c r="SEU117" s="38"/>
      <c r="SFA117" s="36"/>
      <c r="SFB117" s="38"/>
      <c r="SFC117" s="38"/>
      <c r="SFI117" s="36"/>
      <c r="SFJ117" s="38"/>
      <c r="SFK117" s="38"/>
      <c r="SFQ117" s="36"/>
      <c r="SFR117" s="38"/>
      <c r="SFS117" s="38"/>
      <c r="SFY117" s="36"/>
      <c r="SFZ117" s="38"/>
      <c r="SGA117" s="38"/>
      <c r="SGG117" s="36"/>
      <c r="SGH117" s="38"/>
      <c r="SGI117" s="38"/>
      <c r="SGO117" s="36"/>
      <c r="SGP117" s="38"/>
      <c r="SGQ117" s="38"/>
      <c r="SGW117" s="36"/>
      <c r="SGX117" s="38"/>
      <c r="SGY117" s="38"/>
      <c r="SHE117" s="36"/>
      <c r="SHF117" s="38"/>
      <c r="SHG117" s="38"/>
      <c r="SHM117" s="36"/>
      <c r="SHN117" s="38"/>
      <c r="SHO117" s="38"/>
      <c r="SHU117" s="36"/>
      <c r="SHV117" s="38"/>
      <c r="SHW117" s="38"/>
      <c r="SIC117" s="36"/>
      <c r="SID117" s="38"/>
      <c r="SIE117" s="38"/>
      <c r="SIK117" s="36"/>
      <c r="SIL117" s="38"/>
      <c r="SIM117" s="38"/>
      <c r="SIS117" s="36"/>
      <c r="SIT117" s="38"/>
      <c r="SIU117" s="38"/>
      <c r="SJA117" s="36"/>
      <c r="SJB117" s="38"/>
      <c r="SJC117" s="38"/>
      <c r="SJI117" s="36"/>
      <c r="SJJ117" s="38"/>
      <c r="SJK117" s="38"/>
      <c r="SJQ117" s="36"/>
      <c r="SJR117" s="38"/>
      <c r="SJS117" s="38"/>
      <c r="SJY117" s="36"/>
      <c r="SJZ117" s="38"/>
      <c r="SKA117" s="38"/>
      <c r="SKG117" s="36"/>
      <c r="SKH117" s="38"/>
      <c r="SKI117" s="38"/>
      <c r="SKO117" s="36"/>
      <c r="SKP117" s="38"/>
      <c r="SKQ117" s="38"/>
      <c r="SKW117" s="36"/>
      <c r="SKX117" s="38"/>
      <c r="SKY117" s="38"/>
      <c r="SLE117" s="36"/>
      <c r="SLF117" s="38"/>
      <c r="SLG117" s="38"/>
      <c r="SLM117" s="36"/>
      <c r="SLN117" s="38"/>
      <c r="SLO117" s="38"/>
      <c r="SLU117" s="36"/>
      <c r="SLV117" s="38"/>
      <c r="SLW117" s="38"/>
      <c r="SMC117" s="36"/>
      <c r="SMD117" s="38"/>
      <c r="SME117" s="38"/>
      <c r="SMK117" s="36"/>
      <c r="SML117" s="38"/>
      <c r="SMM117" s="38"/>
      <c r="SMS117" s="36"/>
      <c r="SMT117" s="38"/>
      <c r="SMU117" s="38"/>
      <c r="SNA117" s="36"/>
      <c r="SNB117" s="38"/>
      <c r="SNC117" s="38"/>
      <c r="SNI117" s="36"/>
      <c r="SNJ117" s="38"/>
      <c r="SNK117" s="38"/>
      <c r="SNQ117" s="36"/>
      <c r="SNR117" s="38"/>
      <c r="SNS117" s="38"/>
      <c r="SNY117" s="36"/>
      <c r="SNZ117" s="38"/>
      <c r="SOA117" s="38"/>
      <c r="SOG117" s="36"/>
      <c r="SOH117" s="38"/>
      <c r="SOI117" s="38"/>
      <c r="SOO117" s="36"/>
      <c r="SOP117" s="38"/>
      <c r="SOQ117" s="38"/>
      <c r="SOW117" s="36"/>
      <c r="SOX117" s="38"/>
      <c r="SOY117" s="38"/>
      <c r="SPE117" s="36"/>
      <c r="SPF117" s="38"/>
      <c r="SPG117" s="38"/>
      <c r="SPM117" s="36"/>
      <c r="SPN117" s="38"/>
      <c r="SPO117" s="38"/>
      <c r="SPU117" s="36"/>
      <c r="SPV117" s="38"/>
      <c r="SPW117" s="38"/>
      <c r="SQC117" s="36"/>
      <c r="SQD117" s="38"/>
      <c r="SQE117" s="38"/>
      <c r="SQK117" s="36"/>
      <c r="SQL117" s="38"/>
      <c r="SQM117" s="38"/>
      <c r="SQS117" s="36"/>
      <c r="SQT117" s="38"/>
      <c r="SQU117" s="38"/>
      <c r="SRA117" s="36"/>
      <c r="SRB117" s="38"/>
      <c r="SRC117" s="38"/>
      <c r="SRI117" s="36"/>
      <c r="SRJ117" s="38"/>
      <c r="SRK117" s="38"/>
      <c r="SRQ117" s="36"/>
      <c r="SRR117" s="38"/>
      <c r="SRS117" s="38"/>
      <c r="SRY117" s="36"/>
      <c r="SRZ117" s="38"/>
      <c r="SSA117" s="38"/>
      <c r="SSG117" s="36"/>
      <c r="SSH117" s="38"/>
      <c r="SSI117" s="38"/>
      <c r="SSO117" s="36"/>
      <c r="SSP117" s="38"/>
      <c r="SSQ117" s="38"/>
      <c r="SSW117" s="36"/>
      <c r="SSX117" s="38"/>
      <c r="SSY117" s="38"/>
      <c r="STE117" s="36"/>
      <c r="STF117" s="38"/>
      <c r="STG117" s="38"/>
      <c r="STM117" s="36"/>
      <c r="STN117" s="38"/>
      <c r="STO117" s="38"/>
      <c r="STU117" s="36"/>
      <c r="STV117" s="38"/>
      <c r="STW117" s="38"/>
      <c r="SUC117" s="36"/>
      <c r="SUD117" s="38"/>
      <c r="SUE117" s="38"/>
      <c r="SUK117" s="36"/>
      <c r="SUL117" s="38"/>
      <c r="SUM117" s="38"/>
      <c r="SUS117" s="36"/>
      <c r="SUT117" s="38"/>
      <c r="SUU117" s="38"/>
      <c r="SVA117" s="36"/>
      <c r="SVB117" s="38"/>
      <c r="SVC117" s="38"/>
      <c r="SVI117" s="36"/>
      <c r="SVJ117" s="38"/>
      <c r="SVK117" s="38"/>
      <c r="SVQ117" s="36"/>
      <c r="SVR117" s="38"/>
      <c r="SVS117" s="38"/>
      <c r="SVY117" s="36"/>
      <c r="SVZ117" s="38"/>
      <c r="SWA117" s="38"/>
      <c r="SWG117" s="36"/>
      <c r="SWH117" s="38"/>
      <c r="SWI117" s="38"/>
      <c r="SWO117" s="36"/>
      <c r="SWP117" s="38"/>
      <c r="SWQ117" s="38"/>
      <c r="SWW117" s="36"/>
      <c r="SWX117" s="38"/>
      <c r="SWY117" s="38"/>
      <c r="SXE117" s="36"/>
      <c r="SXF117" s="38"/>
      <c r="SXG117" s="38"/>
      <c r="SXM117" s="36"/>
      <c r="SXN117" s="38"/>
      <c r="SXO117" s="38"/>
      <c r="SXU117" s="36"/>
      <c r="SXV117" s="38"/>
      <c r="SXW117" s="38"/>
      <c r="SYC117" s="36"/>
      <c r="SYD117" s="38"/>
      <c r="SYE117" s="38"/>
      <c r="SYK117" s="36"/>
      <c r="SYL117" s="38"/>
      <c r="SYM117" s="38"/>
      <c r="SYS117" s="36"/>
      <c r="SYT117" s="38"/>
      <c r="SYU117" s="38"/>
      <c r="SZA117" s="36"/>
      <c r="SZB117" s="38"/>
      <c r="SZC117" s="38"/>
      <c r="SZI117" s="36"/>
      <c r="SZJ117" s="38"/>
      <c r="SZK117" s="38"/>
      <c r="SZQ117" s="36"/>
      <c r="SZR117" s="38"/>
      <c r="SZS117" s="38"/>
      <c r="SZY117" s="36"/>
      <c r="SZZ117" s="38"/>
      <c r="TAA117" s="38"/>
      <c r="TAG117" s="36"/>
      <c r="TAH117" s="38"/>
      <c r="TAI117" s="38"/>
      <c r="TAO117" s="36"/>
      <c r="TAP117" s="38"/>
      <c r="TAQ117" s="38"/>
      <c r="TAW117" s="36"/>
      <c r="TAX117" s="38"/>
      <c r="TAY117" s="38"/>
      <c r="TBE117" s="36"/>
      <c r="TBF117" s="38"/>
      <c r="TBG117" s="38"/>
      <c r="TBM117" s="36"/>
      <c r="TBN117" s="38"/>
      <c r="TBO117" s="38"/>
      <c r="TBU117" s="36"/>
      <c r="TBV117" s="38"/>
      <c r="TBW117" s="38"/>
      <c r="TCC117" s="36"/>
      <c r="TCD117" s="38"/>
      <c r="TCE117" s="38"/>
      <c r="TCK117" s="36"/>
      <c r="TCL117" s="38"/>
      <c r="TCM117" s="38"/>
      <c r="TCS117" s="36"/>
      <c r="TCT117" s="38"/>
      <c r="TCU117" s="38"/>
      <c r="TDA117" s="36"/>
      <c r="TDB117" s="38"/>
      <c r="TDC117" s="38"/>
      <c r="TDI117" s="36"/>
      <c r="TDJ117" s="38"/>
      <c r="TDK117" s="38"/>
      <c r="TDQ117" s="36"/>
      <c r="TDR117" s="38"/>
      <c r="TDS117" s="38"/>
      <c r="TDY117" s="36"/>
      <c r="TDZ117" s="38"/>
      <c r="TEA117" s="38"/>
      <c r="TEG117" s="36"/>
      <c r="TEH117" s="38"/>
      <c r="TEI117" s="38"/>
      <c r="TEO117" s="36"/>
      <c r="TEP117" s="38"/>
      <c r="TEQ117" s="38"/>
      <c r="TEW117" s="36"/>
      <c r="TEX117" s="38"/>
      <c r="TEY117" s="38"/>
      <c r="TFE117" s="36"/>
      <c r="TFF117" s="38"/>
      <c r="TFG117" s="38"/>
      <c r="TFM117" s="36"/>
      <c r="TFN117" s="38"/>
      <c r="TFO117" s="38"/>
      <c r="TFU117" s="36"/>
      <c r="TFV117" s="38"/>
      <c r="TFW117" s="38"/>
      <c r="TGC117" s="36"/>
      <c r="TGD117" s="38"/>
      <c r="TGE117" s="38"/>
      <c r="TGK117" s="36"/>
      <c r="TGL117" s="38"/>
      <c r="TGM117" s="38"/>
      <c r="TGS117" s="36"/>
      <c r="TGT117" s="38"/>
      <c r="TGU117" s="38"/>
      <c r="THA117" s="36"/>
      <c r="THB117" s="38"/>
      <c r="THC117" s="38"/>
      <c r="THI117" s="36"/>
      <c r="THJ117" s="38"/>
      <c r="THK117" s="38"/>
      <c r="THQ117" s="36"/>
      <c r="THR117" s="38"/>
      <c r="THS117" s="38"/>
      <c r="THY117" s="36"/>
      <c r="THZ117" s="38"/>
      <c r="TIA117" s="38"/>
      <c r="TIG117" s="36"/>
      <c r="TIH117" s="38"/>
      <c r="TII117" s="38"/>
      <c r="TIO117" s="36"/>
      <c r="TIP117" s="38"/>
      <c r="TIQ117" s="38"/>
      <c r="TIW117" s="36"/>
      <c r="TIX117" s="38"/>
      <c r="TIY117" s="38"/>
      <c r="TJE117" s="36"/>
      <c r="TJF117" s="38"/>
      <c r="TJG117" s="38"/>
      <c r="TJM117" s="36"/>
      <c r="TJN117" s="38"/>
      <c r="TJO117" s="38"/>
      <c r="TJU117" s="36"/>
      <c r="TJV117" s="38"/>
      <c r="TJW117" s="38"/>
      <c r="TKC117" s="36"/>
      <c r="TKD117" s="38"/>
      <c r="TKE117" s="38"/>
      <c r="TKK117" s="36"/>
      <c r="TKL117" s="38"/>
      <c r="TKM117" s="38"/>
      <c r="TKS117" s="36"/>
      <c r="TKT117" s="38"/>
      <c r="TKU117" s="38"/>
      <c r="TLA117" s="36"/>
      <c r="TLB117" s="38"/>
      <c r="TLC117" s="38"/>
      <c r="TLI117" s="36"/>
      <c r="TLJ117" s="38"/>
      <c r="TLK117" s="38"/>
      <c r="TLQ117" s="36"/>
      <c r="TLR117" s="38"/>
      <c r="TLS117" s="38"/>
      <c r="TLY117" s="36"/>
      <c r="TLZ117" s="38"/>
      <c r="TMA117" s="38"/>
      <c r="TMG117" s="36"/>
      <c r="TMH117" s="38"/>
      <c r="TMI117" s="38"/>
      <c r="TMO117" s="36"/>
      <c r="TMP117" s="38"/>
      <c r="TMQ117" s="38"/>
      <c r="TMW117" s="36"/>
      <c r="TMX117" s="38"/>
      <c r="TMY117" s="38"/>
      <c r="TNE117" s="36"/>
      <c r="TNF117" s="38"/>
      <c r="TNG117" s="38"/>
      <c r="TNM117" s="36"/>
      <c r="TNN117" s="38"/>
      <c r="TNO117" s="38"/>
      <c r="TNU117" s="36"/>
      <c r="TNV117" s="38"/>
      <c r="TNW117" s="38"/>
      <c r="TOC117" s="36"/>
      <c r="TOD117" s="38"/>
      <c r="TOE117" s="38"/>
      <c r="TOK117" s="36"/>
      <c r="TOL117" s="38"/>
      <c r="TOM117" s="38"/>
      <c r="TOS117" s="36"/>
      <c r="TOT117" s="38"/>
      <c r="TOU117" s="38"/>
      <c r="TPA117" s="36"/>
      <c r="TPB117" s="38"/>
      <c r="TPC117" s="38"/>
      <c r="TPI117" s="36"/>
      <c r="TPJ117" s="38"/>
      <c r="TPK117" s="38"/>
      <c r="TPQ117" s="36"/>
      <c r="TPR117" s="38"/>
      <c r="TPS117" s="38"/>
      <c r="TPY117" s="36"/>
      <c r="TPZ117" s="38"/>
      <c r="TQA117" s="38"/>
      <c r="TQG117" s="36"/>
      <c r="TQH117" s="38"/>
      <c r="TQI117" s="38"/>
      <c r="TQO117" s="36"/>
      <c r="TQP117" s="38"/>
      <c r="TQQ117" s="38"/>
      <c r="TQW117" s="36"/>
      <c r="TQX117" s="38"/>
      <c r="TQY117" s="38"/>
      <c r="TRE117" s="36"/>
      <c r="TRF117" s="38"/>
      <c r="TRG117" s="38"/>
      <c r="TRM117" s="36"/>
      <c r="TRN117" s="38"/>
      <c r="TRO117" s="38"/>
      <c r="TRU117" s="36"/>
      <c r="TRV117" s="38"/>
      <c r="TRW117" s="38"/>
      <c r="TSC117" s="36"/>
      <c r="TSD117" s="38"/>
      <c r="TSE117" s="38"/>
      <c r="TSK117" s="36"/>
      <c r="TSL117" s="38"/>
      <c r="TSM117" s="38"/>
      <c r="TSS117" s="36"/>
      <c r="TST117" s="38"/>
      <c r="TSU117" s="38"/>
      <c r="TTA117" s="36"/>
      <c r="TTB117" s="38"/>
      <c r="TTC117" s="38"/>
      <c r="TTI117" s="36"/>
      <c r="TTJ117" s="38"/>
      <c r="TTK117" s="38"/>
      <c r="TTQ117" s="36"/>
      <c r="TTR117" s="38"/>
      <c r="TTS117" s="38"/>
      <c r="TTY117" s="36"/>
      <c r="TTZ117" s="38"/>
      <c r="TUA117" s="38"/>
      <c r="TUG117" s="36"/>
      <c r="TUH117" s="38"/>
      <c r="TUI117" s="38"/>
      <c r="TUO117" s="36"/>
      <c r="TUP117" s="38"/>
      <c r="TUQ117" s="38"/>
      <c r="TUW117" s="36"/>
      <c r="TUX117" s="38"/>
      <c r="TUY117" s="38"/>
      <c r="TVE117" s="36"/>
      <c r="TVF117" s="38"/>
      <c r="TVG117" s="38"/>
      <c r="TVM117" s="36"/>
      <c r="TVN117" s="38"/>
      <c r="TVO117" s="38"/>
      <c r="TVU117" s="36"/>
      <c r="TVV117" s="38"/>
      <c r="TVW117" s="38"/>
      <c r="TWC117" s="36"/>
      <c r="TWD117" s="38"/>
      <c r="TWE117" s="38"/>
      <c r="TWK117" s="36"/>
      <c r="TWL117" s="38"/>
      <c r="TWM117" s="38"/>
      <c r="TWS117" s="36"/>
      <c r="TWT117" s="38"/>
      <c r="TWU117" s="38"/>
      <c r="TXA117" s="36"/>
      <c r="TXB117" s="38"/>
      <c r="TXC117" s="38"/>
      <c r="TXI117" s="36"/>
      <c r="TXJ117" s="38"/>
      <c r="TXK117" s="38"/>
      <c r="TXQ117" s="36"/>
      <c r="TXR117" s="38"/>
      <c r="TXS117" s="38"/>
      <c r="TXY117" s="36"/>
      <c r="TXZ117" s="38"/>
      <c r="TYA117" s="38"/>
      <c r="TYG117" s="36"/>
      <c r="TYH117" s="38"/>
      <c r="TYI117" s="38"/>
      <c r="TYO117" s="36"/>
      <c r="TYP117" s="38"/>
      <c r="TYQ117" s="38"/>
      <c r="TYW117" s="36"/>
      <c r="TYX117" s="38"/>
      <c r="TYY117" s="38"/>
      <c r="TZE117" s="36"/>
      <c r="TZF117" s="38"/>
      <c r="TZG117" s="38"/>
      <c r="TZM117" s="36"/>
      <c r="TZN117" s="38"/>
      <c r="TZO117" s="38"/>
      <c r="TZU117" s="36"/>
      <c r="TZV117" s="38"/>
      <c r="TZW117" s="38"/>
      <c r="UAC117" s="36"/>
      <c r="UAD117" s="38"/>
      <c r="UAE117" s="38"/>
      <c r="UAK117" s="36"/>
      <c r="UAL117" s="38"/>
      <c r="UAM117" s="38"/>
      <c r="UAS117" s="36"/>
      <c r="UAT117" s="38"/>
      <c r="UAU117" s="38"/>
      <c r="UBA117" s="36"/>
      <c r="UBB117" s="38"/>
      <c r="UBC117" s="38"/>
      <c r="UBI117" s="36"/>
      <c r="UBJ117" s="38"/>
      <c r="UBK117" s="38"/>
      <c r="UBQ117" s="36"/>
      <c r="UBR117" s="38"/>
      <c r="UBS117" s="38"/>
      <c r="UBY117" s="36"/>
      <c r="UBZ117" s="38"/>
      <c r="UCA117" s="38"/>
      <c r="UCG117" s="36"/>
      <c r="UCH117" s="38"/>
      <c r="UCI117" s="38"/>
      <c r="UCO117" s="36"/>
      <c r="UCP117" s="38"/>
      <c r="UCQ117" s="38"/>
      <c r="UCW117" s="36"/>
      <c r="UCX117" s="38"/>
      <c r="UCY117" s="38"/>
      <c r="UDE117" s="36"/>
      <c r="UDF117" s="38"/>
      <c r="UDG117" s="38"/>
      <c r="UDM117" s="36"/>
      <c r="UDN117" s="38"/>
      <c r="UDO117" s="38"/>
      <c r="UDU117" s="36"/>
      <c r="UDV117" s="38"/>
      <c r="UDW117" s="38"/>
      <c r="UEC117" s="36"/>
      <c r="UED117" s="38"/>
      <c r="UEE117" s="38"/>
      <c r="UEK117" s="36"/>
      <c r="UEL117" s="38"/>
      <c r="UEM117" s="38"/>
      <c r="UES117" s="36"/>
      <c r="UET117" s="38"/>
      <c r="UEU117" s="38"/>
      <c r="UFA117" s="36"/>
      <c r="UFB117" s="38"/>
      <c r="UFC117" s="38"/>
      <c r="UFI117" s="36"/>
      <c r="UFJ117" s="38"/>
      <c r="UFK117" s="38"/>
      <c r="UFQ117" s="36"/>
      <c r="UFR117" s="38"/>
      <c r="UFS117" s="38"/>
      <c r="UFY117" s="36"/>
      <c r="UFZ117" s="38"/>
      <c r="UGA117" s="38"/>
      <c r="UGG117" s="36"/>
      <c r="UGH117" s="38"/>
      <c r="UGI117" s="38"/>
      <c r="UGO117" s="36"/>
      <c r="UGP117" s="38"/>
      <c r="UGQ117" s="38"/>
      <c r="UGW117" s="36"/>
      <c r="UGX117" s="38"/>
      <c r="UGY117" s="38"/>
      <c r="UHE117" s="36"/>
      <c r="UHF117" s="38"/>
      <c r="UHG117" s="38"/>
      <c r="UHM117" s="36"/>
      <c r="UHN117" s="38"/>
      <c r="UHO117" s="38"/>
      <c r="UHU117" s="36"/>
      <c r="UHV117" s="38"/>
      <c r="UHW117" s="38"/>
      <c r="UIC117" s="36"/>
      <c r="UID117" s="38"/>
      <c r="UIE117" s="38"/>
      <c r="UIK117" s="36"/>
      <c r="UIL117" s="38"/>
      <c r="UIM117" s="38"/>
      <c r="UIS117" s="36"/>
      <c r="UIT117" s="38"/>
      <c r="UIU117" s="38"/>
      <c r="UJA117" s="36"/>
      <c r="UJB117" s="38"/>
      <c r="UJC117" s="38"/>
      <c r="UJI117" s="36"/>
      <c r="UJJ117" s="38"/>
      <c r="UJK117" s="38"/>
      <c r="UJQ117" s="36"/>
      <c r="UJR117" s="38"/>
      <c r="UJS117" s="38"/>
      <c r="UJY117" s="36"/>
      <c r="UJZ117" s="38"/>
      <c r="UKA117" s="38"/>
      <c r="UKG117" s="36"/>
      <c r="UKH117" s="38"/>
      <c r="UKI117" s="38"/>
      <c r="UKO117" s="36"/>
      <c r="UKP117" s="38"/>
      <c r="UKQ117" s="38"/>
      <c r="UKW117" s="36"/>
      <c r="UKX117" s="38"/>
      <c r="UKY117" s="38"/>
      <c r="ULE117" s="36"/>
      <c r="ULF117" s="38"/>
      <c r="ULG117" s="38"/>
      <c r="ULM117" s="36"/>
      <c r="ULN117" s="38"/>
      <c r="ULO117" s="38"/>
      <c r="ULU117" s="36"/>
      <c r="ULV117" s="38"/>
      <c r="ULW117" s="38"/>
      <c r="UMC117" s="36"/>
      <c r="UMD117" s="38"/>
      <c r="UME117" s="38"/>
      <c r="UMK117" s="36"/>
      <c r="UML117" s="38"/>
      <c r="UMM117" s="38"/>
      <c r="UMS117" s="36"/>
      <c r="UMT117" s="38"/>
      <c r="UMU117" s="38"/>
      <c r="UNA117" s="36"/>
      <c r="UNB117" s="38"/>
      <c r="UNC117" s="38"/>
      <c r="UNI117" s="36"/>
      <c r="UNJ117" s="38"/>
      <c r="UNK117" s="38"/>
      <c r="UNQ117" s="36"/>
      <c r="UNR117" s="38"/>
      <c r="UNS117" s="38"/>
      <c r="UNY117" s="36"/>
      <c r="UNZ117" s="38"/>
      <c r="UOA117" s="38"/>
      <c r="UOG117" s="36"/>
      <c r="UOH117" s="38"/>
      <c r="UOI117" s="38"/>
      <c r="UOO117" s="36"/>
      <c r="UOP117" s="38"/>
      <c r="UOQ117" s="38"/>
      <c r="UOW117" s="36"/>
      <c r="UOX117" s="38"/>
      <c r="UOY117" s="38"/>
      <c r="UPE117" s="36"/>
      <c r="UPF117" s="38"/>
      <c r="UPG117" s="38"/>
      <c r="UPM117" s="36"/>
      <c r="UPN117" s="38"/>
      <c r="UPO117" s="38"/>
      <c r="UPU117" s="36"/>
      <c r="UPV117" s="38"/>
      <c r="UPW117" s="38"/>
      <c r="UQC117" s="36"/>
      <c r="UQD117" s="38"/>
      <c r="UQE117" s="38"/>
      <c r="UQK117" s="36"/>
      <c r="UQL117" s="38"/>
      <c r="UQM117" s="38"/>
      <c r="UQS117" s="36"/>
      <c r="UQT117" s="38"/>
      <c r="UQU117" s="38"/>
      <c r="URA117" s="36"/>
      <c r="URB117" s="38"/>
      <c r="URC117" s="38"/>
      <c r="URI117" s="36"/>
      <c r="URJ117" s="38"/>
      <c r="URK117" s="38"/>
      <c r="URQ117" s="36"/>
      <c r="URR117" s="38"/>
      <c r="URS117" s="38"/>
      <c r="URY117" s="36"/>
      <c r="URZ117" s="38"/>
      <c r="USA117" s="38"/>
      <c r="USG117" s="36"/>
      <c r="USH117" s="38"/>
      <c r="USI117" s="38"/>
      <c r="USO117" s="36"/>
      <c r="USP117" s="38"/>
      <c r="USQ117" s="38"/>
      <c r="USW117" s="36"/>
      <c r="USX117" s="38"/>
      <c r="USY117" s="38"/>
      <c r="UTE117" s="36"/>
      <c r="UTF117" s="38"/>
      <c r="UTG117" s="38"/>
      <c r="UTM117" s="36"/>
      <c r="UTN117" s="38"/>
      <c r="UTO117" s="38"/>
      <c r="UTU117" s="36"/>
      <c r="UTV117" s="38"/>
      <c r="UTW117" s="38"/>
      <c r="UUC117" s="36"/>
      <c r="UUD117" s="38"/>
      <c r="UUE117" s="38"/>
      <c r="UUK117" s="36"/>
      <c r="UUL117" s="38"/>
      <c r="UUM117" s="38"/>
      <c r="UUS117" s="36"/>
      <c r="UUT117" s="38"/>
      <c r="UUU117" s="38"/>
      <c r="UVA117" s="36"/>
      <c r="UVB117" s="38"/>
      <c r="UVC117" s="38"/>
      <c r="UVI117" s="36"/>
      <c r="UVJ117" s="38"/>
      <c r="UVK117" s="38"/>
      <c r="UVQ117" s="36"/>
      <c r="UVR117" s="38"/>
      <c r="UVS117" s="38"/>
      <c r="UVY117" s="36"/>
      <c r="UVZ117" s="38"/>
      <c r="UWA117" s="38"/>
      <c r="UWG117" s="36"/>
      <c r="UWH117" s="38"/>
      <c r="UWI117" s="38"/>
      <c r="UWO117" s="36"/>
      <c r="UWP117" s="38"/>
      <c r="UWQ117" s="38"/>
      <c r="UWW117" s="36"/>
      <c r="UWX117" s="38"/>
      <c r="UWY117" s="38"/>
      <c r="UXE117" s="36"/>
      <c r="UXF117" s="38"/>
      <c r="UXG117" s="38"/>
      <c r="UXM117" s="36"/>
      <c r="UXN117" s="38"/>
      <c r="UXO117" s="38"/>
      <c r="UXU117" s="36"/>
      <c r="UXV117" s="38"/>
      <c r="UXW117" s="38"/>
      <c r="UYC117" s="36"/>
      <c r="UYD117" s="38"/>
      <c r="UYE117" s="38"/>
      <c r="UYK117" s="36"/>
      <c r="UYL117" s="38"/>
      <c r="UYM117" s="38"/>
      <c r="UYS117" s="36"/>
      <c r="UYT117" s="38"/>
      <c r="UYU117" s="38"/>
      <c r="UZA117" s="36"/>
      <c r="UZB117" s="38"/>
      <c r="UZC117" s="38"/>
      <c r="UZI117" s="36"/>
      <c r="UZJ117" s="38"/>
      <c r="UZK117" s="38"/>
      <c r="UZQ117" s="36"/>
      <c r="UZR117" s="38"/>
      <c r="UZS117" s="38"/>
      <c r="UZY117" s="36"/>
      <c r="UZZ117" s="38"/>
      <c r="VAA117" s="38"/>
      <c r="VAG117" s="36"/>
      <c r="VAH117" s="38"/>
      <c r="VAI117" s="38"/>
      <c r="VAO117" s="36"/>
      <c r="VAP117" s="38"/>
      <c r="VAQ117" s="38"/>
      <c r="VAW117" s="36"/>
      <c r="VAX117" s="38"/>
      <c r="VAY117" s="38"/>
      <c r="VBE117" s="36"/>
      <c r="VBF117" s="38"/>
      <c r="VBG117" s="38"/>
      <c r="VBM117" s="36"/>
      <c r="VBN117" s="38"/>
      <c r="VBO117" s="38"/>
      <c r="VBU117" s="36"/>
      <c r="VBV117" s="38"/>
      <c r="VBW117" s="38"/>
      <c r="VCC117" s="36"/>
      <c r="VCD117" s="38"/>
      <c r="VCE117" s="38"/>
      <c r="VCK117" s="36"/>
      <c r="VCL117" s="38"/>
      <c r="VCM117" s="38"/>
      <c r="VCS117" s="36"/>
      <c r="VCT117" s="38"/>
      <c r="VCU117" s="38"/>
      <c r="VDA117" s="36"/>
      <c r="VDB117" s="38"/>
      <c r="VDC117" s="38"/>
      <c r="VDI117" s="36"/>
      <c r="VDJ117" s="38"/>
      <c r="VDK117" s="38"/>
      <c r="VDQ117" s="36"/>
      <c r="VDR117" s="38"/>
      <c r="VDS117" s="38"/>
      <c r="VDY117" s="36"/>
      <c r="VDZ117" s="38"/>
      <c r="VEA117" s="38"/>
      <c r="VEG117" s="36"/>
      <c r="VEH117" s="38"/>
      <c r="VEI117" s="38"/>
      <c r="VEO117" s="36"/>
      <c r="VEP117" s="38"/>
      <c r="VEQ117" s="38"/>
      <c r="VEW117" s="36"/>
      <c r="VEX117" s="38"/>
      <c r="VEY117" s="38"/>
      <c r="VFE117" s="36"/>
      <c r="VFF117" s="38"/>
      <c r="VFG117" s="38"/>
      <c r="VFM117" s="36"/>
      <c r="VFN117" s="38"/>
      <c r="VFO117" s="38"/>
      <c r="VFU117" s="36"/>
      <c r="VFV117" s="38"/>
      <c r="VFW117" s="38"/>
      <c r="VGC117" s="36"/>
      <c r="VGD117" s="38"/>
      <c r="VGE117" s="38"/>
      <c r="VGK117" s="36"/>
      <c r="VGL117" s="38"/>
      <c r="VGM117" s="38"/>
      <c r="VGS117" s="36"/>
      <c r="VGT117" s="38"/>
      <c r="VGU117" s="38"/>
      <c r="VHA117" s="36"/>
      <c r="VHB117" s="38"/>
      <c r="VHC117" s="38"/>
      <c r="VHI117" s="36"/>
      <c r="VHJ117" s="38"/>
      <c r="VHK117" s="38"/>
      <c r="VHQ117" s="36"/>
      <c r="VHR117" s="38"/>
      <c r="VHS117" s="38"/>
      <c r="VHY117" s="36"/>
      <c r="VHZ117" s="38"/>
      <c r="VIA117" s="38"/>
      <c r="VIG117" s="36"/>
      <c r="VIH117" s="38"/>
      <c r="VII117" s="38"/>
      <c r="VIO117" s="36"/>
      <c r="VIP117" s="38"/>
      <c r="VIQ117" s="38"/>
      <c r="VIW117" s="36"/>
      <c r="VIX117" s="38"/>
      <c r="VIY117" s="38"/>
      <c r="VJE117" s="36"/>
      <c r="VJF117" s="38"/>
      <c r="VJG117" s="38"/>
      <c r="VJM117" s="36"/>
      <c r="VJN117" s="38"/>
      <c r="VJO117" s="38"/>
      <c r="VJU117" s="36"/>
      <c r="VJV117" s="38"/>
      <c r="VJW117" s="38"/>
      <c r="VKC117" s="36"/>
      <c r="VKD117" s="38"/>
      <c r="VKE117" s="38"/>
      <c r="VKK117" s="36"/>
      <c r="VKL117" s="38"/>
      <c r="VKM117" s="38"/>
      <c r="VKS117" s="36"/>
      <c r="VKT117" s="38"/>
      <c r="VKU117" s="38"/>
      <c r="VLA117" s="36"/>
      <c r="VLB117" s="38"/>
      <c r="VLC117" s="38"/>
      <c r="VLI117" s="36"/>
      <c r="VLJ117" s="38"/>
      <c r="VLK117" s="38"/>
      <c r="VLQ117" s="36"/>
      <c r="VLR117" s="38"/>
      <c r="VLS117" s="38"/>
      <c r="VLY117" s="36"/>
      <c r="VLZ117" s="38"/>
      <c r="VMA117" s="38"/>
      <c r="VMG117" s="36"/>
      <c r="VMH117" s="38"/>
      <c r="VMI117" s="38"/>
      <c r="VMO117" s="36"/>
      <c r="VMP117" s="38"/>
      <c r="VMQ117" s="38"/>
      <c r="VMW117" s="36"/>
      <c r="VMX117" s="38"/>
      <c r="VMY117" s="38"/>
      <c r="VNE117" s="36"/>
      <c r="VNF117" s="38"/>
      <c r="VNG117" s="38"/>
      <c r="VNM117" s="36"/>
      <c r="VNN117" s="38"/>
      <c r="VNO117" s="38"/>
      <c r="VNU117" s="36"/>
      <c r="VNV117" s="38"/>
      <c r="VNW117" s="38"/>
      <c r="VOC117" s="36"/>
      <c r="VOD117" s="38"/>
      <c r="VOE117" s="38"/>
      <c r="VOK117" s="36"/>
      <c r="VOL117" s="38"/>
      <c r="VOM117" s="38"/>
      <c r="VOS117" s="36"/>
      <c r="VOT117" s="38"/>
      <c r="VOU117" s="38"/>
      <c r="VPA117" s="36"/>
      <c r="VPB117" s="38"/>
      <c r="VPC117" s="38"/>
      <c r="VPI117" s="36"/>
      <c r="VPJ117" s="38"/>
      <c r="VPK117" s="38"/>
      <c r="VPQ117" s="36"/>
      <c r="VPR117" s="38"/>
      <c r="VPS117" s="38"/>
      <c r="VPY117" s="36"/>
      <c r="VPZ117" s="38"/>
      <c r="VQA117" s="38"/>
      <c r="VQG117" s="36"/>
      <c r="VQH117" s="38"/>
      <c r="VQI117" s="38"/>
      <c r="VQO117" s="36"/>
      <c r="VQP117" s="38"/>
      <c r="VQQ117" s="38"/>
      <c r="VQW117" s="36"/>
      <c r="VQX117" s="38"/>
      <c r="VQY117" s="38"/>
      <c r="VRE117" s="36"/>
      <c r="VRF117" s="38"/>
      <c r="VRG117" s="38"/>
      <c r="VRM117" s="36"/>
      <c r="VRN117" s="38"/>
      <c r="VRO117" s="38"/>
      <c r="VRU117" s="36"/>
      <c r="VRV117" s="38"/>
      <c r="VRW117" s="38"/>
      <c r="VSC117" s="36"/>
      <c r="VSD117" s="38"/>
      <c r="VSE117" s="38"/>
      <c r="VSK117" s="36"/>
      <c r="VSL117" s="38"/>
      <c r="VSM117" s="38"/>
      <c r="VSS117" s="36"/>
      <c r="VST117" s="38"/>
      <c r="VSU117" s="38"/>
      <c r="VTA117" s="36"/>
      <c r="VTB117" s="38"/>
      <c r="VTC117" s="38"/>
      <c r="VTI117" s="36"/>
      <c r="VTJ117" s="38"/>
      <c r="VTK117" s="38"/>
      <c r="VTQ117" s="36"/>
      <c r="VTR117" s="38"/>
      <c r="VTS117" s="38"/>
      <c r="VTY117" s="36"/>
      <c r="VTZ117" s="38"/>
      <c r="VUA117" s="38"/>
      <c r="VUG117" s="36"/>
      <c r="VUH117" s="38"/>
      <c r="VUI117" s="38"/>
      <c r="VUO117" s="36"/>
      <c r="VUP117" s="38"/>
      <c r="VUQ117" s="38"/>
      <c r="VUW117" s="36"/>
      <c r="VUX117" s="38"/>
      <c r="VUY117" s="38"/>
      <c r="VVE117" s="36"/>
      <c r="VVF117" s="38"/>
      <c r="VVG117" s="38"/>
      <c r="VVM117" s="36"/>
      <c r="VVN117" s="38"/>
      <c r="VVO117" s="38"/>
      <c r="VVU117" s="36"/>
      <c r="VVV117" s="38"/>
      <c r="VVW117" s="38"/>
      <c r="VWC117" s="36"/>
      <c r="VWD117" s="38"/>
      <c r="VWE117" s="38"/>
      <c r="VWK117" s="36"/>
      <c r="VWL117" s="38"/>
      <c r="VWM117" s="38"/>
      <c r="VWS117" s="36"/>
      <c r="VWT117" s="38"/>
      <c r="VWU117" s="38"/>
      <c r="VXA117" s="36"/>
      <c r="VXB117" s="38"/>
      <c r="VXC117" s="38"/>
      <c r="VXI117" s="36"/>
      <c r="VXJ117" s="38"/>
      <c r="VXK117" s="38"/>
      <c r="VXQ117" s="36"/>
      <c r="VXR117" s="38"/>
      <c r="VXS117" s="38"/>
      <c r="VXY117" s="36"/>
      <c r="VXZ117" s="38"/>
      <c r="VYA117" s="38"/>
      <c r="VYG117" s="36"/>
      <c r="VYH117" s="38"/>
      <c r="VYI117" s="38"/>
      <c r="VYO117" s="36"/>
      <c r="VYP117" s="38"/>
      <c r="VYQ117" s="38"/>
      <c r="VYW117" s="36"/>
      <c r="VYX117" s="38"/>
      <c r="VYY117" s="38"/>
      <c r="VZE117" s="36"/>
      <c r="VZF117" s="38"/>
      <c r="VZG117" s="38"/>
      <c r="VZM117" s="36"/>
      <c r="VZN117" s="38"/>
      <c r="VZO117" s="38"/>
      <c r="VZU117" s="36"/>
      <c r="VZV117" s="38"/>
      <c r="VZW117" s="38"/>
      <c r="WAC117" s="36"/>
      <c r="WAD117" s="38"/>
      <c r="WAE117" s="38"/>
      <c r="WAK117" s="36"/>
      <c r="WAL117" s="38"/>
      <c r="WAM117" s="38"/>
      <c r="WAS117" s="36"/>
      <c r="WAT117" s="38"/>
      <c r="WAU117" s="38"/>
      <c r="WBA117" s="36"/>
      <c r="WBB117" s="38"/>
      <c r="WBC117" s="38"/>
      <c r="WBI117" s="36"/>
      <c r="WBJ117" s="38"/>
      <c r="WBK117" s="38"/>
      <c r="WBQ117" s="36"/>
      <c r="WBR117" s="38"/>
      <c r="WBS117" s="38"/>
      <c r="WBY117" s="36"/>
      <c r="WBZ117" s="38"/>
      <c r="WCA117" s="38"/>
      <c r="WCG117" s="36"/>
      <c r="WCH117" s="38"/>
      <c r="WCI117" s="38"/>
      <c r="WCO117" s="36"/>
      <c r="WCP117" s="38"/>
      <c r="WCQ117" s="38"/>
      <c r="WCW117" s="36"/>
      <c r="WCX117" s="38"/>
      <c r="WCY117" s="38"/>
      <c r="WDE117" s="36"/>
      <c r="WDF117" s="38"/>
      <c r="WDG117" s="38"/>
      <c r="WDM117" s="36"/>
      <c r="WDN117" s="38"/>
      <c r="WDO117" s="38"/>
      <c r="WDU117" s="36"/>
      <c r="WDV117" s="38"/>
      <c r="WDW117" s="38"/>
      <c r="WEC117" s="36"/>
      <c r="WED117" s="38"/>
      <c r="WEE117" s="38"/>
      <c r="WEK117" s="36"/>
      <c r="WEL117" s="38"/>
      <c r="WEM117" s="38"/>
      <c r="WES117" s="36"/>
      <c r="WET117" s="38"/>
      <c r="WEU117" s="38"/>
      <c r="WFA117" s="36"/>
      <c r="WFB117" s="38"/>
      <c r="WFC117" s="38"/>
      <c r="WFI117" s="36"/>
      <c r="WFJ117" s="38"/>
      <c r="WFK117" s="38"/>
      <c r="WFQ117" s="36"/>
      <c r="WFR117" s="38"/>
      <c r="WFS117" s="38"/>
      <c r="WFY117" s="36"/>
      <c r="WFZ117" s="38"/>
      <c r="WGA117" s="38"/>
      <c r="WGG117" s="36"/>
      <c r="WGH117" s="38"/>
      <c r="WGI117" s="38"/>
      <c r="WGO117" s="36"/>
      <c r="WGP117" s="38"/>
      <c r="WGQ117" s="38"/>
      <c r="WGW117" s="36"/>
      <c r="WGX117" s="38"/>
      <c r="WGY117" s="38"/>
      <c r="WHE117" s="36"/>
      <c r="WHF117" s="38"/>
      <c r="WHG117" s="38"/>
      <c r="WHM117" s="36"/>
      <c r="WHN117" s="38"/>
      <c r="WHO117" s="38"/>
      <c r="WHU117" s="36"/>
      <c r="WHV117" s="38"/>
      <c r="WHW117" s="38"/>
      <c r="WIC117" s="36"/>
      <c r="WID117" s="38"/>
      <c r="WIE117" s="38"/>
      <c r="WIK117" s="36"/>
      <c r="WIL117" s="38"/>
      <c r="WIM117" s="38"/>
      <c r="WIS117" s="36"/>
      <c r="WIT117" s="38"/>
      <c r="WIU117" s="38"/>
      <c r="WJA117" s="36"/>
      <c r="WJB117" s="38"/>
      <c r="WJC117" s="38"/>
      <c r="WJI117" s="36"/>
      <c r="WJJ117" s="38"/>
      <c r="WJK117" s="38"/>
      <c r="WJQ117" s="36"/>
      <c r="WJR117" s="38"/>
      <c r="WJS117" s="38"/>
      <c r="WJY117" s="36"/>
      <c r="WJZ117" s="38"/>
      <c r="WKA117" s="38"/>
      <c r="WKG117" s="36"/>
      <c r="WKH117" s="38"/>
      <c r="WKI117" s="38"/>
      <c r="WKO117" s="36"/>
      <c r="WKP117" s="38"/>
      <c r="WKQ117" s="38"/>
      <c r="WKW117" s="36"/>
      <c r="WKX117" s="38"/>
      <c r="WKY117" s="38"/>
      <c r="WLE117" s="36"/>
      <c r="WLF117" s="38"/>
      <c r="WLG117" s="38"/>
      <c r="WLM117" s="36"/>
      <c r="WLN117" s="38"/>
      <c r="WLO117" s="38"/>
      <c r="WLU117" s="36"/>
      <c r="WLV117" s="38"/>
      <c r="WLW117" s="38"/>
      <c r="WMC117" s="36"/>
      <c r="WMD117" s="38"/>
      <c r="WME117" s="38"/>
      <c r="WMK117" s="36"/>
      <c r="WML117" s="38"/>
      <c r="WMM117" s="38"/>
      <c r="WMS117" s="36"/>
      <c r="WMT117" s="38"/>
      <c r="WMU117" s="38"/>
      <c r="WNA117" s="36"/>
      <c r="WNB117" s="38"/>
      <c r="WNC117" s="38"/>
      <c r="WNI117" s="36"/>
      <c r="WNJ117" s="38"/>
      <c r="WNK117" s="38"/>
      <c r="WNQ117" s="36"/>
      <c r="WNR117" s="38"/>
      <c r="WNS117" s="38"/>
      <c r="WNY117" s="36"/>
      <c r="WNZ117" s="38"/>
      <c r="WOA117" s="38"/>
      <c r="WOG117" s="36"/>
      <c r="WOH117" s="38"/>
      <c r="WOI117" s="38"/>
      <c r="WOO117" s="36"/>
      <c r="WOP117" s="38"/>
      <c r="WOQ117" s="38"/>
      <c r="WOW117" s="36"/>
      <c r="WOX117" s="38"/>
      <c r="WOY117" s="38"/>
      <c r="WPE117" s="36"/>
      <c r="WPF117" s="38"/>
      <c r="WPG117" s="38"/>
      <c r="WPM117" s="36"/>
      <c r="WPN117" s="38"/>
      <c r="WPO117" s="38"/>
      <c r="WPU117" s="36"/>
      <c r="WPV117" s="38"/>
      <c r="WPW117" s="38"/>
      <c r="WQC117" s="36"/>
      <c r="WQD117" s="38"/>
      <c r="WQE117" s="38"/>
      <c r="WQK117" s="36"/>
      <c r="WQL117" s="38"/>
      <c r="WQM117" s="38"/>
      <c r="WQS117" s="36"/>
      <c r="WQT117" s="38"/>
      <c r="WQU117" s="38"/>
      <c r="WRA117" s="36"/>
      <c r="WRB117" s="38"/>
      <c r="WRC117" s="38"/>
      <c r="WRI117" s="36"/>
      <c r="WRJ117" s="38"/>
      <c r="WRK117" s="38"/>
      <c r="WRQ117" s="36"/>
      <c r="WRR117" s="38"/>
      <c r="WRS117" s="38"/>
      <c r="WRY117" s="36"/>
      <c r="WRZ117" s="38"/>
      <c r="WSA117" s="38"/>
      <c r="WSG117" s="36"/>
      <c r="WSH117" s="38"/>
      <c r="WSI117" s="38"/>
      <c r="WSO117" s="36"/>
      <c r="WSP117" s="38"/>
      <c r="WSQ117" s="38"/>
      <c r="WSW117" s="36"/>
      <c r="WSX117" s="38"/>
      <c r="WSY117" s="38"/>
      <c r="WTE117" s="36"/>
      <c r="WTF117" s="38"/>
      <c r="WTG117" s="38"/>
      <c r="WTM117" s="36"/>
      <c r="WTN117" s="38"/>
      <c r="WTO117" s="38"/>
      <c r="WTU117" s="36"/>
      <c r="WTV117" s="38"/>
      <c r="WTW117" s="38"/>
      <c r="WUC117" s="36"/>
      <c r="WUD117" s="38"/>
      <c r="WUE117" s="38"/>
      <c r="WUK117" s="36"/>
      <c r="WUL117" s="38"/>
      <c r="WUM117" s="38"/>
      <c r="WUS117" s="36"/>
      <c r="WUT117" s="38"/>
      <c r="WUU117" s="38"/>
      <c r="WVA117" s="36"/>
      <c r="WVB117" s="38"/>
      <c r="WVC117" s="38"/>
      <c r="WVI117" s="36"/>
      <c r="WVJ117" s="38"/>
      <c r="WVK117" s="38"/>
      <c r="WVQ117" s="36"/>
      <c r="WVR117" s="38"/>
      <c r="WVS117" s="38"/>
      <c r="WVY117" s="36"/>
      <c r="WVZ117" s="38"/>
      <c r="WWA117" s="38"/>
      <c r="WWG117" s="36"/>
      <c r="WWH117" s="38"/>
      <c r="WWI117" s="38"/>
      <c r="WWO117" s="36"/>
      <c r="WWP117" s="38"/>
      <c r="WWQ117" s="38"/>
      <c r="WWW117" s="36"/>
      <c r="WWX117" s="38"/>
      <c r="WWY117" s="38"/>
      <c r="WXE117" s="36"/>
      <c r="WXF117" s="38"/>
      <c r="WXG117" s="38"/>
      <c r="WXM117" s="36"/>
      <c r="WXN117" s="38"/>
      <c r="WXO117" s="38"/>
      <c r="WXU117" s="36"/>
      <c r="WXV117" s="38"/>
      <c r="WXW117" s="38"/>
      <c r="WYC117" s="36"/>
      <c r="WYD117" s="38"/>
      <c r="WYE117" s="38"/>
      <c r="WYK117" s="36"/>
      <c r="WYL117" s="38"/>
      <c r="WYM117" s="38"/>
      <c r="WYS117" s="36"/>
      <c r="WYT117" s="38"/>
      <c r="WYU117" s="38"/>
      <c r="WZA117" s="36"/>
      <c r="WZB117" s="38"/>
      <c r="WZC117" s="38"/>
      <c r="WZI117" s="36"/>
      <c r="WZJ117" s="38"/>
      <c r="WZK117" s="38"/>
      <c r="WZQ117" s="36"/>
      <c r="WZR117" s="38"/>
      <c r="WZS117" s="38"/>
      <c r="WZY117" s="36"/>
      <c r="WZZ117" s="38"/>
      <c r="XAA117" s="38"/>
      <c r="XAG117" s="36"/>
      <c r="XAH117" s="38"/>
      <c r="XAI117" s="38"/>
      <c r="XAO117" s="36"/>
      <c r="XAP117" s="38"/>
      <c r="XAQ117" s="38"/>
      <c r="XAW117" s="36"/>
      <c r="XAX117" s="38"/>
      <c r="XAY117" s="38"/>
      <c r="XBE117" s="36"/>
      <c r="XBF117" s="38"/>
      <c r="XBG117" s="38"/>
      <c r="XBM117" s="36"/>
      <c r="XBN117" s="38"/>
      <c r="XBO117" s="38"/>
      <c r="XBU117" s="36"/>
      <c r="XBV117" s="38"/>
      <c r="XBW117" s="38"/>
      <c r="XCC117" s="36"/>
      <c r="XCD117" s="38"/>
      <c r="XCE117" s="38"/>
      <c r="XCK117" s="36"/>
      <c r="XCL117" s="38"/>
      <c r="XCM117" s="38"/>
      <c r="XCS117" s="36"/>
      <c r="XCT117" s="38"/>
      <c r="XCU117" s="38"/>
      <c r="XDA117" s="36"/>
      <c r="XDB117" s="38"/>
      <c r="XDC117" s="38"/>
      <c r="XDI117" s="36"/>
      <c r="XDJ117" s="38"/>
      <c r="XDK117" s="38"/>
      <c r="XDQ117" s="36"/>
      <c r="XDR117" s="38"/>
      <c r="XDS117" s="38"/>
      <c r="XDY117" s="36"/>
      <c r="XDZ117" s="38"/>
      <c r="XEA117" s="38"/>
      <c r="XEG117" s="36"/>
      <c r="XEH117" s="38"/>
      <c r="XEI117" s="38"/>
      <c r="XEO117" s="36"/>
      <c r="XEP117" s="38"/>
      <c r="XEQ117" s="38"/>
      <c r="XEW117" s="36"/>
      <c r="XEX117" s="38"/>
      <c r="XEY117" s="38"/>
    </row>
    <row r="118" spans="1:1019 1025:2043 2049:3067 3073:4091 4097:5115 5121:6139 6145:7163 7169:8187 8193:9211 9217:10235 10241:11259 11265:12283 12289:13307 13313:14331 14337:15355 15361:16379" s="24" customFormat="1" ht="15" customHeight="1">
      <c r="A118" s="94"/>
      <c r="B118" s="110" t="s">
        <v>26</v>
      </c>
      <c r="C118" s="75">
        <v>1020531</v>
      </c>
      <c r="D118" s="76">
        <v>242960</v>
      </c>
      <c r="E118" s="76">
        <v>70146</v>
      </c>
      <c r="F118" s="76">
        <v>517571</v>
      </c>
      <c r="G118" s="76">
        <v>187752</v>
      </c>
      <c r="H118" s="76">
        <v>2102</v>
      </c>
      <c r="I118" s="36"/>
      <c r="J118" s="38"/>
      <c r="K118" s="38"/>
      <c r="Q118" s="36"/>
      <c r="R118" s="38"/>
      <c r="S118" s="38"/>
      <c r="Y118" s="36"/>
      <c r="Z118" s="38"/>
      <c r="AA118" s="38"/>
      <c r="AG118" s="36"/>
      <c r="AH118" s="38"/>
      <c r="AI118" s="38"/>
      <c r="AO118" s="36"/>
      <c r="AP118" s="38"/>
      <c r="AQ118" s="38"/>
      <c r="AW118" s="36"/>
      <c r="AX118" s="38"/>
      <c r="AY118" s="38"/>
      <c r="BE118" s="36"/>
      <c r="BF118" s="38"/>
      <c r="BG118" s="38"/>
      <c r="BM118" s="36"/>
      <c r="BN118" s="38"/>
      <c r="BO118" s="38"/>
      <c r="BU118" s="36"/>
      <c r="BV118" s="38"/>
      <c r="BW118" s="38"/>
      <c r="CC118" s="36"/>
      <c r="CD118" s="38"/>
      <c r="CE118" s="38"/>
      <c r="CK118" s="36"/>
      <c r="CL118" s="38"/>
      <c r="CM118" s="38"/>
      <c r="CS118" s="36"/>
      <c r="CT118" s="38"/>
      <c r="CU118" s="38"/>
      <c r="DA118" s="36"/>
      <c r="DB118" s="38"/>
      <c r="DC118" s="38"/>
      <c r="DI118" s="36"/>
      <c r="DJ118" s="38"/>
      <c r="DK118" s="38"/>
      <c r="DQ118" s="36"/>
      <c r="DR118" s="38"/>
      <c r="DS118" s="38"/>
      <c r="DY118" s="36"/>
      <c r="DZ118" s="38"/>
      <c r="EA118" s="38"/>
      <c r="EG118" s="36"/>
      <c r="EH118" s="38"/>
      <c r="EI118" s="38"/>
      <c r="EO118" s="36"/>
      <c r="EP118" s="38"/>
      <c r="EQ118" s="38"/>
      <c r="EW118" s="36"/>
      <c r="EX118" s="38"/>
      <c r="EY118" s="38"/>
      <c r="FE118" s="36"/>
      <c r="FF118" s="38"/>
      <c r="FG118" s="38"/>
      <c r="FM118" s="36"/>
      <c r="FN118" s="38"/>
      <c r="FO118" s="38"/>
      <c r="FU118" s="36"/>
      <c r="FV118" s="38"/>
      <c r="FW118" s="38"/>
      <c r="GC118" s="36"/>
      <c r="GD118" s="38"/>
      <c r="GE118" s="38"/>
      <c r="GK118" s="36"/>
      <c r="GL118" s="38"/>
      <c r="GM118" s="38"/>
      <c r="GS118" s="36"/>
      <c r="GT118" s="38"/>
      <c r="GU118" s="38"/>
      <c r="HA118" s="36"/>
      <c r="HB118" s="38"/>
      <c r="HC118" s="38"/>
      <c r="HI118" s="36"/>
      <c r="HJ118" s="38"/>
      <c r="HK118" s="38"/>
      <c r="HQ118" s="36"/>
      <c r="HR118" s="38"/>
      <c r="HS118" s="38"/>
      <c r="HY118" s="36"/>
      <c r="HZ118" s="38"/>
      <c r="IA118" s="38"/>
      <c r="IG118" s="36"/>
      <c r="IH118" s="38"/>
      <c r="II118" s="38"/>
      <c r="IO118" s="36"/>
      <c r="IP118" s="38"/>
      <c r="IQ118" s="38"/>
      <c r="IW118" s="36"/>
      <c r="IX118" s="38"/>
      <c r="IY118" s="38"/>
      <c r="JE118" s="36"/>
      <c r="JF118" s="38"/>
      <c r="JG118" s="38"/>
      <c r="JM118" s="36"/>
      <c r="JN118" s="38"/>
      <c r="JO118" s="38"/>
      <c r="JU118" s="36"/>
      <c r="JV118" s="38"/>
      <c r="JW118" s="38"/>
      <c r="KC118" s="36"/>
      <c r="KD118" s="38"/>
      <c r="KE118" s="38"/>
      <c r="KK118" s="36"/>
      <c r="KL118" s="38"/>
      <c r="KM118" s="38"/>
      <c r="KS118" s="36"/>
      <c r="KT118" s="38"/>
      <c r="KU118" s="38"/>
      <c r="LA118" s="36"/>
      <c r="LB118" s="38"/>
      <c r="LC118" s="38"/>
      <c r="LI118" s="36"/>
      <c r="LJ118" s="38"/>
      <c r="LK118" s="38"/>
      <c r="LQ118" s="36"/>
      <c r="LR118" s="38"/>
      <c r="LS118" s="38"/>
      <c r="LY118" s="36"/>
      <c r="LZ118" s="38"/>
      <c r="MA118" s="38"/>
      <c r="MG118" s="36"/>
      <c r="MH118" s="38"/>
      <c r="MI118" s="38"/>
      <c r="MO118" s="36"/>
      <c r="MP118" s="38"/>
      <c r="MQ118" s="38"/>
      <c r="MW118" s="36"/>
      <c r="MX118" s="38"/>
      <c r="MY118" s="38"/>
      <c r="NE118" s="36"/>
      <c r="NF118" s="38"/>
      <c r="NG118" s="38"/>
      <c r="NM118" s="36"/>
      <c r="NN118" s="38"/>
      <c r="NO118" s="38"/>
      <c r="NU118" s="36"/>
      <c r="NV118" s="38"/>
      <c r="NW118" s="38"/>
      <c r="OC118" s="36"/>
      <c r="OD118" s="38"/>
      <c r="OE118" s="38"/>
      <c r="OK118" s="36"/>
      <c r="OL118" s="38"/>
      <c r="OM118" s="38"/>
      <c r="OS118" s="36"/>
      <c r="OT118" s="38"/>
      <c r="OU118" s="38"/>
      <c r="PA118" s="36"/>
      <c r="PB118" s="38"/>
      <c r="PC118" s="38"/>
      <c r="PI118" s="36"/>
      <c r="PJ118" s="38"/>
      <c r="PK118" s="38"/>
      <c r="PQ118" s="36"/>
      <c r="PR118" s="38"/>
      <c r="PS118" s="38"/>
      <c r="PY118" s="36"/>
      <c r="PZ118" s="38"/>
      <c r="QA118" s="38"/>
      <c r="QG118" s="36"/>
      <c r="QH118" s="38"/>
      <c r="QI118" s="38"/>
      <c r="QO118" s="36"/>
      <c r="QP118" s="38"/>
      <c r="QQ118" s="38"/>
      <c r="QW118" s="36"/>
      <c r="QX118" s="38"/>
      <c r="QY118" s="38"/>
      <c r="RE118" s="36"/>
      <c r="RF118" s="38"/>
      <c r="RG118" s="38"/>
      <c r="RM118" s="36"/>
      <c r="RN118" s="38"/>
      <c r="RO118" s="38"/>
      <c r="RU118" s="36"/>
      <c r="RV118" s="38"/>
      <c r="RW118" s="38"/>
      <c r="SC118" s="36"/>
      <c r="SD118" s="38"/>
      <c r="SE118" s="38"/>
      <c r="SK118" s="36"/>
      <c r="SL118" s="38"/>
      <c r="SM118" s="38"/>
      <c r="SS118" s="36"/>
      <c r="ST118" s="38"/>
      <c r="SU118" s="38"/>
      <c r="TA118" s="36"/>
      <c r="TB118" s="38"/>
      <c r="TC118" s="38"/>
      <c r="TI118" s="36"/>
      <c r="TJ118" s="38"/>
      <c r="TK118" s="38"/>
      <c r="TQ118" s="36"/>
      <c r="TR118" s="38"/>
      <c r="TS118" s="38"/>
      <c r="TY118" s="36"/>
      <c r="TZ118" s="38"/>
      <c r="UA118" s="38"/>
      <c r="UG118" s="36"/>
      <c r="UH118" s="38"/>
      <c r="UI118" s="38"/>
      <c r="UO118" s="36"/>
      <c r="UP118" s="38"/>
      <c r="UQ118" s="38"/>
      <c r="UW118" s="36"/>
      <c r="UX118" s="38"/>
      <c r="UY118" s="38"/>
      <c r="VE118" s="36"/>
      <c r="VF118" s="38"/>
      <c r="VG118" s="38"/>
      <c r="VM118" s="36"/>
      <c r="VN118" s="38"/>
      <c r="VO118" s="38"/>
      <c r="VU118" s="36"/>
      <c r="VV118" s="38"/>
      <c r="VW118" s="38"/>
      <c r="WC118" s="36"/>
      <c r="WD118" s="38"/>
      <c r="WE118" s="38"/>
      <c r="WK118" s="36"/>
      <c r="WL118" s="38"/>
      <c r="WM118" s="38"/>
      <c r="WS118" s="36"/>
      <c r="WT118" s="38"/>
      <c r="WU118" s="38"/>
      <c r="XA118" s="36"/>
      <c r="XB118" s="38"/>
      <c r="XC118" s="38"/>
      <c r="XI118" s="36"/>
      <c r="XJ118" s="38"/>
      <c r="XK118" s="38"/>
      <c r="XQ118" s="36"/>
      <c r="XR118" s="38"/>
      <c r="XS118" s="38"/>
      <c r="XY118" s="36"/>
      <c r="XZ118" s="38"/>
      <c r="YA118" s="38"/>
      <c r="YG118" s="36"/>
      <c r="YH118" s="38"/>
      <c r="YI118" s="38"/>
      <c r="YO118" s="36"/>
      <c r="YP118" s="38"/>
      <c r="YQ118" s="38"/>
      <c r="YW118" s="36"/>
      <c r="YX118" s="38"/>
      <c r="YY118" s="38"/>
      <c r="ZE118" s="36"/>
      <c r="ZF118" s="38"/>
      <c r="ZG118" s="38"/>
      <c r="ZM118" s="36"/>
      <c r="ZN118" s="38"/>
      <c r="ZO118" s="38"/>
      <c r="ZU118" s="36"/>
      <c r="ZV118" s="38"/>
      <c r="ZW118" s="38"/>
      <c r="AAC118" s="36"/>
      <c r="AAD118" s="38"/>
      <c r="AAE118" s="38"/>
      <c r="AAK118" s="36"/>
      <c r="AAL118" s="38"/>
      <c r="AAM118" s="38"/>
      <c r="AAS118" s="36"/>
      <c r="AAT118" s="38"/>
      <c r="AAU118" s="38"/>
      <c r="ABA118" s="36"/>
      <c r="ABB118" s="38"/>
      <c r="ABC118" s="38"/>
      <c r="ABI118" s="36"/>
      <c r="ABJ118" s="38"/>
      <c r="ABK118" s="38"/>
      <c r="ABQ118" s="36"/>
      <c r="ABR118" s="38"/>
      <c r="ABS118" s="38"/>
      <c r="ABY118" s="36"/>
      <c r="ABZ118" s="38"/>
      <c r="ACA118" s="38"/>
      <c r="ACG118" s="36"/>
      <c r="ACH118" s="38"/>
      <c r="ACI118" s="38"/>
      <c r="ACO118" s="36"/>
      <c r="ACP118" s="38"/>
      <c r="ACQ118" s="38"/>
      <c r="ACW118" s="36"/>
      <c r="ACX118" s="38"/>
      <c r="ACY118" s="38"/>
      <c r="ADE118" s="36"/>
      <c r="ADF118" s="38"/>
      <c r="ADG118" s="38"/>
      <c r="ADM118" s="36"/>
      <c r="ADN118" s="38"/>
      <c r="ADO118" s="38"/>
      <c r="ADU118" s="36"/>
      <c r="ADV118" s="38"/>
      <c r="ADW118" s="38"/>
      <c r="AEC118" s="36"/>
      <c r="AED118" s="38"/>
      <c r="AEE118" s="38"/>
      <c r="AEK118" s="36"/>
      <c r="AEL118" s="38"/>
      <c r="AEM118" s="38"/>
      <c r="AES118" s="36"/>
      <c r="AET118" s="38"/>
      <c r="AEU118" s="38"/>
      <c r="AFA118" s="36"/>
      <c r="AFB118" s="38"/>
      <c r="AFC118" s="38"/>
      <c r="AFI118" s="36"/>
      <c r="AFJ118" s="38"/>
      <c r="AFK118" s="38"/>
      <c r="AFQ118" s="36"/>
      <c r="AFR118" s="38"/>
      <c r="AFS118" s="38"/>
      <c r="AFY118" s="36"/>
      <c r="AFZ118" s="38"/>
      <c r="AGA118" s="38"/>
      <c r="AGG118" s="36"/>
      <c r="AGH118" s="38"/>
      <c r="AGI118" s="38"/>
      <c r="AGO118" s="36"/>
      <c r="AGP118" s="38"/>
      <c r="AGQ118" s="38"/>
      <c r="AGW118" s="36"/>
      <c r="AGX118" s="38"/>
      <c r="AGY118" s="38"/>
      <c r="AHE118" s="36"/>
      <c r="AHF118" s="38"/>
      <c r="AHG118" s="38"/>
      <c r="AHM118" s="36"/>
      <c r="AHN118" s="38"/>
      <c r="AHO118" s="38"/>
      <c r="AHU118" s="36"/>
      <c r="AHV118" s="38"/>
      <c r="AHW118" s="38"/>
      <c r="AIC118" s="36"/>
      <c r="AID118" s="38"/>
      <c r="AIE118" s="38"/>
      <c r="AIK118" s="36"/>
      <c r="AIL118" s="38"/>
      <c r="AIM118" s="38"/>
      <c r="AIS118" s="36"/>
      <c r="AIT118" s="38"/>
      <c r="AIU118" s="38"/>
      <c r="AJA118" s="36"/>
      <c r="AJB118" s="38"/>
      <c r="AJC118" s="38"/>
      <c r="AJI118" s="36"/>
      <c r="AJJ118" s="38"/>
      <c r="AJK118" s="38"/>
      <c r="AJQ118" s="36"/>
      <c r="AJR118" s="38"/>
      <c r="AJS118" s="38"/>
      <c r="AJY118" s="36"/>
      <c r="AJZ118" s="38"/>
      <c r="AKA118" s="38"/>
      <c r="AKG118" s="36"/>
      <c r="AKH118" s="38"/>
      <c r="AKI118" s="38"/>
      <c r="AKO118" s="36"/>
      <c r="AKP118" s="38"/>
      <c r="AKQ118" s="38"/>
      <c r="AKW118" s="36"/>
      <c r="AKX118" s="38"/>
      <c r="AKY118" s="38"/>
      <c r="ALE118" s="36"/>
      <c r="ALF118" s="38"/>
      <c r="ALG118" s="38"/>
      <c r="ALM118" s="36"/>
      <c r="ALN118" s="38"/>
      <c r="ALO118" s="38"/>
      <c r="ALU118" s="36"/>
      <c r="ALV118" s="38"/>
      <c r="ALW118" s="38"/>
      <c r="AMC118" s="36"/>
      <c r="AMD118" s="38"/>
      <c r="AME118" s="38"/>
      <c r="AMK118" s="36"/>
      <c r="AML118" s="38"/>
      <c r="AMM118" s="38"/>
      <c r="AMS118" s="36"/>
      <c r="AMT118" s="38"/>
      <c r="AMU118" s="38"/>
      <c r="ANA118" s="36"/>
      <c r="ANB118" s="38"/>
      <c r="ANC118" s="38"/>
      <c r="ANI118" s="36"/>
      <c r="ANJ118" s="38"/>
      <c r="ANK118" s="38"/>
      <c r="ANQ118" s="36"/>
      <c r="ANR118" s="38"/>
      <c r="ANS118" s="38"/>
      <c r="ANY118" s="36"/>
      <c r="ANZ118" s="38"/>
      <c r="AOA118" s="38"/>
      <c r="AOG118" s="36"/>
      <c r="AOH118" s="38"/>
      <c r="AOI118" s="38"/>
      <c r="AOO118" s="36"/>
      <c r="AOP118" s="38"/>
      <c r="AOQ118" s="38"/>
      <c r="AOW118" s="36"/>
      <c r="AOX118" s="38"/>
      <c r="AOY118" s="38"/>
      <c r="APE118" s="36"/>
      <c r="APF118" s="38"/>
      <c r="APG118" s="38"/>
      <c r="APM118" s="36"/>
      <c r="APN118" s="38"/>
      <c r="APO118" s="38"/>
      <c r="APU118" s="36"/>
      <c r="APV118" s="38"/>
      <c r="APW118" s="38"/>
      <c r="AQC118" s="36"/>
      <c r="AQD118" s="38"/>
      <c r="AQE118" s="38"/>
      <c r="AQK118" s="36"/>
      <c r="AQL118" s="38"/>
      <c r="AQM118" s="38"/>
      <c r="AQS118" s="36"/>
      <c r="AQT118" s="38"/>
      <c r="AQU118" s="38"/>
      <c r="ARA118" s="36"/>
      <c r="ARB118" s="38"/>
      <c r="ARC118" s="38"/>
      <c r="ARI118" s="36"/>
      <c r="ARJ118" s="38"/>
      <c r="ARK118" s="38"/>
      <c r="ARQ118" s="36"/>
      <c r="ARR118" s="38"/>
      <c r="ARS118" s="38"/>
      <c r="ARY118" s="36"/>
      <c r="ARZ118" s="38"/>
      <c r="ASA118" s="38"/>
      <c r="ASG118" s="36"/>
      <c r="ASH118" s="38"/>
      <c r="ASI118" s="38"/>
      <c r="ASO118" s="36"/>
      <c r="ASP118" s="38"/>
      <c r="ASQ118" s="38"/>
      <c r="ASW118" s="36"/>
      <c r="ASX118" s="38"/>
      <c r="ASY118" s="38"/>
      <c r="ATE118" s="36"/>
      <c r="ATF118" s="38"/>
      <c r="ATG118" s="38"/>
      <c r="ATM118" s="36"/>
      <c r="ATN118" s="38"/>
      <c r="ATO118" s="38"/>
      <c r="ATU118" s="36"/>
      <c r="ATV118" s="38"/>
      <c r="ATW118" s="38"/>
      <c r="AUC118" s="36"/>
      <c r="AUD118" s="38"/>
      <c r="AUE118" s="38"/>
      <c r="AUK118" s="36"/>
      <c r="AUL118" s="38"/>
      <c r="AUM118" s="38"/>
      <c r="AUS118" s="36"/>
      <c r="AUT118" s="38"/>
      <c r="AUU118" s="38"/>
      <c r="AVA118" s="36"/>
      <c r="AVB118" s="38"/>
      <c r="AVC118" s="38"/>
      <c r="AVI118" s="36"/>
      <c r="AVJ118" s="38"/>
      <c r="AVK118" s="38"/>
      <c r="AVQ118" s="36"/>
      <c r="AVR118" s="38"/>
      <c r="AVS118" s="38"/>
      <c r="AVY118" s="36"/>
      <c r="AVZ118" s="38"/>
      <c r="AWA118" s="38"/>
      <c r="AWG118" s="36"/>
      <c r="AWH118" s="38"/>
      <c r="AWI118" s="38"/>
      <c r="AWO118" s="36"/>
      <c r="AWP118" s="38"/>
      <c r="AWQ118" s="38"/>
      <c r="AWW118" s="36"/>
      <c r="AWX118" s="38"/>
      <c r="AWY118" s="38"/>
      <c r="AXE118" s="36"/>
      <c r="AXF118" s="38"/>
      <c r="AXG118" s="38"/>
      <c r="AXM118" s="36"/>
      <c r="AXN118" s="38"/>
      <c r="AXO118" s="38"/>
      <c r="AXU118" s="36"/>
      <c r="AXV118" s="38"/>
      <c r="AXW118" s="38"/>
      <c r="AYC118" s="36"/>
      <c r="AYD118" s="38"/>
      <c r="AYE118" s="38"/>
      <c r="AYK118" s="36"/>
      <c r="AYL118" s="38"/>
      <c r="AYM118" s="38"/>
      <c r="AYS118" s="36"/>
      <c r="AYT118" s="38"/>
      <c r="AYU118" s="38"/>
      <c r="AZA118" s="36"/>
      <c r="AZB118" s="38"/>
      <c r="AZC118" s="38"/>
      <c r="AZI118" s="36"/>
      <c r="AZJ118" s="38"/>
      <c r="AZK118" s="38"/>
      <c r="AZQ118" s="36"/>
      <c r="AZR118" s="38"/>
      <c r="AZS118" s="38"/>
      <c r="AZY118" s="36"/>
      <c r="AZZ118" s="38"/>
      <c r="BAA118" s="38"/>
      <c r="BAG118" s="36"/>
      <c r="BAH118" s="38"/>
      <c r="BAI118" s="38"/>
      <c r="BAO118" s="36"/>
      <c r="BAP118" s="38"/>
      <c r="BAQ118" s="38"/>
      <c r="BAW118" s="36"/>
      <c r="BAX118" s="38"/>
      <c r="BAY118" s="38"/>
      <c r="BBE118" s="36"/>
      <c r="BBF118" s="38"/>
      <c r="BBG118" s="38"/>
      <c r="BBM118" s="36"/>
      <c r="BBN118" s="38"/>
      <c r="BBO118" s="38"/>
      <c r="BBU118" s="36"/>
      <c r="BBV118" s="38"/>
      <c r="BBW118" s="38"/>
      <c r="BCC118" s="36"/>
      <c r="BCD118" s="38"/>
      <c r="BCE118" s="38"/>
      <c r="BCK118" s="36"/>
      <c r="BCL118" s="38"/>
      <c r="BCM118" s="38"/>
      <c r="BCS118" s="36"/>
      <c r="BCT118" s="38"/>
      <c r="BCU118" s="38"/>
      <c r="BDA118" s="36"/>
      <c r="BDB118" s="38"/>
      <c r="BDC118" s="38"/>
      <c r="BDI118" s="36"/>
      <c r="BDJ118" s="38"/>
      <c r="BDK118" s="38"/>
      <c r="BDQ118" s="36"/>
      <c r="BDR118" s="38"/>
      <c r="BDS118" s="38"/>
      <c r="BDY118" s="36"/>
      <c r="BDZ118" s="38"/>
      <c r="BEA118" s="38"/>
      <c r="BEG118" s="36"/>
      <c r="BEH118" s="38"/>
      <c r="BEI118" s="38"/>
      <c r="BEO118" s="36"/>
      <c r="BEP118" s="38"/>
      <c r="BEQ118" s="38"/>
      <c r="BEW118" s="36"/>
      <c r="BEX118" s="38"/>
      <c r="BEY118" s="38"/>
      <c r="BFE118" s="36"/>
      <c r="BFF118" s="38"/>
      <c r="BFG118" s="38"/>
      <c r="BFM118" s="36"/>
      <c r="BFN118" s="38"/>
      <c r="BFO118" s="38"/>
      <c r="BFU118" s="36"/>
      <c r="BFV118" s="38"/>
      <c r="BFW118" s="38"/>
      <c r="BGC118" s="36"/>
      <c r="BGD118" s="38"/>
      <c r="BGE118" s="38"/>
      <c r="BGK118" s="36"/>
      <c r="BGL118" s="38"/>
      <c r="BGM118" s="38"/>
      <c r="BGS118" s="36"/>
      <c r="BGT118" s="38"/>
      <c r="BGU118" s="38"/>
      <c r="BHA118" s="36"/>
      <c r="BHB118" s="38"/>
      <c r="BHC118" s="38"/>
      <c r="BHI118" s="36"/>
      <c r="BHJ118" s="38"/>
      <c r="BHK118" s="38"/>
      <c r="BHQ118" s="36"/>
      <c r="BHR118" s="38"/>
      <c r="BHS118" s="38"/>
      <c r="BHY118" s="36"/>
      <c r="BHZ118" s="38"/>
      <c r="BIA118" s="38"/>
      <c r="BIG118" s="36"/>
      <c r="BIH118" s="38"/>
      <c r="BII118" s="38"/>
      <c r="BIO118" s="36"/>
      <c r="BIP118" s="38"/>
      <c r="BIQ118" s="38"/>
      <c r="BIW118" s="36"/>
      <c r="BIX118" s="38"/>
      <c r="BIY118" s="38"/>
      <c r="BJE118" s="36"/>
      <c r="BJF118" s="38"/>
      <c r="BJG118" s="38"/>
      <c r="BJM118" s="36"/>
      <c r="BJN118" s="38"/>
      <c r="BJO118" s="38"/>
      <c r="BJU118" s="36"/>
      <c r="BJV118" s="38"/>
      <c r="BJW118" s="38"/>
      <c r="BKC118" s="36"/>
      <c r="BKD118" s="38"/>
      <c r="BKE118" s="38"/>
      <c r="BKK118" s="36"/>
      <c r="BKL118" s="38"/>
      <c r="BKM118" s="38"/>
      <c r="BKS118" s="36"/>
      <c r="BKT118" s="38"/>
      <c r="BKU118" s="38"/>
      <c r="BLA118" s="36"/>
      <c r="BLB118" s="38"/>
      <c r="BLC118" s="38"/>
      <c r="BLI118" s="36"/>
      <c r="BLJ118" s="38"/>
      <c r="BLK118" s="38"/>
      <c r="BLQ118" s="36"/>
      <c r="BLR118" s="38"/>
      <c r="BLS118" s="38"/>
      <c r="BLY118" s="36"/>
      <c r="BLZ118" s="38"/>
      <c r="BMA118" s="38"/>
      <c r="BMG118" s="36"/>
      <c r="BMH118" s="38"/>
      <c r="BMI118" s="38"/>
      <c r="BMO118" s="36"/>
      <c r="BMP118" s="38"/>
      <c r="BMQ118" s="38"/>
      <c r="BMW118" s="36"/>
      <c r="BMX118" s="38"/>
      <c r="BMY118" s="38"/>
      <c r="BNE118" s="36"/>
      <c r="BNF118" s="38"/>
      <c r="BNG118" s="38"/>
      <c r="BNM118" s="36"/>
      <c r="BNN118" s="38"/>
      <c r="BNO118" s="38"/>
      <c r="BNU118" s="36"/>
      <c r="BNV118" s="38"/>
      <c r="BNW118" s="38"/>
      <c r="BOC118" s="36"/>
      <c r="BOD118" s="38"/>
      <c r="BOE118" s="38"/>
      <c r="BOK118" s="36"/>
      <c r="BOL118" s="38"/>
      <c r="BOM118" s="38"/>
      <c r="BOS118" s="36"/>
      <c r="BOT118" s="38"/>
      <c r="BOU118" s="38"/>
      <c r="BPA118" s="36"/>
      <c r="BPB118" s="38"/>
      <c r="BPC118" s="38"/>
      <c r="BPI118" s="36"/>
      <c r="BPJ118" s="38"/>
      <c r="BPK118" s="38"/>
      <c r="BPQ118" s="36"/>
      <c r="BPR118" s="38"/>
      <c r="BPS118" s="38"/>
      <c r="BPY118" s="36"/>
      <c r="BPZ118" s="38"/>
      <c r="BQA118" s="38"/>
      <c r="BQG118" s="36"/>
      <c r="BQH118" s="38"/>
      <c r="BQI118" s="38"/>
      <c r="BQO118" s="36"/>
      <c r="BQP118" s="38"/>
      <c r="BQQ118" s="38"/>
      <c r="BQW118" s="36"/>
      <c r="BQX118" s="38"/>
      <c r="BQY118" s="38"/>
      <c r="BRE118" s="36"/>
      <c r="BRF118" s="38"/>
      <c r="BRG118" s="38"/>
      <c r="BRM118" s="36"/>
      <c r="BRN118" s="38"/>
      <c r="BRO118" s="38"/>
      <c r="BRU118" s="36"/>
      <c r="BRV118" s="38"/>
      <c r="BRW118" s="38"/>
      <c r="BSC118" s="36"/>
      <c r="BSD118" s="38"/>
      <c r="BSE118" s="38"/>
      <c r="BSK118" s="36"/>
      <c r="BSL118" s="38"/>
      <c r="BSM118" s="38"/>
      <c r="BSS118" s="36"/>
      <c r="BST118" s="38"/>
      <c r="BSU118" s="38"/>
      <c r="BTA118" s="36"/>
      <c r="BTB118" s="38"/>
      <c r="BTC118" s="38"/>
      <c r="BTI118" s="36"/>
      <c r="BTJ118" s="38"/>
      <c r="BTK118" s="38"/>
      <c r="BTQ118" s="36"/>
      <c r="BTR118" s="38"/>
      <c r="BTS118" s="38"/>
      <c r="BTY118" s="36"/>
      <c r="BTZ118" s="38"/>
      <c r="BUA118" s="38"/>
      <c r="BUG118" s="36"/>
      <c r="BUH118" s="38"/>
      <c r="BUI118" s="38"/>
      <c r="BUO118" s="36"/>
      <c r="BUP118" s="38"/>
      <c r="BUQ118" s="38"/>
      <c r="BUW118" s="36"/>
      <c r="BUX118" s="38"/>
      <c r="BUY118" s="38"/>
      <c r="BVE118" s="36"/>
      <c r="BVF118" s="38"/>
      <c r="BVG118" s="38"/>
      <c r="BVM118" s="36"/>
      <c r="BVN118" s="38"/>
      <c r="BVO118" s="38"/>
      <c r="BVU118" s="36"/>
      <c r="BVV118" s="38"/>
      <c r="BVW118" s="38"/>
      <c r="BWC118" s="36"/>
      <c r="BWD118" s="38"/>
      <c r="BWE118" s="38"/>
      <c r="BWK118" s="36"/>
      <c r="BWL118" s="38"/>
      <c r="BWM118" s="38"/>
      <c r="BWS118" s="36"/>
      <c r="BWT118" s="38"/>
      <c r="BWU118" s="38"/>
      <c r="BXA118" s="36"/>
      <c r="BXB118" s="38"/>
      <c r="BXC118" s="38"/>
      <c r="BXI118" s="36"/>
      <c r="BXJ118" s="38"/>
      <c r="BXK118" s="38"/>
      <c r="BXQ118" s="36"/>
      <c r="BXR118" s="38"/>
      <c r="BXS118" s="38"/>
      <c r="BXY118" s="36"/>
      <c r="BXZ118" s="38"/>
      <c r="BYA118" s="38"/>
      <c r="BYG118" s="36"/>
      <c r="BYH118" s="38"/>
      <c r="BYI118" s="38"/>
      <c r="BYO118" s="36"/>
      <c r="BYP118" s="38"/>
      <c r="BYQ118" s="38"/>
      <c r="BYW118" s="36"/>
      <c r="BYX118" s="38"/>
      <c r="BYY118" s="38"/>
      <c r="BZE118" s="36"/>
      <c r="BZF118" s="38"/>
      <c r="BZG118" s="38"/>
      <c r="BZM118" s="36"/>
      <c r="BZN118" s="38"/>
      <c r="BZO118" s="38"/>
      <c r="BZU118" s="36"/>
      <c r="BZV118" s="38"/>
      <c r="BZW118" s="38"/>
      <c r="CAC118" s="36"/>
      <c r="CAD118" s="38"/>
      <c r="CAE118" s="38"/>
      <c r="CAK118" s="36"/>
      <c r="CAL118" s="38"/>
      <c r="CAM118" s="38"/>
      <c r="CAS118" s="36"/>
      <c r="CAT118" s="38"/>
      <c r="CAU118" s="38"/>
      <c r="CBA118" s="36"/>
      <c r="CBB118" s="38"/>
      <c r="CBC118" s="38"/>
      <c r="CBI118" s="36"/>
      <c r="CBJ118" s="38"/>
      <c r="CBK118" s="38"/>
      <c r="CBQ118" s="36"/>
      <c r="CBR118" s="38"/>
      <c r="CBS118" s="38"/>
      <c r="CBY118" s="36"/>
      <c r="CBZ118" s="38"/>
      <c r="CCA118" s="38"/>
      <c r="CCG118" s="36"/>
      <c r="CCH118" s="38"/>
      <c r="CCI118" s="38"/>
      <c r="CCO118" s="36"/>
      <c r="CCP118" s="38"/>
      <c r="CCQ118" s="38"/>
      <c r="CCW118" s="36"/>
      <c r="CCX118" s="38"/>
      <c r="CCY118" s="38"/>
      <c r="CDE118" s="36"/>
      <c r="CDF118" s="38"/>
      <c r="CDG118" s="38"/>
      <c r="CDM118" s="36"/>
      <c r="CDN118" s="38"/>
      <c r="CDO118" s="38"/>
      <c r="CDU118" s="36"/>
      <c r="CDV118" s="38"/>
      <c r="CDW118" s="38"/>
      <c r="CEC118" s="36"/>
      <c r="CED118" s="38"/>
      <c r="CEE118" s="38"/>
      <c r="CEK118" s="36"/>
      <c r="CEL118" s="38"/>
      <c r="CEM118" s="38"/>
      <c r="CES118" s="36"/>
      <c r="CET118" s="38"/>
      <c r="CEU118" s="38"/>
      <c r="CFA118" s="36"/>
      <c r="CFB118" s="38"/>
      <c r="CFC118" s="38"/>
      <c r="CFI118" s="36"/>
      <c r="CFJ118" s="38"/>
      <c r="CFK118" s="38"/>
      <c r="CFQ118" s="36"/>
      <c r="CFR118" s="38"/>
      <c r="CFS118" s="38"/>
      <c r="CFY118" s="36"/>
      <c r="CFZ118" s="38"/>
      <c r="CGA118" s="38"/>
      <c r="CGG118" s="36"/>
      <c r="CGH118" s="38"/>
      <c r="CGI118" s="38"/>
      <c r="CGO118" s="36"/>
      <c r="CGP118" s="38"/>
      <c r="CGQ118" s="38"/>
      <c r="CGW118" s="36"/>
      <c r="CGX118" s="38"/>
      <c r="CGY118" s="38"/>
      <c r="CHE118" s="36"/>
      <c r="CHF118" s="38"/>
      <c r="CHG118" s="38"/>
      <c r="CHM118" s="36"/>
      <c r="CHN118" s="38"/>
      <c r="CHO118" s="38"/>
      <c r="CHU118" s="36"/>
      <c r="CHV118" s="38"/>
      <c r="CHW118" s="38"/>
      <c r="CIC118" s="36"/>
      <c r="CID118" s="38"/>
      <c r="CIE118" s="38"/>
      <c r="CIK118" s="36"/>
      <c r="CIL118" s="38"/>
      <c r="CIM118" s="38"/>
      <c r="CIS118" s="36"/>
      <c r="CIT118" s="38"/>
      <c r="CIU118" s="38"/>
      <c r="CJA118" s="36"/>
      <c r="CJB118" s="38"/>
      <c r="CJC118" s="38"/>
      <c r="CJI118" s="36"/>
      <c r="CJJ118" s="38"/>
      <c r="CJK118" s="38"/>
      <c r="CJQ118" s="36"/>
      <c r="CJR118" s="38"/>
      <c r="CJS118" s="38"/>
      <c r="CJY118" s="36"/>
      <c r="CJZ118" s="38"/>
      <c r="CKA118" s="38"/>
      <c r="CKG118" s="36"/>
      <c r="CKH118" s="38"/>
      <c r="CKI118" s="38"/>
      <c r="CKO118" s="36"/>
      <c r="CKP118" s="38"/>
      <c r="CKQ118" s="38"/>
      <c r="CKW118" s="36"/>
      <c r="CKX118" s="38"/>
      <c r="CKY118" s="38"/>
      <c r="CLE118" s="36"/>
      <c r="CLF118" s="38"/>
      <c r="CLG118" s="38"/>
      <c r="CLM118" s="36"/>
      <c r="CLN118" s="38"/>
      <c r="CLO118" s="38"/>
      <c r="CLU118" s="36"/>
      <c r="CLV118" s="38"/>
      <c r="CLW118" s="38"/>
      <c r="CMC118" s="36"/>
      <c r="CMD118" s="38"/>
      <c r="CME118" s="38"/>
      <c r="CMK118" s="36"/>
      <c r="CML118" s="38"/>
      <c r="CMM118" s="38"/>
      <c r="CMS118" s="36"/>
      <c r="CMT118" s="38"/>
      <c r="CMU118" s="38"/>
      <c r="CNA118" s="36"/>
      <c r="CNB118" s="38"/>
      <c r="CNC118" s="38"/>
      <c r="CNI118" s="36"/>
      <c r="CNJ118" s="38"/>
      <c r="CNK118" s="38"/>
      <c r="CNQ118" s="36"/>
      <c r="CNR118" s="38"/>
      <c r="CNS118" s="38"/>
      <c r="CNY118" s="36"/>
      <c r="CNZ118" s="38"/>
      <c r="COA118" s="38"/>
      <c r="COG118" s="36"/>
      <c r="COH118" s="38"/>
      <c r="COI118" s="38"/>
      <c r="COO118" s="36"/>
      <c r="COP118" s="38"/>
      <c r="COQ118" s="38"/>
      <c r="COW118" s="36"/>
      <c r="COX118" s="38"/>
      <c r="COY118" s="38"/>
      <c r="CPE118" s="36"/>
      <c r="CPF118" s="38"/>
      <c r="CPG118" s="38"/>
      <c r="CPM118" s="36"/>
      <c r="CPN118" s="38"/>
      <c r="CPO118" s="38"/>
      <c r="CPU118" s="36"/>
      <c r="CPV118" s="38"/>
      <c r="CPW118" s="38"/>
      <c r="CQC118" s="36"/>
      <c r="CQD118" s="38"/>
      <c r="CQE118" s="38"/>
      <c r="CQK118" s="36"/>
      <c r="CQL118" s="38"/>
      <c r="CQM118" s="38"/>
      <c r="CQS118" s="36"/>
      <c r="CQT118" s="38"/>
      <c r="CQU118" s="38"/>
      <c r="CRA118" s="36"/>
      <c r="CRB118" s="38"/>
      <c r="CRC118" s="38"/>
      <c r="CRI118" s="36"/>
      <c r="CRJ118" s="38"/>
      <c r="CRK118" s="38"/>
      <c r="CRQ118" s="36"/>
      <c r="CRR118" s="38"/>
      <c r="CRS118" s="38"/>
      <c r="CRY118" s="36"/>
      <c r="CRZ118" s="38"/>
      <c r="CSA118" s="38"/>
      <c r="CSG118" s="36"/>
      <c r="CSH118" s="38"/>
      <c r="CSI118" s="38"/>
      <c r="CSO118" s="36"/>
      <c r="CSP118" s="38"/>
      <c r="CSQ118" s="38"/>
      <c r="CSW118" s="36"/>
      <c r="CSX118" s="38"/>
      <c r="CSY118" s="38"/>
      <c r="CTE118" s="36"/>
      <c r="CTF118" s="38"/>
      <c r="CTG118" s="38"/>
      <c r="CTM118" s="36"/>
      <c r="CTN118" s="38"/>
      <c r="CTO118" s="38"/>
      <c r="CTU118" s="36"/>
      <c r="CTV118" s="38"/>
      <c r="CTW118" s="38"/>
      <c r="CUC118" s="36"/>
      <c r="CUD118" s="38"/>
      <c r="CUE118" s="38"/>
      <c r="CUK118" s="36"/>
      <c r="CUL118" s="38"/>
      <c r="CUM118" s="38"/>
      <c r="CUS118" s="36"/>
      <c r="CUT118" s="38"/>
      <c r="CUU118" s="38"/>
      <c r="CVA118" s="36"/>
      <c r="CVB118" s="38"/>
      <c r="CVC118" s="38"/>
      <c r="CVI118" s="36"/>
      <c r="CVJ118" s="38"/>
      <c r="CVK118" s="38"/>
      <c r="CVQ118" s="36"/>
      <c r="CVR118" s="38"/>
      <c r="CVS118" s="38"/>
      <c r="CVY118" s="36"/>
      <c r="CVZ118" s="38"/>
      <c r="CWA118" s="38"/>
      <c r="CWG118" s="36"/>
      <c r="CWH118" s="38"/>
      <c r="CWI118" s="38"/>
      <c r="CWO118" s="36"/>
      <c r="CWP118" s="38"/>
      <c r="CWQ118" s="38"/>
      <c r="CWW118" s="36"/>
      <c r="CWX118" s="38"/>
      <c r="CWY118" s="38"/>
      <c r="CXE118" s="36"/>
      <c r="CXF118" s="38"/>
      <c r="CXG118" s="38"/>
      <c r="CXM118" s="36"/>
      <c r="CXN118" s="38"/>
      <c r="CXO118" s="38"/>
      <c r="CXU118" s="36"/>
      <c r="CXV118" s="38"/>
      <c r="CXW118" s="38"/>
      <c r="CYC118" s="36"/>
      <c r="CYD118" s="38"/>
      <c r="CYE118" s="38"/>
      <c r="CYK118" s="36"/>
      <c r="CYL118" s="38"/>
      <c r="CYM118" s="38"/>
      <c r="CYS118" s="36"/>
      <c r="CYT118" s="38"/>
      <c r="CYU118" s="38"/>
      <c r="CZA118" s="36"/>
      <c r="CZB118" s="38"/>
      <c r="CZC118" s="38"/>
      <c r="CZI118" s="36"/>
      <c r="CZJ118" s="38"/>
      <c r="CZK118" s="38"/>
      <c r="CZQ118" s="36"/>
      <c r="CZR118" s="38"/>
      <c r="CZS118" s="38"/>
      <c r="CZY118" s="36"/>
      <c r="CZZ118" s="38"/>
      <c r="DAA118" s="38"/>
      <c r="DAG118" s="36"/>
      <c r="DAH118" s="38"/>
      <c r="DAI118" s="38"/>
      <c r="DAO118" s="36"/>
      <c r="DAP118" s="38"/>
      <c r="DAQ118" s="38"/>
      <c r="DAW118" s="36"/>
      <c r="DAX118" s="38"/>
      <c r="DAY118" s="38"/>
      <c r="DBE118" s="36"/>
      <c r="DBF118" s="38"/>
      <c r="DBG118" s="38"/>
      <c r="DBM118" s="36"/>
      <c r="DBN118" s="38"/>
      <c r="DBO118" s="38"/>
      <c r="DBU118" s="36"/>
      <c r="DBV118" s="38"/>
      <c r="DBW118" s="38"/>
      <c r="DCC118" s="36"/>
      <c r="DCD118" s="38"/>
      <c r="DCE118" s="38"/>
      <c r="DCK118" s="36"/>
      <c r="DCL118" s="38"/>
      <c r="DCM118" s="38"/>
      <c r="DCS118" s="36"/>
      <c r="DCT118" s="38"/>
      <c r="DCU118" s="38"/>
      <c r="DDA118" s="36"/>
      <c r="DDB118" s="38"/>
      <c r="DDC118" s="38"/>
      <c r="DDI118" s="36"/>
      <c r="DDJ118" s="38"/>
      <c r="DDK118" s="38"/>
      <c r="DDQ118" s="36"/>
      <c r="DDR118" s="38"/>
      <c r="DDS118" s="38"/>
      <c r="DDY118" s="36"/>
      <c r="DDZ118" s="38"/>
      <c r="DEA118" s="38"/>
      <c r="DEG118" s="36"/>
      <c r="DEH118" s="38"/>
      <c r="DEI118" s="38"/>
      <c r="DEO118" s="36"/>
      <c r="DEP118" s="38"/>
      <c r="DEQ118" s="38"/>
      <c r="DEW118" s="36"/>
      <c r="DEX118" s="38"/>
      <c r="DEY118" s="38"/>
      <c r="DFE118" s="36"/>
      <c r="DFF118" s="38"/>
      <c r="DFG118" s="38"/>
      <c r="DFM118" s="36"/>
      <c r="DFN118" s="38"/>
      <c r="DFO118" s="38"/>
      <c r="DFU118" s="36"/>
      <c r="DFV118" s="38"/>
      <c r="DFW118" s="38"/>
      <c r="DGC118" s="36"/>
      <c r="DGD118" s="38"/>
      <c r="DGE118" s="38"/>
      <c r="DGK118" s="36"/>
      <c r="DGL118" s="38"/>
      <c r="DGM118" s="38"/>
      <c r="DGS118" s="36"/>
      <c r="DGT118" s="38"/>
      <c r="DGU118" s="38"/>
      <c r="DHA118" s="36"/>
      <c r="DHB118" s="38"/>
      <c r="DHC118" s="38"/>
      <c r="DHI118" s="36"/>
      <c r="DHJ118" s="38"/>
      <c r="DHK118" s="38"/>
      <c r="DHQ118" s="36"/>
      <c r="DHR118" s="38"/>
      <c r="DHS118" s="38"/>
      <c r="DHY118" s="36"/>
      <c r="DHZ118" s="38"/>
      <c r="DIA118" s="38"/>
      <c r="DIG118" s="36"/>
      <c r="DIH118" s="38"/>
      <c r="DII118" s="38"/>
      <c r="DIO118" s="36"/>
      <c r="DIP118" s="38"/>
      <c r="DIQ118" s="38"/>
      <c r="DIW118" s="36"/>
      <c r="DIX118" s="38"/>
      <c r="DIY118" s="38"/>
      <c r="DJE118" s="36"/>
      <c r="DJF118" s="38"/>
      <c r="DJG118" s="38"/>
      <c r="DJM118" s="36"/>
      <c r="DJN118" s="38"/>
      <c r="DJO118" s="38"/>
      <c r="DJU118" s="36"/>
      <c r="DJV118" s="38"/>
      <c r="DJW118" s="38"/>
      <c r="DKC118" s="36"/>
      <c r="DKD118" s="38"/>
      <c r="DKE118" s="38"/>
      <c r="DKK118" s="36"/>
      <c r="DKL118" s="38"/>
      <c r="DKM118" s="38"/>
      <c r="DKS118" s="36"/>
      <c r="DKT118" s="38"/>
      <c r="DKU118" s="38"/>
      <c r="DLA118" s="36"/>
      <c r="DLB118" s="38"/>
      <c r="DLC118" s="38"/>
      <c r="DLI118" s="36"/>
      <c r="DLJ118" s="38"/>
      <c r="DLK118" s="38"/>
      <c r="DLQ118" s="36"/>
      <c r="DLR118" s="38"/>
      <c r="DLS118" s="38"/>
      <c r="DLY118" s="36"/>
      <c r="DLZ118" s="38"/>
      <c r="DMA118" s="38"/>
      <c r="DMG118" s="36"/>
      <c r="DMH118" s="38"/>
      <c r="DMI118" s="38"/>
      <c r="DMO118" s="36"/>
      <c r="DMP118" s="38"/>
      <c r="DMQ118" s="38"/>
      <c r="DMW118" s="36"/>
      <c r="DMX118" s="38"/>
      <c r="DMY118" s="38"/>
      <c r="DNE118" s="36"/>
      <c r="DNF118" s="38"/>
      <c r="DNG118" s="38"/>
      <c r="DNM118" s="36"/>
      <c r="DNN118" s="38"/>
      <c r="DNO118" s="38"/>
      <c r="DNU118" s="36"/>
      <c r="DNV118" s="38"/>
      <c r="DNW118" s="38"/>
      <c r="DOC118" s="36"/>
      <c r="DOD118" s="38"/>
      <c r="DOE118" s="38"/>
      <c r="DOK118" s="36"/>
      <c r="DOL118" s="38"/>
      <c r="DOM118" s="38"/>
      <c r="DOS118" s="36"/>
      <c r="DOT118" s="38"/>
      <c r="DOU118" s="38"/>
      <c r="DPA118" s="36"/>
      <c r="DPB118" s="38"/>
      <c r="DPC118" s="38"/>
      <c r="DPI118" s="36"/>
      <c r="DPJ118" s="38"/>
      <c r="DPK118" s="38"/>
      <c r="DPQ118" s="36"/>
      <c r="DPR118" s="38"/>
      <c r="DPS118" s="38"/>
      <c r="DPY118" s="36"/>
      <c r="DPZ118" s="38"/>
      <c r="DQA118" s="38"/>
      <c r="DQG118" s="36"/>
      <c r="DQH118" s="38"/>
      <c r="DQI118" s="38"/>
      <c r="DQO118" s="36"/>
      <c r="DQP118" s="38"/>
      <c r="DQQ118" s="38"/>
      <c r="DQW118" s="36"/>
      <c r="DQX118" s="38"/>
      <c r="DQY118" s="38"/>
      <c r="DRE118" s="36"/>
      <c r="DRF118" s="38"/>
      <c r="DRG118" s="38"/>
      <c r="DRM118" s="36"/>
      <c r="DRN118" s="38"/>
      <c r="DRO118" s="38"/>
      <c r="DRU118" s="36"/>
      <c r="DRV118" s="38"/>
      <c r="DRW118" s="38"/>
      <c r="DSC118" s="36"/>
      <c r="DSD118" s="38"/>
      <c r="DSE118" s="38"/>
      <c r="DSK118" s="36"/>
      <c r="DSL118" s="38"/>
      <c r="DSM118" s="38"/>
      <c r="DSS118" s="36"/>
      <c r="DST118" s="38"/>
      <c r="DSU118" s="38"/>
      <c r="DTA118" s="36"/>
      <c r="DTB118" s="38"/>
      <c r="DTC118" s="38"/>
      <c r="DTI118" s="36"/>
      <c r="DTJ118" s="38"/>
      <c r="DTK118" s="38"/>
      <c r="DTQ118" s="36"/>
      <c r="DTR118" s="38"/>
      <c r="DTS118" s="38"/>
      <c r="DTY118" s="36"/>
      <c r="DTZ118" s="38"/>
      <c r="DUA118" s="38"/>
      <c r="DUG118" s="36"/>
      <c r="DUH118" s="38"/>
      <c r="DUI118" s="38"/>
      <c r="DUO118" s="36"/>
      <c r="DUP118" s="38"/>
      <c r="DUQ118" s="38"/>
      <c r="DUW118" s="36"/>
      <c r="DUX118" s="38"/>
      <c r="DUY118" s="38"/>
      <c r="DVE118" s="36"/>
      <c r="DVF118" s="38"/>
      <c r="DVG118" s="38"/>
      <c r="DVM118" s="36"/>
      <c r="DVN118" s="38"/>
      <c r="DVO118" s="38"/>
      <c r="DVU118" s="36"/>
      <c r="DVV118" s="38"/>
      <c r="DVW118" s="38"/>
      <c r="DWC118" s="36"/>
      <c r="DWD118" s="38"/>
      <c r="DWE118" s="38"/>
      <c r="DWK118" s="36"/>
      <c r="DWL118" s="38"/>
      <c r="DWM118" s="38"/>
      <c r="DWS118" s="36"/>
      <c r="DWT118" s="38"/>
      <c r="DWU118" s="38"/>
      <c r="DXA118" s="36"/>
      <c r="DXB118" s="38"/>
      <c r="DXC118" s="38"/>
      <c r="DXI118" s="36"/>
      <c r="DXJ118" s="38"/>
      <c r="DXK118" s="38"/>
      <c r="DXQ118" s="36"/>
      <c r="DXR118" s="38"/>
      <c r="DXS118" s="38"/>
      <c r="DXY118" s="36"/>
      <c r="DXZ118" s="38"/>
      <c r="DYA118" s="38"/>
      <c r="DYG118" s="36"/>
      <c r="DYH118" s="38"/>
      <c r="DYI118" s="38"/>
      <c r="DYO118" s="36"/>
      <c r="DYP118" s="38"/>
      <c r="DYQ118" s="38"/>
      <c r="DYW118" s="36"/>
      <c r="DYX118" s="38"/>
      <c r="DYY118" s="38"/>
      <c r="DZE118" s="36"/>
      <c r="DZF118" s="38"/>
      <c r="DZG118" s="38"/>
      <c r="DZM118" s="36"/>
      <c r="DZN118" s="38"/>
      <c r="DZO118" s="38"/>
      <c r="DZU118" s="36"/>
      <c r="DZV118" s="38"/>
      <c r="DZW118" s="38"/>
      <c r="EAC118" s="36"/>
      <c r="EAD118" s="38"/>
      <c r="EAE118" s="38"/>
      <c r="EAK118" s="36"/>
      <c r="EAL118" s="38"/>
      <c r="EAM118" s="38"/>
      <c r="EAS118" s="36"/>
      <c r="EAT118" s="38"/>
      <c r="EAU118" s="38"/>
      <c r="EBA118" s="36"/>
      <c r="EBB118" s="38"/>
      <c r="EBC118" s="38"/>
      <c r="EBI118" s="36"/>
      <c r="EBJ118" s="38"/>
      <c r="EBK118" s="38"/>
      <c r="EBQ118" s="36"/>
      <c r="EBR118" s="38"/>
      <c r="EBS118" s="38"/>
      <c r="EBY118" s="36"/>
      <c r="EBZ118" s="38"/>
      <c r="ECA118" s="38"/>
      <c r="ECG118" s="36"/>
      <c r="ECH118" s="38"/>
      <c r="ECI118" s="38"/>
      <c r="ECO118" s="36"/>
      <c r="ECP118" s="38"/>
      <c r="ECQ118" s="38"/>
      <c r="ECW118" s="36"/>
      <c r="ECX118" s="38"/>
      <c r="ECY118" s="38"/>
      <c r="EDE118" s="36"/>
      <c r="EDF118" s="38"/>
      <c r="EDG118" s="38"/>
      <c r="EDM118" s="36"/>
      <c r="EDN118" s="38"/>
      <c r="EDO118" s="38"/>
      <c r="EDU118" s="36"/>
      <c r="EDV118" s="38"/>
      <c r="EDW118" s="38"/>
      <c r="EEC118" s="36"/>
      <c r="EED118" s="38"/>
      <c r="EEE118" s="38"/>
      <c r="EEK118" s="36"/>
      <c r="EEL118" s="38"/>
      <c r="EEM118" s="38"/>
      <c r="EES118" s="36"/>
      <c r="EET118" s="38"/>
      <c r="EEU118" s="38"/>
      <c r="EFA118" s="36"/>
      <c r="EFB118" s="38"/>
      <c r="EFC118" s="38"/>
      <c r="EFI118" s="36"/>
      <c r="EFJ118" s="38"/>
      <c r="EFK118" s="38"/>
      <c r="EFQ118" s="36"/>
      <c r="EFR118" s="38"/>
      <c r="EFS118" s="38"/>
      <c r="EFY118" s="36"/>
      <c r="EFZ118" s="38"/>
      <c r="EGA118" s="38"/>
      <c r="EGG118" s="36"/>
      <c r="EGH118" s="38"/>
      <c r="EGI118" s="38"/>
      <c r="EGO118" s="36"/>
      <c r="EGP118" s="38"/>
      <c r="EGQ118" s="38"/>
      <c r="EGW118" s="36"/>
      <c r="EGX118" s="38"/>
      <c r="EGY118" s="38"/>
      <c r="EHE118" s="36"/>
      <c r="EHF118" s="38"/>
      <c r="EHG118" s="38"/>
      <c r="EHM118" s="36"/>
      <c r="EHN118" s="38"/>
      <c r="EHO118" s="38"/>
      <c r="EHU118" s="36"/>
      <c r="EHV118" s="38"/>
      <c r="EHW118" s="38"/>
      <c r="EIC118" s="36"/>
      <c r="EID118" s="38"/>
      <c r="EIE118" s="38"/>
      <c r="EIK118" s="36"/>
      <c r="EIL118" s="38"/>
      <c r="EIM118" s="38"/>
      <c r="EIS118" s="36"/>
      <c r="EIT118" s="38"/>
      <c r="EIU118" s="38"/>
      <c r="EJA118" s="36"/>
      <c r="EJB118" s="38"/>
      <c r="EJC118" s="38"/>
      <c r="EJI118" s="36"/>
      <c r="EJJ118" s="38"/>
      <c r="EJK118" s="38"/>
      <c r="EJQ118" s="36"/>
      <c r="EJR118" s="38"/>
      <c r="EJS118" s="38"/>
      <c r="EJY118" s="36"/>
      <c r="EJZ118" s="38"/>
      <c r="EKA118" s="38"/>
      <c r="EKG118" s="36"/>
      <c r="EKH118" s="38"/>
      <c r="EKI118" s="38"/>
      <c r="EKO118" s="36"/>
      <c r="EKP118" s="38"/>
      <c r="EKQ118" s="38"/>
      <c r="EKW118" s="36"/>
      <c r="EKX118" s="38"/>
      <c r="EKY118" s="38"/>
      <c r="ELE118" s="36"/>
      <c r="ELF118" s="38"/>
      <c r="ELG118" s="38"/>
      <c r="ELM118" s="36"/>
      <c r="ELN118" s="38"/>
      <c r="ELO118" s="38"/>
      <c r="ELU118" s="36"/>
      <c r="ELV118" s="38"/>
      <c r="ELW118" s="38"/>
      <c r="EMC118" s="36"/>
      <c r="EMD118" s="38"/>
      <c r="EME118" s="38"/>
      <c r="EMK118" s="36"/>
      <c r="EML118" s="38"/>
      <c r="EMM118" s="38"/>
      <c r="EMS118" s="36"/>
      <c r="EMT118" s="38"/>
      <c r="EMU118" s="38"/>
      <c r="ENA118" s="36"/>
      <c r="ENB118" s="38"/>
      <c r="ENC118" s="38"/>
      <c r="ENI118" s="36"/>
      <c r="ENJ118" s="38"/>
      <c r="ENK118" s="38"/>
      <c r="ENQ118" s="36"/>
      <c r="ENR118" s="38"/>
      <c r="ENS118" s="38"/>
      <c r="ENY118" s="36"/>
      <c r="ENZ118" s="38"/>
      <c r="EOA118" s="38"/>
      <c r="EOG118" s="36"/>
      <c r="EOH118" s="38"/>
      <c r="EOI118" s="38"/>
      <c r="EOO118" s="36"/>
      <c r="EOP118" s="38"/>
      <c r="EOQ118" s="38"/>
      <c r="EOW118" s="36"/>
      <c r="EOX118" s="38"/>
      <c r="EOY118" s="38"/>
      <c r="EPE118" s="36"/>
      <c r="EPF118" s="38"/>
      <c r="EPG118" s="38"/>
      <c r="EPM118" s="36"/>
      <c r="EPN118" s="38"/>
      <c r="EPO118" s="38"/>
      <c r="EPU118" s="36"/>
      <c r="EPV118" s="38"/>
      <c r="EPW118" s="38"/>
      <c r="EQC118" s="36"/>
      <c r="EQD118" s="38"/>
      <c r="EQE118" s="38"/>
      <c r="EQK118" s="36"/>
      <c r="EQL118" s="38"/>
      <c r="EQM118" s="38"/>
      <c r="EQS118" s="36"/>
      <c r="EQT118" s="38"/>
      <c r="EQU118" s="38"/>
      <c r="ERA118" s="36"/>
      <c r="ERB118" s="38"/>
      <c r="ERC118" s="38"/>
      <c r="ERI118" s="36"/>
      <c r="ERJ118" s="38"/>
      <c r="ERK118" s="38"/>
      <c r="ERQ118" s="36"/>
      <c r="ERR118" s="38"/>
      <c r="ERS118" s="38"/>
      <c r="ERY118" s="36"/>
      <c r="ERZ118" s="38"/>
      <c r="ESA118" s="38"/>
      <c r="ESG118" s="36"/>
      <c r="ESH118" s="38"/>
      <c r="ESI118" s="38"/>
      <c r="ESO118" s="36"/>
      <c r="ESP118" s="38"/>
      <c r="ESQ118" s="38"/>
      <c r="ESW118" s="36"/>
      <c r="ESX118" s="38"/>
      <c r="ESY118" s="38"/>
      <c r="ETE118" s="36"/>
      <c r="ETF118" s="38"/>
      <c r="ETG118" s="38"/>
      <c r="ETM118" s="36"/>
      <c r="ETN118" s="38"/>
      <c r="ETO118" s="38"/>
      <c r="ETU118" s="36"/>
      <c r="ETV118" s="38"/>
      <c r="ETW118" s="38"/>
      <c r="EUC118" s="36"/>
      <c r="EUD118" s="38"/>
      <c r="EUE118" s="38"/>
      <c r="EUK118" s="36"/>
      <c r="EUL118" s="38"/>
      <c r="EUM118" s="38"/>
      <c r="EUS118" s="36"/>
      <c r="EUT118" s="38"/>
      <c r="EUU118" s="38"/>
      <c r="EVA118" s="36"/>
      <c r="EVB118" s="38"/>
      <c r="EVC118" s="38"/>
      <c r="EVI118" s="36"/>
      <c r="EVJ118" s="38"/>
      <c r="EVK118" s="38"/>
      <c r="EVQ118" s="36"/>
      <c r="EVR118" s="38"/>
      <c r="EVS118" s="38"/>
      <c r="EVY118" s="36"/>
      <c r="EVZ118" s="38"/>
      <c r="EWA118" s="38"/>
      <c r="EWG118" s="36"/>
      <c r="EWH118" s="38"/>
      <c r="EWI118" s="38"/>
      <c r="EWO118" s="36"/>
      <c r="EWP118" s="38"/>
      <c r="EWQ118" s="38"/>
      <c r="EWW118" s="36"/>
      <c r="EWX118" s="38"/>
      <c r="EWY118" s="38"/>
      <c r="EXE118" s="36"/>
      <c r="EXF118" s="38"/>
      <c r="EXG118" s="38"/>
      <c r="EXM118" s="36"/>
      <c r="EXN118" s="38"/>
      <c r="EXO118" s="38"/>
      <c r="EXU118" s="36"/>
      <c r="EXV118" s="38"/>
      <c r="EXW118" s="38"/>
      <c r="EYC118" s="36"/>
      <c r="EYD118" s="38"/>
      <c r="EYE118" s="38"/>
      <c r="EYK118" s="36"/>
      <c r="EYL118" s="38"/>
      <c r="EYM118" s="38"/>
      <c r="EYS118" s="36"/>
      <c r="EYT118" s="38"/>
      <c r="EYU118" s="38"/>
      <c r="EZA118" s="36"/>
      <c r="EZB118" s="38"/>
      <c r="EZC118" s="38"/>
      <c r="EZI118" s="36"/>
      <c r="EZJ118" s="38"/>
      <c r="EZK118" s="38"/>
      <c r="EZQ118" s="36"/>
      <c r="EZR118" s="38"/>
      <c r="EZS118" s="38"/>
      <c r="EZY118" s="36"/>
      <c r="EZZ118" s="38"/>
      <c r="FAA118" s="38"/>
      <c r="FAG118" s="36"/>
      <c r="FAH118" s="38"/>
      <c r="FAI118" s="38"/>
      <c r="FAO118" s="36"/>
      <c r="FAP118" s="38"/>
      <c r="FAQ118" s="38"/>
      <c r="FAW118" s="36"/>
      <c r="FAX118" s="38"/>
      <c r="FAY118" s="38"/>
      <c r="FBE118" s="36"/>
      <c r="FBF118" s="38"/>
      <c r="FBG118" s="38"/>
      <c r="FBM118" s="36"/>
      <c r="FBN118" s="38"/>
      <c r="FBO118" s="38"/>
      <c r="FBU118" s="36"/>
      <c r="FBV118" s="38"/>
      <c r="FBW118" s="38"/>
      <c r="FCC118" s="36"/>
      <c r="FCD118" s="38"/>
      <c r="FCE118" s="38"/>
      <c r="FCK118" s="36"/>
      <c r="FCL118" s="38"/>
      <c r="FCM118" s="38"/>
      <c r="FCS118" s="36"/>
      <c r="FCT118" s="38"/>
      <c r="FCU118" s="38"/>
      <c r="FDA118" s="36"/>
      <c r="FDB118" s="38"/>
      <c r="FDC118" s="38"/>
      <c r="FDI118" s="36"/>
      <c r="FDJ118" s="38"/>
      <c r="FDK118" s="38"/>
      <c r="FDQ118" s="36"/>
      <c r="FDR118" s="38"/>
      <c r="FDS118" s="38"/>
      <c r="FDY118" s="36"/>
      <c r="FDZ118" s="38"/>
      <c r="FEA118" s="38"/>
      <c r="FEG118" s="36"/>
      <c r="FEH118" s="38"/>
      <c r="FEI118" s="38"/>
      <c r="FEO118" s="36"/>
      <c r="FEP118" s="38"/>
      <c r="FEQ118" s="38"/>
      <c r="FEW118" s="36"/>
      <c r="FEX118" s="38"/>
      <c r="FEY118" s="38"/>
      <c r="FFE118" s="36"/>
      <c r="FFF118" s="38"/>
      <c r="FFG118" s="38"/>
      <c r="FFM118" s="36"/>
      <c r="FFN118" s="38"/>
      <c r="FFO118" s="38"/>
      <c r="FFU118" s="36"/>
      <c r="FFV118" s="38"/>
      <c r="FFW118" s="38"/>
      <c r="FGC118" s="36"/>
      <c r="FGD118" s="38"/>
      <c r="FGE118" s="38"/>
      <c r="FGK118" s="36"/>
      <c r="FGL118" s="38"/>
      <c r="FGM118" s="38"/>
      <c r="FGS118" s="36"/>
      <c r="FGT118" s="38"/>
      <c r="FGU118" s="38"/>
      <c r="FHA118" s="36"/>
      <c r="FHB118" s="38"/>
      <c r="FHC118" s="38"/>
      <c r="FHI118" s="36"/>
      <c r="FHJ118" s="38"/>
      <c r="FHK118" s="38"/>
      <c r="FHQ118" s="36"/>
      <c r="FHR118" s="38"/>
      <c r="FHS118" s="38"/>
      <c r="FHY118" s="36"/>
      <c r="FHZ118" s="38"/>
      <c r="FIA118" s="38"/>
      <c r="FIG118" s="36"/>
      <c r="FIH118" s="38"/>
      <c r="FII118" s="38"/>
      <c r="FIO118" s="36"/>
      <c r="FIP118" s="38"/>
      <c r="FIQ118" s="38"/>
      <c r="FIW118" s="36"/>
      <c r="FIX118" s="38"/>
      <c r="FIY118" s="38"/>
      <c r="FJE118" s="36"/>
      <c r="FJF118" s="38"/>
      <c r="FJG118" s="38"/>
      <c r="FJM118" s="36"/>
      <c r="FJN118" s="38"/>
      <c r="FJO118" s="38"/>
      <c r="FJU118" s="36"/>
      <c r="FJV118" s="38"/>
      <c r="FJW118" s="38"/>
      <c r="FKC118" s="36"/>
      <c r="FKD118" s="38"/>
      <c r="FKE118" s="38"/>
      <c r="FKK118" s="36"/>
      <c r="FKL118" s="38"/>
      <c r="FKM118" s="38"/>
      <c r="FKS118" s="36"/>
      <c r="FKT118" s="38"/>
      <c r="FKU118" s="38"/>
      <c r="FLA118" s="36"/>
      <c r="FLB118" s="38"/>
      <c r="FLC118" s="38"/>
      <c r="FLI118" s="36"/>
      <c r="FLJ118" s="38"/>
      <c r="FLK118" s="38"/>
      <c r="FLQ118" s="36"/>
      <c r="FLR118" s="38"/>
      <c r="FLS118" s="38"/>
      <c r="FLY118" s="36"/>
      <c r="FLZ118" s="38"/>
      <c r="FMA118" s="38"/>
      <c r="FMG118" s="36"/>
      <c r="FMH118" s="38"/>
      <c r="FMI118" s="38"/>
      <c r="FMO118" s="36"/>
      <c r="FMP118" s="38"/>
      <c r="FMQ118" s="38"/>
      <c r="FMW118" s="36"/>
      <c r="FMX118" s="38"/>
      <c r="FMY118" s="38"/>
      <c r="FNE118" s="36"/>
      <c r="FNF118" s="38"/>
      <c r="FNG118" s="38"/>
      <c r="FNM118" s="36"/>
      <c r="FNN118" s="38"/>
      <c r="FNO118" s="38"/>
      <c r="FNU118" s="36"/>
      <c r="FNV118" s="38"/>
      <c r="FNW118" s="38"/>
      <c r="FOC118" s="36"/>
      <c r="FOD118" s="38"/>
      <c r="FOE118" s="38"/>
      <c r="FOK118" s="36"/>
      <c r="FOL118" s="38"/>
      <c r="FOM118" s="38"/>
      <c r="FOS118" s="36"/>
      <c r="FOT118" s="38"/>
      <c r="FOU118" s="38"/>
      <c r="FPA118" s="36"/>
      <c r="FPB118" s="38"/>
      <c r="FPC118" s="38"/>
      <c r="FPI118" s="36"/>
      <c r="FPJ118" s="38"/>
      <c r="FPK118" s="38"/>
      <c r="FPQ118" s="36"/>
      <c r="FPR118" s="38"/>
      <c r="FPS118" s="38"/>
      <c r="FPY118" s="36"/>
      <c r="FPZ118" s="38"/>
      <c r="FQA118" s="38"/>
      <c r="FQG118" s="36"/>
      <c r="FQH118" s="38"/>
      <c r="FQI118" s="38"/>
      <c r="FQO118" s="36"/>
      <c r="FQP118" s="38"/>
      <c r="FQQ118" s="38"/>
      <c r="FQW118" s="36"/>
      <c r="FQX118" s="38"/>
      <c r="FQY118" s="38"/>
      <c r="FRE118" s="36"/>
      <c r="FRF118" s="38"/>
      <c r="FRG118" s="38"/>
      <c r="FRM118" s="36"/>
      <c r="FRN118" s="38"/>
      <c r="FRO118" s="38"/>
      <c r="FRU118" s="36"/>
      <c r="FRV118" s="38"/>
      <c r="FRW118" s="38"/>
      <c r="FSC118" s="36"/>
      <c r="FSD118" s="38"/>
      <c r="FSE118" s="38"/>
      <c r="FSK118" s="36"/>
      <c r="FSL118" s="38"/>
      <c r="FSM118" s="38"/>
      <c r="FSS118" s="36"/>
      <c r="FST118" s="38"/>
      <c r="FSU118" s="38"/>
      <c r="FTA118" s="36"/>
      <c r="FTB118" s="38"/>
      <c r="FTC118" s="38"/>
      <c r="FTI118" s="36"/>
      <c r="FTJ118" s="38"/>
      <c r="FTK118" s="38"/>
      <c r="FTQ118" s="36"/>
      <c r="FTR118" s="38"/>
      <c r="FTS118" s="38"/>
      <c r="FTY118" s="36"/>
      <c r="FTZ118" s="38"/>
      <c r="FUA118" s="38"/>
      <c r="FUG118" s="36"/>
      <c r="FUH118" s="38"/>
      <c r="FUI118" s="38"/>
      <c r="FUO118" s="36"/>
      <c r="FUP118" s="38"/>
      <c r="FUQ118" s="38"/>
      <c r="FUW118" s="36"/>
      <c r="FUX118" s="38"/>
      <c r="FUY118" s="38"/>
      <c r="FVE118" s="36"/>
      <c r="FVF118" s="38"/>
      <c r="FVG118" s="38"/>
      <c r="FVM118" s="36"/>
      <c r="FVN118" s="38"/>
      <c r="FVO118" s="38"/>
      <c r="FVU118" s="36"/>
      <c r="FVV118" s="38"/>
      <c r="FVW118" s="38"/>
      <c r="FWC118" s="36"/>
      <c r="FWD118" s="38"/>
      <c r="FWE118" s="38"/>
      <c r="FWK118" s="36"/>
      <c r="FWL118" s="38"/>
      <c r="FWM118" s="38"/>
      <c r="FWS118" s="36"/>
      <c r="FWT118" s="38"/>
      <c r="FWU118" s="38"/>
      <c r="FXA118" s="36"/>
      <c r="FXB118" s="38"/>
      <c r="FXC118" s="38"/>
      <c r="FXI118" s="36"/>
      <c r="FXJ118" s="38"/>
      <c r="FXK118" s="38"/>
      <c r="FXQ118" s="36"/>
      <c r="FXR118" s="38"/>
      <c r="FXS118" s="38"/>
      <c r="FXY118" s="36"/>
      <c r="FXZ118" s="38"/>
      <c r="FYA118" s="38"/>
      <c r="FYG118" s="36"/>
      <c r="FYH118" s="38"/>
      <c r="FYI118" s="38"/>
      <c r="FYO118" s="36"/>
      <c r="FYP118" s="38"/>
      <c r="FYQ118" s="38"/>
      <c r="FYW118" s="36"/>
      <c r="FYX118" s="38"/>
      <c r="FYY118" s="38"/>
      <c r="FZE118" s="36"/>
      <c r="FZF118" s="38"/>
      <c r="FZG118" s="38"/>
      <c r="FZM118" s="36"/>
      <c r="FZN118" s="38"/>
      <c r="FZO118" s="38"/>
      <c r="FZU118" s="36"/>
      <c r="FZV118" s="38"/>
      <c r="FZW118" s="38"/>
      <c r="GAC118" s="36"/>
      <c r="GAD118" s="38"/>
      <c r="GAE118" s="38"/>
      <c r="GAK118" s="36"/>
      <c r="GAL118" s="38"/>
      <c r="GAM118" s="38"/>
      <c r="GAS118" s="36"/>
      <c r="GAT118" s="38"/>
      <c r="GAU118" s="38"/>
      <c r="GBA118" s="36"/>
      <c r="GBB118" s="38"/>
      <c r="GBC118" s="38"/>
      <c r="GBI118" s="36"/>
      <c r="GBJ118" s="38"/>
      <c r="GBK118" s="38"/>
      <c r="GBQ118" s="36"/>
      <c r="GBR118" s="38"/>
      <c r="GBS118" s="38"/>
      <c r="GBY118" s="36"/>
      <c r="GBZ118" s="38"/>
      <c r="GCA118" s="38"/>
      <c r="GCG118" s="36"/>
      <c r="GCH118" s="38"/>
      <c r="GCI118" s="38"/>
      <c r="GCO118" s="36"/>
      <c r="GCP118" s="38"/>
      <c r="GCQ118" s="38"/>
      <c r="GCW118" s="36"/>
      <c r="GCX118" s="38"/>
      <c r="GCY118" s="38"/>
      <c r="GDE118" s="36"/>
      <c r="GDF118" s="38"/>
      <c r="GDG118" s="38"/>
      <c r="GDM118" s="36"/>
      <c r="GDN118" s="38"/>
      <c r="GDO118" s="38"/>
      <c r="GDU118" s="36"/>
      <c r="GDV118" s="38"/>
      <c r="GDW118" s="38"/>
      <c r="GEC118" s="36"/>
      <c r="GED118" s="38"/>
      <c r="GEE118" s="38"/>
      <c r="GEK118" s="36"/>
      <c r="GEL118" s="38"/>
      <c r="GEM118" s="38"/>
      <c r="GES118" s="36"/>
      <c r="GET118" s="38"/>
      <c r="GEU118" s="38"/>
      <c r="GFA118" s="36"/>
      <c r="GFB118" s="38"/>
      <c r="GFC118" s="38"/>
      <c r="GFI118" s="36"/>
      <c r="GFJ118" s="38"/>
      <c r="GFK118" s="38"/>
      <c r="GFQ118" s="36"/>
      <c r="GFR118" s="38"/>
      <c r="GFS118" s="38"/>
      <c r="GFY118" s="36"/>
      <c r="GFZ118" s="38"/>
      <c r="GGA118" s="38"/>
      <c r="GGG118" s="36"/>
      <c r="GGH118" s="38"/>
      <c r="GGI118" s="38"/>
      <c r="GGO118" s="36"/>
      <c r="GGP118" s="38"/>
      <c r="GGQ118" s="38"/>
      <c r="GGW118" s="36"/>
      <c r="GGX118" s="38"/>
      <c r="GGY118" s="38"/>
      <c r="GHE118" s="36"/>
      <c r="GHF118" s="38"/>
      <c r="GHG118" s="38"/>
      <c r="GHM118" s="36"/>
      <c r="GHN118" s="38"/>
      <c r="GHO118" s="38"/>
      <c r="GHU118" s="36"/>
      <c r="GHV118" s="38"/>
      <c r="GHW118" s="38"/>
      <c r="GIC118" s="36"/>
      <c r="GID118" s="38"/>
      <c r="GIE118" s="38"/>
      <c r="GIK118" s="36"/>
      <c r="GIL118" s="38"/>
      <c r="GIM118" s="38"/>
      <c r="GIS118" s="36"/>
      <c r="GIT118" s="38"/>
      <c r="GIU118" s="38"/>
      <c r="GJA118" s="36"/>
      <c r="GJB118" s="38"/>
      <c r="GJC118" s="38"/>
      <c r="GJI118" s="36"/>
      <c r="GJJ118" s="38"/>
      <c r="GJK118" s="38"/>
      <c r="GJQ118" s="36"/>
      <c r="GJR118" s="38"/>
      <c r="GJS118" s="38"/>
      <c r="GJY118" s="36"/>
      <c r="GJZ118" s="38"/>
      <c r="GKA118" s="38"/>
      <c r="GKG118" s="36"/>
      <c r="GKH118" s="38"/>
      <c r="GKI118" s="38"/>
      <c r="GKO118" s="36"/>
      <c r="GKP118" s="38"/>
      <c r="GKQ118" s="38"/>
      <c r="GKW118" s="36"/>
      <c r="GKX118" s="38"/>
      <c r="GKY118" s="38"/>
      <c r="GLE118" s="36"/>
      <c r="GLF118" s="38"/>
      <c r="GLG118" s="38"/>
      <c r="GLM118" s="36"/>
      <c r="GLN118" s="38"/>
      <c r="GLO118" s="38"/>
      <c r="GLU118" s="36"/>
      <c r="GLV118" s="38"/>
      <c r="GLW118" s="38"/>
      <c r="GMC118" s="36"/>
      <c r="GMD118" s="38"/>
      <c r="GME118" s="38"/>
      <c r="GMK118" s="36"/>
      <c r="GML118" s="38"/>
      <c r="GMM118" s="38"/>
      <c r="GMS118" s="36"/>
      <c r="GMT118" s="38"/>
      <c r="GMU118" s="38"/>
      <c r="GNA118" s="36"/>
      <c r="GNB118" s="38"/>
      <c r="GNC118" s="38"/>
      <c r="GNI118" s="36"/>
      <c r="GNJ118" s="38"/>
      <c r="GNK118" s="38"/>
      <c r="GNQ118" s="36"/>
      <c r="GNR118" s="38"/>
      <c r="GNS118" s="38"/>
      <c r="GNY118" s="36"/>
      <c r="GNZ118" s="38"/>
      <c r="GOA118" s="38"/>
      <c r="GOG118" s="36"/>
      <c r="GOH118" s="38"/>
      <c r="GOI118" s="38"/>
      <c r="GOO118" s="36"/>
      <c r="GOP118" s="38"/>
      <c r="GOQ118" s="38"/>
      <c r="GOW118" s="36"/>
      <c r="GOX118" s="38"/>
      <c r="GOY118" s="38"/>
      <c r="GPE118" s="36"/>
      <c r="GPF118" s="38"/>
      <c r="GPG118" s="38"/>
      <c r="GPM118" s="36"/>
      <c r="GPN118" s="38"/>
      <c r="GPO118" s="38"/>
      <c r="GPU118" s="36"/>
      <c r="GPV118" s="38"/>
      <c r="GPW118" s="38"/>
      <c r="GQC118" s="36"/>
      <c r="GQD118" s="38"/>
      <c r="GQE118" s="38"/>
      <c r="GQK118" s="36"/>
      <c r="GQL118" s="38"/>
      <c r="GQM118" s="38"/>
      <c r="GQS118" s="36"/>
      <c r="GQT118" s="38"/>
      <c r="GQU118" s="38"/>
      <c r="GRA118" s="36"/>
      <c r="GRB118" s="38"/>
      <c r="GRC118" s="38"/>
      <c r="GRI118" s="36"/>
      <c r="GRJ118" s="38"/>
      <c r="GRK118" s="38"/>
      <c r="GRQ118" s="36"/>
      <c r="GRR118" s="38"/>
      <c r="GRS118" s="38"/>
      <c r="GRY118" s="36"/>
      <c r="GRZ118" s="38"/>
      <c r="GSA118" s="38"/>
      <c r="GSG118" s="36"/>
      <c r="GSH118" s="38"/>
      <c r="GSI118" s="38"/>
      <c r="GSO118" s="36"/>
      <c r="GSP118" s="38"/>
      <c r="GSQ118" s="38"/>
      <c r="GSW118" s="36"/>
      <c r="GSX118" s="38"/>
      <c r="GSY118" s="38"/>
      <c r="GTE118" s="36"/>
      <c r="GTF118" s="38"/>
      <c r="GTG118" s="38"/>
      <c r="GTM118" s="36"/>
      <c r="GTN118" s="38"/>
      <c r="GTO118" s="38"/>
      <c r="GTU118" s="36"/>
      <c r="GTV118" s="38"/>
      <c r="GTW118" s="38"/>
      <c r="GUC118" s="36"/>
      <c r="GUD118" s="38"/>
      <c r="GUE118" s="38"/>
      <c r="GUK118" s="36"/>
      <c r="GUL118" s="38"/>
      <c r="GUM118" s="38"/>
      <c r="GUS118" s="36"/>
      <c r="GUT118" s="38"/>
      <c r="GUU118" s="38"/>
      <c r="GVA118" s="36"/>
      <c r="GVB118" s="38"/>
      <c r="GVC118" s="38"/>
      <c r="GVI118" s="36"/>
      <c r="GVJ118" s="38"/>
      <c r="GVK118" s="38"/>
      <c r="GVQ118" s="36"/>
      <c r="GVR118" s="38"/>
      <c r="GVS118" s="38"/>
      <c r="GVY118" s="36"/>
      <c r="GVZ118" s="38"/>
      <c r="GWA118" s="38"/>
      <c r="GWG118" s="36"/>
      <c r="GWH118" s="38"/>
      <c r="GWI118" s="38"/>
      <c r="GWO118" s="36"/>
      <c r="GWP118" s="38"/>
      <c r="GWQ118" s="38"/>
      <c r="GWW118" s="36"/>
      <c r="GWX118" s="38"/>
      <c r="GWY118" s="38"/>
      <c r="GXE118" s="36"/>
      <c r="GXF118" s="38"/>
      <c r="GXG118" s="38"/>
      <c r="GXM118" s="36"/>
      <c r="GXN118" s="38"/>
      <c r="GXO118" s="38"/>
      <c r="GXU118" s="36"/>
      <c r="GXV118" s="38"/>
      <c r="GXW118" s="38"/>
      <c r="GYC118" s="36"/>
      <c r="GYD118" s="38"/>
      <c r="GYE118" s="38"/>
      <c r="GYK118" s="36"/>
      <c r="GYL118" s="38"/>
      <c r="GYM118" s="38"/>
      <c r="GYS118" s="36"/>
      <c r="GYT118" s="38"/>
      <c r="GYU118" s="38"/>
      <c r="GZA118" s="36"/>
      <c r="GZB118" s="38"/>
      <c r="GZC118" s="38"/>
      <c r="GZI118" s="36"/>
      <c r="GZJ118" s="38"/>
      <c r="GZK118" s="38"/>
      <c r="GZQ118" s="36"/>
      <c r="GZR118" s="38"/>
      <c r="GZS118" s="38"/>
      <c r="GZY118" s="36"/>
      <c r="GZZ118" s="38"/>
      <c r="HAA118" s="38"/>
      <c r="HAG118" s="36"/>
      <c r="HAH118" s="38"/>
      <c r="HAI118" s="38"/>
      <c r="HAO118" s="36"/>
      <c r="HAP118" s="38"/>
      <c r="HAQ118" s="38"/>
      <c r="HAW118" s="36"/>
      <c r="HAX118" s="38"/>
      <c r="HAY118" s="38"/>
      <c r="HBE118" s="36"/>
      <c r="HBF118" s="38"/>
      <c r="HBG118" s="38"/>
      <c r="HBM118" s="36"/>
      <c r="HBN118" s="38"/>
      <c r="HBO118" s="38"/>
      <c r="HBU118" s="36"/>
      <c r="HBV118" s="38"/>
      <c r="HBW118" s="38"/>
      <c r="HCC118" s="36"/>
      <c r="HCD118" s="38"/>
      <c r="HCE118" s="38"/>
      <c r="HCK118" s="36"/>
      <c r="HCL118" s="38"/>
      <c r="HCM118" s="38"/>
      <c r="HCS118" s="36"/>
      <c r="HCT118" s="38"/>
      <c r="HCU118" s="38"/>
      <c r="HDA118" s="36"/>
      <c r="HDB118" s="38"/>
      <c r="HDC118" s="38"/>
      <c r="HDI118" s="36"/>
      <c r="HDJ118" s="38"/>
      <c r="HDK118" s="38"/>
      <c r="HDQ118" s="36"/>
      <c r="HDR118" s="38"/>
      <c r="HDS118" s="38"/>
      <c r="HDY118" s="36"/>
      <c r="HDZ118" s="38"/>
      <c r="HEA118" s="38"/>
      <c r="HEG118" s="36"/>
      <c r="HEH118" s="38"/>
      <c r="HEI118" s="38"/>
      <c r="HEO118" s="36"/>
      <c r="HEP118" s="38"/>
      <c r="HEQ118" s="38"/>
      <c r="HEW118" s="36"/>
      <c r="HEX118" s="38"/>
      <c r="HEY118" s="38"/>
      <c r="HFE118" s="36"/>
      <c r="HFF118" s="38"/>
      <c r="HFG118" s="38"/>
      <c r="HFM118" s="36"/>
      <c r="HFN118" s="38"/>
      <c r="HFO118" s="38"/>
      <c r="HFU118" s="36"/>
      <c r="HFV118" s="38"/>
      <c r="HFW118" s="38"/>
      <c r="HGC118" s="36"/>
      <c r="HGD118" s="38"/>
      <c r="HGE118" s="38"/>
      <c r="HGK118" s="36"/>
      <c r="HGL118" s="38"/>
      <c r="HGM118" s="38"/>
      <c r="HGS118" s="36"/>
      <c r="HGT118" s="38"/>
      <c r="HGU118" s="38"/>
      <c r="HHA118" s="36"/>
      <c r="HHB118" s="38"/>
      <c r="HHC118" s="38"/>
      <c r="HHI118" s="36"/>
      <c r="HHJ118" s="38"/>
      <c r="HHK118" s="38"/>
      <c r="HHQ118" s="36"/>
      <c r="HHR118" s="38"/>
      <c r="HHS118" s="38"/>
      <c r="HHY118" s="36"/>
      <c r="HHZ118" s="38"/>
      <c r="HIA118" s="38"/>
      <c r="HIG118" s="36"/>
      <c r="HIH118" s="38"/>
      <c r="HII118" s="38"/>
      <c r="HIO118" s="36"/>
      <c r="HIP118" s="38"/>
      <c r="HIQ118" s="38"/>
      <c r="HIW118" s="36"/>
      <c r="HIX118" s="38"/>
      <c r="HIY118" s="38"/>
      <c r="HJE118" s="36"/>
      <c r="HJF118" s="38"/>
      <c r="HJG118" s="38"/>
      <c r="HJM118" s="36"/>
      <c r="HJN118" s="38"/>
      <c r="HJO118" s="38"/>
      <c r="HJU118" s="36"/>
      <c r="HJV118" s="38"/>
      <c r="HJW118" s="38"/>
      <c r="HKC118" s="36"/>
      <c r="HKD118" s="38"/>
      <c r="HKE118" s="38"/>
      <c r="HKK118" s="36"/>
      <c r="HKL118" s="38"/>
      <c r="HKM118" s="38"/>
      <c r="HKS118" s="36"/>
      <c r="HKT118" s="38"/>
      <c r="HKU118" s="38"/>
      <c r="HLA118" s="36"/>
      <c r="HLB118" s="38"/>
      <c r="HLC118" s="38"/>
      <c r="HLI118" s="36"/>
      <c r="HLJ118" s="38"/>
      <c r="HLK118" s="38"/>
      <c r="HLQ118" s="36"/>
      <c r="HLR118" s="38"/>
      <c r="HLS118" s="38"/>
      <c r="HLY118" s="36"/>
      <c r="HLZ118" s="38"/>
      <c r="HMA118" s="38"/>
      <c r="HMG118" s="36"/>
      <c r="HMH118" s="38"/>
      <c r="HMI118" s="38"/>
      <c r="HMO118" s="36"/>
      <c r="HMP118" s="38"/>
      <c r="HMQ118" s="38"/>
      <c r="HMW118" s="36"/>
      <c r="HMX118" s="38"/>
      <c r="HMY118" s="38"/>
      <c r="HNE118" s="36"/>
      <c r="HNF118" s="38"/>
      <c r="HNG118" s="38"/>
      <c r="HNM118" s="36"/>
      <c r="HNN118" s="38"/>
      <c r="HNO118" s="38"/>
      <c r="HNU118" s="36"/>
      <c r="HNV118" s="38"/>
      <c r="HNW118" s="38"/>
      <c r="HOC118" s="36"/>
      <c r="HOD118" s="38"/>
      <c r="HOE118" s="38"/>
      <c r="HOK118" s="36"/>
      <c r="HOL118" s="38"/>
      <c r="HOM118" s="38"/>
      <c r="HOS118" s="36"/>
      <c r="HOT118" s="38"/>
      <c r="HOU118" s="38"/>
      <c r="HPA118" s="36"/>
      <c r="HPB118" s="38"/>
      <c r="HPC118" s="38"/>
      <c r="HPI118" s="36"/>
      <c r="HPJ118" s="38"/>
      <c r="HPK118" s="38"/>
      <c r="HPQ118" s="36"/>
      <c r="HPR118" s="38"/>
      <c r="HPS118" s="38"/>
      <c r="HPY118" s="36"/>
      <c r="HPZ118" s="38"/>
      <c r="HQA118" s="38"/>
      <c r="HQG118" s="36"/>
      <c r="HQH118" s="38"/>
      <c r="HQI118" s="38"/>
      <c r="HQO118" s="36"/>
      <c r="HQP118" s="38"/>
      <c r="HQQ118" s="38"/>
      <c r="HQW118" s="36"/>
      <c r="HQX118" s="38"/>
      <c r="HQY118" s="38"/>
      <c r="HRE118" s="36"/>
      <c r="HRF118" s="38"/>
      <c r="HRG118" s="38"/>
      <c r="HRM118" s="36"/>
      <c r="HRN118" s="38"/>
      <c r="HRO118" s="38"/>
      <c r="HRU118" s="36"/>
      <c r="HRV118" s="38"/>
      <c r="HRW118" s="38"/>
      <c r="HSC118" s="36"/>
      <c r="HSD118" s="38"/>
      <c r="HSE118" s="38"/>
      <c r="HSK118" s="36"/>
      <c r="HSL118" s="38"/>
      <c r="HSM118" s="38"/>
      <c r="HSS118" s="36"/>
      <c r="HST118" s="38"/>
      <c r="HSU118" s="38"/>
      <c r="HTA118" s="36"/>
      <c r="HTB118" s="38"/>
      <c r="HTC118" s="38"/>
      <c r="HTI118" s="36"/>
      <c r="HTJ118" s="38"/>
      <c r="HTK118" s="38"/>
      <c r="HTQ118" s="36"/>
      <c r="HTR118" s="38"/>
      <c r="HTS118" s="38"/>
      <c r="HTY118" s="36"/>
      <c r="HTZ118" s="38"/>
      <c r="HUA118" s="38"/>
      <c r="HUG118" s="36"/>
      <c r="HUH118" s="38"/>
      <c r="HUI118" s="38"/>
      <c r="HUO118" s="36"/>
      <c r="HUP118" s="38"/>
      <c r="HUQ118" s="38"/>
      <c r="HUW118" s="36"/>
      <c r="HUX118" s="38"/>
      <c r="HUY118" s="38"/>
      <c r="HVE118" s="36"/>
      <c r="HVF118" s="38"/>
      <c r="HVG118" s="38"/>
      <c r="HVM118" s="36"/>
      <c r="HVN118" s="38"/>
      <c r="HVO118" s="38"/>
      <c r="HVU118" s="36"/>
      <c r="HVV118" s="38"/>
      <c r="HVW118" s="38"/>
      <c r="HWC118" s="36"/>
      <c r="HWD118" s="38"/>
      <c r="HWE118" s="38"/>
      <c r="HWK118" s="36"/>
      <c r="HWL118" s="38"/>
      <c r="HWM118" s="38"/>
      <c r="HWS118" s="36"/>
      <c r="HWT118" s="38"/>
      <c r="HWU118" s="38"/>
      <c r="HXA118" s="36"/>
      <c r="HXB118" s="38"/>
      <c r="HXC118" s="38"/>
      <c r="HXI118" s="36"/>
      <c r="HXJ118" s="38"/>
      <c r="HXK118" s="38"/>
      <c r="HXQ118" s="36"/>
      <c r="HXR118" s="38"/>
      <c r="HXS118" s="38"/>
      <c r="HXY118" s="36"/>
      <c r="HXZ118" s="38"/>
      <c r="HYA118" s="38"/>
      <c r="HYG118" s="36"/>
      <c r="HYH118" s="38"/>
      <c r="HYI118" s="38"/>
      <c r="HYO118" s="36"/>
      <c r="HYP118" s="38"/>
      <c r="HYQ118" s="38"/>
      <c r="HYW118" s="36"/>
      <c r="HYX118" s="38"/>
      <c r="HYY118" s="38"/>
      <c r="HZE118" s="36"/>
      <c r="HZF118" s="38"/>
      <c r="HZG118" s="38"/>
      <c r="HZM118" s="36"/>
      <c r="HZN118" s="38"/>
      <c r="HZO118" s="38"/>
      <c r="HZU118" s="36"/>
      <c r="HZV118" s="38"/>
      <c r="HZW118" s="38"/>
      <c r="IAC118" s="36"/>
      <c r="IAD118" s="38"/>
      <c r="IAE118" s="38"/>
      <c r="IAK118" s="36"/>
      <c r="IAL118" s="38"/>
      <c r="IAM118" s="38"/>
      <c r="IAS118" s="36"/>
      <c r="IAT118" s="38"/>
      <c r="IAU118" s="38"/>
      <c r="IBA118" s="36"/>
      <c r="IBB118" s="38"/>
      <c r="IBC118" s="38"/>
      <c r="IBI118" s="36"/>
      <c r="IBJ118" s="38"/>
      <c r="IBK118" s="38"/>
      <c r="IBQ118" s="36"/>
      <c r="IBR118" s="38"/>
      <c r="IBS118" s="38"/>
      <c r="IBY118" s="36"/>
      <c r="IBZ118" s="38"/>
      <c r="ICA118" s="38"/>
      <c r="ICG118" s="36"/>
      <c r="ICH118" s="38"/>
      <c r="ICI118" s="38"/>
      <c r="ICO118" s="36"/>
      <c r="ICP118" s="38"/>
      <c r="ICQ118" s="38"/>
      <c r="ICW118" s="36"/>
      <c r="ICX118" s="38"/>
      <c r="ICY118" s="38"/>
      <c r="IDE118" s="36"/>
      <c r="IDF118" s="38"/>
      <c r="IDG118" s="38"/>
      <c r="IDM118" s="36"/>
      <c r="IDN118" s="38"/>
      <c r="IDO118" s="38"/>
      <c r="IDU118" s="36"/>
      <c r="IDV118" s="38"/>
      <c r="IDW118" s="38"/>
      <c r="IEC118" s="36"/>
      <c r="IED118" s="38"/>
      <c r="IEE118" s="38"/>
      <c r="IEK118" s="36"/>
      <c r="IEL118" s="38"/>
      <c r="IEM118" s="38"/>
      <c r="IES118" s="36"/>
      <c r="IET118" s="38"/>
      <c r="IEU118" s="38"/>
      <c r="IFA118" s="36"/>
      <c r="IFB118" s="38"/>
      <c r="IFC118" s="38"/>
      <c r="IFI118" s="36"/>
      <c r="IFJ118" s="38"/>
      <c r="IFK118" s="38"/>
      <c r="IFQ118" s="36"/>
      <c r="IFR118" s="38"/>
      <c r="IFS118" s="38"/>
      <c r="IFY118" s="36"/>
      <c r="IFZ118" s="38"/>
      <c r="IGA118" s="38"/>
      <c r="IGG118" s="36"/>
      <c r="IGH118" s="38"/>
      <c r="IGI118" s="38"/>
      <c r="IGO118" s="36"/>
      <c r="IGP118" s="38"/>
      <c r="IGQ118" s="38"/>
      <c r="IGW118" s="36"/>
      <c r="IGX118" s="38"/>
      <c r="IGY118" s="38"/>
      <c r="IHE118" s="36"/>
      <c r="IHF118" s="38"/>
      <c r="IHG118" s="38"/>
      <c r="IHM118" s="36"/>
      <c r="IHN118" s="38"/>
      <c r="IHO118" s="38"/>
      <c r="IHU118" s="36"/>
      <c r="IHV118" s="38"/>
      <c r="IHW118" s="38"/>
      <c r="IIC118" s="36"/>
      <c r="IID118" s="38"/>
      <c r="IIE118" s="38"/>
      <c r="IIK118" s="36"/>
      <c r="IIL118" s="38"/>
      <c r="IIM118" s="38"/>
      <c r="IIS118" s="36"/>
      <c r="IIT118" s="38"/>
      <c r="IIU118" s="38"/>
      <c r="IJA118" s="36"/>
      <c r="IJB118" s="38"/>
      <c r="IJC118" s="38"/>
      <c r="IJI118" s="36"/>
      <c r="IJJ118" s="38"/>
      <c r="IJK118" s="38"/>
      <c r="IJQ118" s="36"/>
      <c r="IJR118" s="38"/>
      <c r="IJS118" s="38"/>
      <c r="IJY118" s="36"/>
      <c r="IJZ118" s="38"/>
      <c r="IKA118" s="38"/>
      <c r="IKG118" s="36"/>
      <c r="IKH118" s="38"/>
      <c r="IKI118" s="38"/>
      <c r="IKO118" s="36"/>
      <c r="IKP118" s="38"/>
      <c r="IKQ118" s="38"/>
      <c r="IKW118" s="36"/>
      <c r="IKX118" s="38"/>
      <c r="IKY118" s="38"/>
      <c r="ILE118" s="36"/>
      <c r="ILF118" s="38"/>
      <c r="ILG118" s="38"/>
      <c r="ILM118" s="36"/>
      <c r="ILN118" s="38"/>
      <c r="ILO118" s="38"/>
      <c r="ILU118" s="36"/>
      <c r="ILV118" s="38"/>
      <c r="ILW118" s="38"/>
      <c r="IMC118" s="36"/>
      <c r="IMD118" s="38"/>
      <c r="IME118" s="38"/>
      <c r="IMK118" s="36"/>
      <c r="IML118" s="38"/>
      <c r="IMM118" s="38"/>
      <c r="IMS118" s="36"/>
      <c r="IMT118" s="38"/>
      <c r="IMU118" s="38"/>
      <c r="INA118" s="36"/>
      <c r="INB118" s="38"/>
      <c r="INC118" s="38"/>
      <c r="INI118" s="36"/>
      <c r="INJ118" s="38"/>
      <c r="INK118" s="38"/>
      <c r="INQ118" s="36"/>
      <c r="INR118" s="38"/>
      <c r="INS118" s="38"/>
      <c r="INY118" s="36"/>
      <c r="INZ118" s="38"/>
      <c r="IOA118" s="38"/>
      <c r="IOG118" s="36"/>
      <c r="IOH118" s="38"/>
      <c r="IOI118" s="38"/>
      <c r="IOO118" s="36"/>
      <c r="IOP118" s="38"/>
      <c r="IOQ118" s="38"/>
      <c r="IOW118" s="36"/>
      <c r="IOX118" s="38"/>
      <c r="IOY118" s="38"/>
      <c r="IPE118" s="36"/>
      <c r="IPF118" s="38"/>
      <c r="IPG118" s="38"/>
      <c r="IPM118" s="36"/>
      <c r="IPN118" s="38"/>
      <c r="IPO118" s="38"/>
      <c r="IPU118" s="36"/>
      <c r="IPV118" s="38"/>
      <c r="IPW118" s="38"/>
      <c r="IQC118" s="36"/>
      <c r="IQD118" s="38"/>
      <c r="IQE118" s="38"/>
      <c r="IQK118" s="36"/>
      <c r="IQL118" s="38"/>
      <c r="IQM118" s="38"/>
      <c r="IQS118" s="36"/>
      <c r="IQT118" s="38"/>
      <c r="IQU118" s="38"/>
      <c r="IRA118" s="36"/>
      <c r="IRB118" s="38"/>
      <c r="IRC118" s="38"/>
      <c r="IRI118" s="36"/>
      <c r="IRJ118" s="38"/>
      <c r="IRK118" s="38"/>
      <c r="IRQ118" s="36"/>
      <c r="IRR118" s="38"/>
      <c r="IRS118" s="38"/>
      <c r="IRY118" s="36"/>
      <c r="IRZ118" s="38"/>
      <c r="ISA118" s="38"/>
      <c r="ISG118" s="36"/>
      <c r="ISH118" s="38"/>
      <c r="ISI118" s="38"/>
      <c r="ISO118" s="36"/>
      <c r="ISP118" s="38"/>
      <c r="ISQ118" s="38"/>
      <c r="ISW118" s="36"/>
      <c r="ISX118" s="38"/>
      <c r="ISY118" s="38"/>
      <c r="ITE118" s="36"/>
      <c r="ITF118" s="38"/>
      <c r="ITG118" s="38"/>
      <c r="ITM118" s="36"/>
      <c r="ITN118" s="38"/>
      <c r="ITO118" s="38"/>
      <c r="ITU118" s="36"/>
      <c r="ITV118" s="38"/>
      <c r="ITW118" s="38"/>
      <c r="IUC118" s="36"/>
      <c r="IUD118" s="38"/>
      <c r="IUE118" s="38"/>
      <c r="IUK118" s="36"/>
      <c r="IUL118" s="38"/>
      <c r="IUM118" s="38"/>
      <c r="IUS118" s="36"/>
      <c r="IUT118" s="38"/>
      <c r="IUU118" s="38"/>
      <c r="IVA118" s="36"/>
      <c r="IVB118" s="38"/>
      <c r="IVC118" s="38"/>
      <c r="IVI118" s="36"/>
      <c r="IVJ118" s="38"/>
      <c r="IVK118" s="38"/>
      <c r="IVQ118" s="36"/>
      <c r="IVR118" s="38"/>
      <c r="IVS118" s="38"/>
      <c r="IVY118" s="36"/>
      <c r="IVZ118" s="38"/>
      <c r="IWA118" s="38"/>
      <c r="IWG118" s="36"/>
      <c r="IWH118" s="38"/>
      <c r="IWI118" s="38"/>
      <c r="IWO118" s="36"/>
      <c r="IWP118" s="38"/>
      <c r="IWQ118" s="38"/>
      <c r="IWW118" s="36"/>
      <c r="IWX118" s="38"/>
      <c r="IWY118" s="38"/>
      <c r="IXE118" s="36"/>
      <c r="IXF118" s="38"/>
      <c r="IXG118" s="38"/>
      <c r="IXM118" s="36"/>
      <c r="IXN118" s="38"/>
      <c r="IXO118" s="38"/>
      <c r="IXU118" s="36"/>
      <c r="IXV118" s="38"/>
      <c r="IXW118" s="38"/>
      <c r="IYC118" s="36"/>
      <c r="IYD118" s="38"/>
      <c r="IYE118" s="38"/>
      <c r="IYK118" s="36"/>
      <c r="IYL118" s="38"/>
      <c r="IYM118" s="38"/>
      <c r="IYS118" s="36"/>
      <c r="IYT118" s="38"/>
      <c r="IYU118" s="38"/>
      <c r="IZA118" s="36"/>
      <c r="IZB118" s="38"/>
      <c r="IZC118" s="38"/>
      <c r="IZI118" s="36"/>
      <c r="IZJ118" s="38"/>
      <c r="IZK118" s="38"/>
      <c r="IZQ118" s="36"/>
      <c r="IZR118" s="38"/>
      <c r="IZS118" s="38"/>
      <c r="IZY118" s="36"/>
      <c r="IZZ118" s="38"/>
      <c r="JAA118" s="38"/>
      <c r="JAG118" s="36"/>
      <c r="JAH118" s="38"/>
      <c r="JAI118" s="38"/>
      <c r="JAO118" s="36"/>
      <c r="JAP118" s="38"/>
      <c r="JAQ118" s="38"/>
      <c r="JAW118" s="36"/>
      <c r="JAX118" s="38"/>
      <c r="JAY118" s="38"/>
      <c r="JBE118" s="36"/>
      <c r="JBF118" s="38"/>
      <c r="JBG118" s="38"/>
      <c r="JBM118" s="36"/>
      <c r="JBN118" s="38"/>
      <c r="JBO118" s="38"/>
      <c r="JBU118" s="36"/>
      <c r="JBV118" s="38"/>
      <c r="JBW118" s="38"/>
      <c r="JCC118" s="36"/>
      <c r="JCD118" s="38"/>
      <c r="JCE118" s="38"/>
      <c r="JCK118" s="36"/>
      <c r="JCL118" s="38"/>
      <c r="JCM118" s="38"/>
      <c r="JCS118" s="36"/>
      <c r="JCT118" s="38"/>
      <c r="JCU118" s="38"/>
      <c r="JDA118" s="36"/>
      <c r="JDB118" s="38"/>
      <c r="JDC118" s="38"/>
      <c r="JDI118" s="36"/>
      <c r="JDJ118" s="38"/>
      <c r="JDK118" s="38"/>
      <c r="JDQ118" s="36"/>
      <c r="JDR118" s="38"/>
      <c r="JDS118" s="38"/>
      <c r="JDY118" s="36"/>
      <c r="JDZ118" s="38"/>
      <c r="JEA118" s="38"/>
      <c r="JEG118" s="36"/>
      <c r="JEH118" s="38"/>
      <c r="JEI118" s="38"/>
      <c r="JEO118" s="36"/>
      <c r="JEP118" s="38"/>
      <c r="JEQ118" s="38"/>
      <c r="JEW118" s="36"/>
      <c r="JEX118" s="38"/>
      <c r="JEY118" s="38"/>
      <c r="JFE118" s="36"/>
      <c r="JFF118" s="38"/>
      <c r="JFG118" s="38"/>
      <c r="JFM118" s="36"/>
      <c r="JFN118" s="38"/>
      <c r="JFO118" s="38"/>
      <c r="JFU118" s="36"/>
      <c r="JFV118" s="38"/>
      <c r="JFW118" s="38"/>
      <c r="JGC118" s="36"/>
      <c r="JGD118" s="38"/>
      <c r="JGE118" s="38"/>
      <c r="JGK118" s="36"/>
      <c r="JGL118" s="38"/>
      <c r="JGM118" s="38"/>
      <c r="JGS118" s="36"/>
      <c r="JGT118" s="38"/>
      <c r="JGU118" s="38"/>
      <c r="JHA118" s="36"/>
      <c r="JHB118" s="38"/>
      <c r="JHC118" s="38"/>
      <c r="JHI118" s="36"/>
      <c r="JHJ118" s="38"/>
      <c r="JHK118" s="38"/>
      <c r="JHQ118" s="36"/>
      <c r="JHR118" s="38"/>
      <c r="JHS118" s="38"/>
      <c r="JHY118" s="36"/>
      <c r="JHZ118" s="38"/>
      <c r="JIA118" s="38"/>
      <c r="JIG118" s="36"/>
      <c r="JIH118" s="38"/>
      <c r="JII118" s="38"/>
      <c r="JIO118" s="36"/>
      <c r="JIP118" s="38"/>
      <c r="JIQ118" s="38"/>
      <c r="JIW118" s="36"/>
      <c r="JIX118" s="38"/>
      <c r="JIY118" s="38"/>
      <c r="JJE118" s="36"/>
      <c r="JJF118" s="38"/>
      <c r="JJG118" s="38"/>
      <c r="JJM118" s="36"/>
      <c r="JJN118" s="38"/>
      <c r="JJO118" s="38"/>
      <c r="JJU118" s="36"/>
      <c r="JJV118" s="38"/>
      <c r="JJW118" s="38"/>
      <c r="JKC118" s="36"/>
      <c r="JKD118" s="38"/>
      <c r="JKE118" s="38"/>
      <c r="JKK118" s="36"/>
      <c r="JKL118" s="38"/>
      <c r="JKM118" s="38"/>
      <c r="JKS118" s="36"/>
      <c r="JKT118" s="38"/>
      <c r="JKU118" s="38"/>
      <c r="JLA118" s="36"/>
      <c r="JLB118" s="38"/>
      <c r="JLC118" s="38"/>
      <c r="JLI118" s="36"/>
      <c r="JLJ118" s="38"/>
      <c r="JLK118" s="38"/>
      <c r="JLQ118" s="36"/>
      <c r="JLR118" s="38"/>
      <c r="JLS118" s="38"/>
      <c r="JLY118" s="36"/>
      <c r="JLZ118" s="38"/>
      <c r="JMA118" s="38"/>
      <c r="JMG118" s="36"/>
      <c r="JMH118" s="38"/>
      <c r="JMI118" s="38"/>
      <c r="JMO118" s="36"/>
      <c r="JMP118" s="38"/>
      <c r="JMQ118" s="38"/>
      <c r="JMW118" s="36"/>
      <c r="JMX118" s="38"/>
      <c r="JMY118" s="38"/>
      <c r="JNE118" s="36"/>
      <c r="JNF118" s="38"/>
      <c r="JNG118" s="38"/>
      <c r="JNM118" s="36"/>
      <c r="JNN118" s="38"/>
      <c r="JNO118" s="38"/>
      <c r="JNU118" s="36"/>
      <c r="JNV118" s="38"/>
      <c r="JNW118" s="38"/>
      <c r="JOC118" s="36"/>
      <c r="JOD118" s="38"/>
      <c r="JOE118" s="38"/>
      <c r="JOK118" s="36"/>
      <c r="JOL118" s="38"/>
      <c r="JOM118" s="38"/>
      <c r="JOS118" s="36"/>
      <c r="JOT118" s="38"/>
      <c r="JOU118" s="38"/>
      <c r="JPA118" s="36"/>
      <c r="JPB118" s="38"/>
      <c r="JPC118" s="38"/>
      <c r="JPI118" s="36"/>
      <c r="JPJ118" s="38"/>
      <c r="JPK118" s="38"/>
      <c r="JPQ118" s="36"/>
      <c r="JPR118" s="38"/>
      <c r="JPS118" s="38"/>
      <c r="JPY118" s="36"/>
      <c r="JPZ118" s="38"/>
      <c r="JQA118" s="38"/>
      <c r="JQG118" s="36"/>
      <c r="JQH118" s="38"/>
      <c r="JQI118" s="38"/>
      <c r="JQO118" s="36"/>
      <c r="JQP118" s="38"/>
      <c r="JQQ118" s="38"/>
      <c r="JQW118" s="36"/>
      <c r="JQX118" s="38"/>
      <c r="JQY118" s="38"/>
      <c r="JRE118" s="36"/>
      <c r="JRF118" s="38"/>
      <c r="JRG118" s="38"/>
      <c r="JRM118" s="36"/>
      <c r="JRN118" s="38"/>
      <c r="JRO118" s="38"/>
      <c r="JRU118" s="36"/>
      <c r="JRV118" s="38"/>
      <c r="JRW118" s="38"/>
      <c r="JSC118" s="36"/>
      <c r="JSD118" s="38"/>
      <c r="JSE118" s="38"/>
      <c r="JSK118" s="36"/>
      <c r="JSL118" s="38"/>
      <c r="JSM118" s="38"/>
      <c r="JSS118" s="36"/>
      <c r="JST118" s="38"/>
      <c r="JSU118" s="38"/>
      <c r="JTA118" s="36"/>
      <c r="JTB118" s="38"/>
      <c r="JTC118" s="38"/>
      <c r="JTI118" s="36"/>
      <c r="JTJ118" s="38"/>
      <c r="JTK118" s="38"/>
      <c r="JTQ118" s="36"/>
      <c r="JTR118" s="38"/>
      <c r="JTS118" s="38"/>
      <c r="JTY118" s="36"/>
      <c r="JTZ118" s="38"/>
      <c r="JUA118" s="38"/>
      <c r="JUG118" s="36"/>
      <c r="JUH118" s="38"/>
      <c r="JUI118" s="38"/>
      <c r="JUO118" s="36"/>
      <c r="JUP118" s="38"/>
      <c r="JUQ118" s="38"/>
      <c r="JUW118" s="36"/>
      <c r="JUX118" s="38"/>
      <c r="JUY118" s="38"/>
      <c r="JVE118" s="36"/>
      <c r="JVF118" s="38"/>
      <c r="JVG118" s="38"/>
      <c r="JVM118" s="36"/>
      <c r="JVN118" s="38"/>
      <c r="JVO118" s="38"/>
      <c r="JVU118" s="36"/>
      <c r="JVV118" s="38"/>
      <c r="JVW118" s="38"/>
      <c r="JWC118" s="36"/>
      <c r="JWD118" s="38"/>
      <c r="JWE118" s="38"/>
      <c r="JWK118" s="36"/>
      <c r="JWL118" s="38"/>
      <c r="JWM118" s="38"/>
      <c r="JWS118" s="36"/>
      <c r="JWT118" s="38"/>
      <c r="JWU118" s="38"/>
      <c r="JXA118" s="36"/>
      <c r="JXB118" s="38"/>
      <c r="JXC118" s="38"/>
      <c r="JXI118" s="36"/>
      <c r="JXJ118" s="38"/>
      <c r="JXK118" s="38"/>
      <c r="JXQ118" s="36"/>
      <c r="JXR118" s="38"/>
      <c r="JXS118" s="38"/>
      <c r="JXY118" s="36"/>
      <c r="JXZ118" s="38"/>
      <c r="JYA118" s="38"/>
      <c r="JYG118" s="36"/>
      <c r="JYH118" s="38"/>
      <c r="JYI118" s="38"/>
      <c r="JYO118" s="36"/>
      <c r="JYP118" s="38"/>
      <c r="JYQ118" s="38"/>
      <c r="JYW118" s="36"/>
      <c r="JYX118" s="38"/>
      <c r="JYY118" s="38"/>
      <c r="JZE118" s="36"/>
      <c r="JZF118" s="38"/>
      <c r="JZG118" s="38"/>
      <c r="JZM118" s="36"/>
      <c r="JZN118" s="38"/>
      <c r="JZO118" s="38"/>
      <c r="JZU118" s="36"/>
      <c r="JZV118" s="38"/>
      <c r="JZW118" s="38"/>
      <c r="KAC118" s="36"/>
      <c r="KAD118" s="38"/>
      <c r="KAE118" s="38"/>
      <c r="KAK118" s="36"/>
      <c r="KAL118" s="38"/>
      <c r="KAM118" s="38"/>
      <c r="KAS118" s="36"/>
      <c r="KAT118" s="38"/>
      <c r="KAU118" s="38"/>
      <c r="KBA118" s="36"/>
      <c r="KBB118" s="38"/>
      <c r="KBC118" s="38"/>
      <c r="KBI118" s="36"/>
      <c r="KBJ118" s="38"/>
      <c r="KBK118" s="38"/>
      <c r="KBQ118" s="36"/>
      <c r="KBR118" s="38"/>
      <c r="KBS118" s="38"/>
      <c r="KBY118" s="36"/>
      <c r="KBZ118" s="38"/>
      <c r="KCA118" s="38"/>
      <c r="KCG118" s="36"/>
      <c r="KCH118" s="38"/>
      <c r="KCI118" s="38"/>
      <c r="KCO118" s="36"/>
      <c r="KCP118" s="38"/>
      <c r="KCQ118" s="38"/>
      <c r="KCW118" s="36"/>
      <c r="KCX118" s="38"/>
      <c r="KCY118" s="38"/>
      <c r="KDE118" s="36"/>
      <c r="KDF118" s="38"/>
      <c r="KDG118" s="38"/>
      <c r="KDM118" s="36"/>
      <c r="KDN118" s="38"/>
      <c r="KDO118" s="38"/>
      <c r="KDU118" s="36"/>
      <c r="KDV118" s="38"/>
      <c r="KDW118" s="38"/>
      <c r="KEC118" s="36"/>
      <c r="KED118" s="38"/>
      <c r="KEE118" s="38"/>
      <c r="KEK118" s="36"/>
      <c r="KEL118" s="38"/>
      <c r="KEM118" s="38"/>
      <c r="KES118" s="36"/>
      <c r="KET118" s="38"/>
      <c r="KEU118" s="38"/>
      <c r="KFA118" s="36"/>
      <c r="KFB118" s="38"/>
      <c r="KFC118" s="38"/>
      <c r="KFI118" s="36"/>
      <c r="KFJ118" s="38"/>
      <c r="KFK118" s="38"/>
      <c r="KFQ118" s="36"/>
      <c r="KFR118" s="38"/>
      <c r="KFS118" s="38"/>
      <c r="KFY118" s="36"/>
      <c r="KFZ118" s="38"/>
      <c r="KGA118" s="38"/>
      <c r="KGG118" s="36"/>
      <c r="KGH118" s="38"/>
      <c r="KGI118" s="38"/>
      <c r="KGO118" s="36"/>
      <c r="KGP118" s="38"/>
      <c r="KGQ118" s="38"/>
      <c r="KGW118" s="36"/>
      <c r="KGX118" s="38"/>
      <c r="KGY118" s="38"/>
      <c r="KHE118" s="36"/>
      <c r="KHF118" s="38"/>
      <c r="KHG118" s="38"/>
      <c r="KHM118" s="36"/>
      <c r="KHN118" s="38"/>
      <c r="KHO118" s="38"/>
      <c r="KHU118" s="36"/>
      <c r="KHV118" s="38"/>
      <c r="KHW118" s="38"/>
      <c r="KIC118" s="36"/>
      <c r="KID118" s="38"/>
      <c r="KIE118" s="38"/>
      <c r="KIK118" s="36"/>
      <c r="KIL118" s="38"/>
      <c r="KIM118" s="38"/>
      <c r="KIS118" s="36"/>
      <c r="KIT118" s="38"/>
      <c r="KIU118" s="38"/>
      <c r="KJA118" s="36"/>
      <c r="KJB118" s="38"/>
      <c r="KJC118" s="38"/>
      <c r="KJI118" s="36"/>
      <c r="KJJ118" s="38"/>
      <c r="KJK118" s="38"/>
      <c r="KJQ118" s="36"/>
      <c r="KJR118" s="38"/>
      <c r="KJS118" s="38"/>
      <c r="KJY118" s="36"/>
      <c r="KJZ118" s="38"/>
      <c r="KKA118" s="38"/>
      <c r="KKG118" s="36"/>
      <c r="KKH118" s="38"/>
      <c r="KKI118" s="38"/>
      <c r="KKO118" s="36"/>
      <c r="KKP118" s="38"/>
      <c r="KKQ118" s="38"/>
      <c r="KKW118" s="36"/>
      <c r="KKX118" s="38"/>
      <c r="KKY118" s="38"/>
      <c r="KLE118" s="36"/>
      <c r="KLF118" s="38"/>
      <c r="KLG118" s="38"/>
      <c r="KLM118" s="36"/>
      <c r="KLN118" s="38"/>
      <c r="KLO118" s="38"/>
      <c r="KLU118" s="36"/>
      <c r="KLV118" s="38"/>
      <c r="KLW118" s="38"/>
      <c r="KMC118" s="36"/>
      <c r="KMD118" s="38"/>
      <c r="KME118" s="38"/>
      <c r="KMK118" s="36"/>
      <c r="KML118" s="38"/>
      <c r="KMM118" s="38"/>
      <c r="KMS118" s="36"/>
      <c r="KMT118" s="38"/>
      <c r="KMU118" s="38"/>
      <c r="KNA118" s="36"/>
      <c r="KNB118" s="38"/>
      <c r="KNC118" s="38"/>
      <c r="KNI118" s="36"/>
      <c r="KNJ118" s="38"/>
      <c r="KNK118" s="38"/>
      <c r="KNQ118" s="36"/>
      <c r="KNR118" s="38"/>
      <c r="KNS118" s="38"/>
      <c r="KNY118" s="36"/>
      <c r="KNZ118" s="38"/>
      <c r="KOA118" s="38"/>
      <c r="KOG118" s="36"/>
      <c r="KOH118" s="38"/>
      <c r="KOI118" s="38"/>
      <c r="KOO118" s="36"/>
      <c r="KOP118" s="38"/>
      <c r="KOQ118" s="38"/>
      <c r="KOW118" s="36"/>
      <c r="KOX118" s="38"/>
      <c r="KOY118" s="38"/>
      <c r="KPE118" s="36"/>
      <c r="KPF118" s="38"/>
      <c r="KPG118" s="38"/>
      <c r="KPM118" s="36"/>
      <c r="KPN118" s="38"/>
      <c r="KPO118" s="38"/>
      <c r="KPU118" s="36"/>
      <c r="KPV118" s="38"/>
      <c r="KPW118" s="38"/>
      <c r="KQC118" s="36"/>
      <c r="KQD118" s="38"/>
      <c r="KQE118" s="38"/>
      <c r="KQK118" s="36"/>
      <c r="KQL118" s="38"/>
      <c r="KQM118" s="38"/>
      <c r="KQS118" s="36"/>
      <c r="KQT118" s="38"/>
      <c r="KQU118" s="38"/>
      <c r="KRA118" s="36"/>
      <c r="KRB118" s="38"/>
      <c r="KRC118" s="38"/>
      <c r="KRI118" s="36"/>
      <c r="KRJ118" s="38"/>
      <c r="KRK118" s="38"/>
      <c r="KRQ118" s="36"/>
      <c r="KRR118" s="38"/>
      <c r="KRS118" s="38"/>
      <c r="KRY118" s="36"/>
      <c r="KRZ118" s="38"/>
      <c r="KSA118" s="38"/>
      <c r="KSG118" s="36"/>
      <c r="KSH118" s="38"/>
      <c r="KSI118" s="38"/>
      <c r="KSO118" s="36"/>
      <c r="KSP118" s="38"/>
      <c r="KSQ118" s="38"/>
      <c r="KSW118" s="36"/>
      <c r="KSX118" s="38"/>
      <c r="KSY118" s="38"/>
      <c r="KTE118" s="36"/>
      <c r="KTF118" s="38"/>
      <c r="KTG118" s="38"/>
      <c r="KTM118" s="36"/>
      <c r="KTN118" s="38"/>
      <c r="KTO118" s="38"/>
      <c r="KTU118" s="36"/>
      <c r="KTV118" s="38"/>
      <c r="KTW118" s="38"/>
      <c r="KUC118" s="36"/>
      <c r="KUD118" s="38"/>
      <c r="KUE118" s="38"/>
      <c r="KUK118" s="36"/>
      <c r="KUL118" s="38"/>
      <c r="KUM118" s="38"/>
      <c r="KUS118" s="36"/>
      <c r="KUT118" s="38"/>
      <c r="KUU118" s="38"/>
      <c r="KVA118" s="36"/>
      <c r="KVB118" s="38"/>
      <c r="KVC118" s="38"/>
      <c r="KVI118" s="36"/>
      <c r="KVJ118" s="38"/>
      <c r="KVK118" s="38"/>
      <c r="KVQ118" s="36"/>
      <c r="KVR118" s="38"/>
      <c r="KVS118" s="38"/>
      <c r="KVY118" s="36"/>
      <c r="KVZ118" s="38"/>
      <c r="KWA118" s="38"/>
      <c r="KWG118" s="36"/>
      <c r="KWH118" s="38"/>
      <c r="KWI118" s="38"/>
      <c r="KWO118" s="36"/>
      <c r="KWP118" s="38"/>
      <c r="KWQ118" s="38"/>
      <c r="KWW118" s="36"/>
      <c r="KWX118" s="38"/>
      <c r="KWY118" s="38"/>
      <c r="KXE118" s="36"/>
      <c r="KXF118" s="38"/>
      <c r="KXG118" s="38"/>
      <c r="KXM118" s="36"/>
      <c r="KXN118" s="38"/>
      <c r="KXO118" s="38"/>
      <c r="KXU118" s="36"/>
      <c r="KXV118" s="38"/>
      <c r="KXW118" s="38"/>
      <c r="KYC118" s="36"/>
      <c r="KYD118" s="38"/>
      <c r="KYE118" s="38"/>
      <c r="KYK118" s="36"/>
      <c r="KYL118" s="38"/>
      <c r="KYM118" s="38"/>
      <c r="KYS118" s="36"/>
      <c r="KYT118" s="38"/>
      <c r="KYU118" s="38"/>
      <c r="KZA118" s="36"/>
      <c r="KZB118" s="38"/>
      <c r="KZC118" s="38"/>
      <c r="KZI118" s="36"/>
      <c r="KZJ118" s="38"/>
      <c r="KZK118" s="38"/>
      <c r="KZQ118" s="36"/>
      <c r="KZR118" s="38"/>
      <c r="KZS118" s="38"/>
      <c r="KZY118" s="36"/>
      <c r="KZZ118" s="38"/>
      <c r="LAA118" s="38"/>
      <c r="LAG118" s="36"/>
      <c r="LAH118" s="38"/>
      <c r="LAI118" s="38"/>
      <c r="LAO118" s="36"/>
      <c r="LAP118" s="38"/>
      <c r="LAQ118" s="38"/>
      <c r="LAW118" s="36"/>
      <c r="LAX118" s="38"/>
      <c r="LAY118" s="38"/>
      <c r="LBE118" s="36"/>
      <c r="LBF118" s="38"/>
      <c r="LBG118" s="38"/>
      <c r="LBM118" s="36"/>
      <c r="LBN118" s="38"/>
      <c r="LBO118" s="38"/>
      <c r="LBU118" s="36"/>
      <c r="LBV118" s="38"/>
      <c r="LBW118" s="38"/>
      <c r="LCC118" s="36"/>
      <c r="LCD118" s="38"/>
      <c r="LCE118" s="38"/>
      <c r="LCK118" s="36"/>
      <c r="LCL118" s="38"/>
      <c r="LCM118" s="38"/>
      <c r="LCS118" s="36"/>
      <c r="LCT118" s="38"/>
      <c r="LCU118" s="38"/>
      <c r="LDA118" s="36"/>
      <c r="LDB118" s="38"/>
      <c r="LDC118" s="38"/>
      <c r="LDI118" s="36"/>
      <c r="LDJ118" s="38"/>
      <c r="LDK118" s="38"/>
      <c r="LDQ118" s="36"/>
      <c r="LDR118" s="38"/>
      <c r="LDS118" s="38"/>
      <c r="LDY118" s="36"/>
      <c r="LDZ118" s="38"/>
      <c r="LEA118" s="38"/>
      <c r="LEG118" s="36"/>
      <c r="LEH118" s="38"/>
      <c r="LEI118" s="38"/>
      <c r="LEO118" s="36"/>
      <c r="LEP118" s="38"/>
      <c r="LEQ118" s="38"/>
      <c r="LEW118" s="36"/>
      <c r="LEX118" s="38"/>
      <c r="LEY118" s="38"/>
      <c r="LFE118" s="36"/>
      <c r="LFF118" s="38"/>
      <c r="LFG118" s="38"/>
      <c r="LFM118" s="36"/>
      <c r="LFN118" s="38"/>
      <c r="LFO118" s="38"/>
      <c r="LFU118" s="36"/>
      <c r="LFV118" s="38"/>
      <c r="LFW118" s="38"/>
      <c r="LGC118" s="36"/>
      <c r="LGD118" s="38"/>
      <c r="LGE118" s="38"/>
      <c r="LGK118" s="36"/>
      <c r="LGL118" s="38"/>
      <c r="LGM118" s="38"/>
      <c r="LGS118" s="36"/>
      <c r="LGT118" s="38"/>
      <c r="LGU118" s="38"/>
      <c r="LHA118" s="36"/>
      <c r="LHB118" s="38"/>
      <c r="LHC118" s="38"/>
      <c r="LHI118" s="36"/>
      <c r="LHJ118" s="38"/>
      <c r="LHK118" s="38"/>
      <c r="LHQ118" s="36"/>
      <c r="LHR118" s="38"/>
      <c r="LHS118" s="38"/>
      <c r="LHY118" s="36"/>
      <c r="LHZ118" s="38"/>
      <c r="LIA118" s="38"/>
      <c r="LIG118" s="36"/>
      <c r="LIH118" s="38"/>
      <c r="LII118" s="38"/>
      <c r="LIO118" s="36"/>
      <c r="LIP118" s="38"/>
      <c r="LIQ118" s="38"/>
      <c r="LIW118" s="36"/>
      <c r="LIX118" s="38"/>
      <c r="LIY118" s="38"/>
      <c r="LJE118" s="36"/>
      <c r="LJF118" s="38"/>
      <c r="LJG118" s="38"/>
      <c r="LJM118" s="36"/>
      <c r="LJN118" s="38"/>
      <c r="LJO118" s="38"/>
      <c r="LJU118" s="36"/>
      <c r="LJV118" s="38"/>
      <c r="LJW118" s="38"/>
      <c r="LKC118" s="36"/>
      <c r="LKD118" s="38"/>
      <c r="LKE118" s="38"/>
      <c r="LKK118" s="36"/>
      <c r="LKL118" s="38"/>
      <c r="LKM118" s="38"/>
      <c r="LKS118" s="36"/>
      <c r="LKT118" s="38"/>
      <c r="LKU118" s="38"/>
      <c r="LLA118" s="36"/>
      <c r="LLB118" s="38"/>
      <c r="LLC118" s="38"/>
      <c r="LLI118" s="36"/>
      <c r="LLJ118" s="38"/>
      <c r="LLK118" s="38"/>
      <c r="LLQ118" s="36"/>
      <c r="LLR118" s="38"/>
      <c r="LLS118" s="38"/>
      <c r="LLY118" s="36"/>
      <c r="LLZ118" s="38"/>
      <c r="LMA118" s="38"/>
      <c r="LMG118" s="36"/>
      <c r="LMH118" s="38"/>
      <c r="LMI118" s="38"/>
      <c r="LMO118" s="36"/>
      <c r="LMP118" s="38"/>
      <c r="LMQ118" s="38"/>
      <c r="LMW118" s="36"/>
      <c r="LMX118" s="38"/>
      <c r="LMY118" s="38"/>
      <c r="LNE118" s="36"/>
      <c r="LNF118" s="38"/>
      <c r="LNG118" s="38"/>
      <c r="LNM118" s="36"/>
      <c r="LNN118" s="38"/>
      <c r="LNO118" s="38"/>
      <c r="LNU118" s="36"/>
      <c r="LNV118" s="38"/>
      <c r="LNW118" s="38"/>
      <c r="LOC118" s="36"/>
      <c r="LOD118" s="38"/>
      <c r="LOE118" s="38"/>
      <c r="LOK118" s="36"/>
      <c r="LOL118" s="38"/>
      <c r="LOM118" s="38"/>
      <c r="LOS118" s="36"/>
      <c r="LOT118" s="38"/>
      <c r="LOU118" s="38"/>
      <c r="LPA118" s="36"/>
      <c r="LPB118" s="38"/>
      <c r="LPC118" s="38"/>
      <c r="LPI118" s="36"/>
      <c r="LPJ118" s="38"/>
      <c r="LPK118" s="38"/>
      <c r="LPQ118" s="36"/>
      <c r="LPR118" s="38"/>
      <c r="LPS118" s="38"/>
      <c r="LPY118" s="36"/>
      <c r="LPZ118" s="38"/>
      <c r="LQA118" s="38"/>
      <c r="LQG118" s="36"/>
      <c r="LQH118" s="38"/>
      <c r="LQI118" s="38"/>
      <c r="LQO118" s="36"/>
      <c r="LQP118" s="38"/>
      <c r="LQQ118" s="38"/>
      <c r="LQW118" s="36"/>
      <c r="LQX118" s="38"/>
      <c r="LQY118" s="38"/>
      <c r="LRE118" s="36"/>
      <c r="LRF118" s="38"/>
      <c r="LRG118" s="38"/>
      <c r="LRM118" s="36"/>
      <c r="LRN118" s="38"/>
      <c r="LRO118" s="38"/>
      <c r="LRU118" s="36"/>
      <c r="LRV118" s="38"/>
      <c r="LRW118" s="38"/>
      <c r="LSC118" s="36"/>
      <c r="LSD118" s="38"/>
      <c r="LSE118" s="38"/>
      <c r="LSK118" s="36"/>
      <c r="LSL118" s="38"/>
      <c r="LSM118" s="38"/>
      <c r="LSS118" s="36"/>
      <c r="LST118" s="38"/>
      <c r="LSU118" s="38"/>
      <c r="LTA118" s="36"/>
      <c r="LTB118" s="38"/>
      <c r="LTC118" s="38"/>
      <c r="LTI118" s="36"/>
      <c r="LTJ118" s="38"/>
      <c r="LTK118" s="38"/>
      <c r="LTQ118" s="36"/>
      <c r="LTR118" s="38"/>
      <c r="LTS118" s="38"/>
      <c r="LTY118" s="36"/>
      <c r="LTZ118" s="38"/>
      <c r="LUA118" s="38"/>
      <c r="LUG118" s="36"/>
      <c r="LUH118" s="38"/>
      <c r="LUI118" s="38"/>
      <c r="LUO118" s="36"/>
      <c r="LUP118" s="38"/>
      <c r="LUQ118" s="38"/>
      <c r="LUW118" s="36"/>
      <c r="LUX118" s="38"/>
      <c r="LUY118" s="38"/>
      <c r="LVE118" s="36"/>
      <c r="LVF118" s="38"/>
      <c r="LVG118" s="38"/>
      <c r="LVM118" s="36"/>
      <c r="LVN118" s="38"/>
      <c r="LVO118" s="38"/>
      <c r="LVU118" s="36"/>
      <c r="LVV118" s="38"/>
      <c r="LVW118" s="38"/>
      <c r="LWC118" s="36"/>
      <c r="LWD118" s="38"/>
      <c r="LWE118" s="38"/>
      <c r="LWK118" s="36"/>
      <c r="LWL118" s="38"/>
      <c r="LWM118" s="38"/>
      <c r="LWS118" s="36"/>
      <c r="LWT118" s="38"/>
      <c r="LWU118" s="38"/>
      <c r="LXA118" s="36"/>
      <c r="LXB118" s="38"/>
      <c r="LXC118" s="38"/>
      <c r="LXI118" s="36"/>
      <c r="LXJ118" s="38"/>
      <c r="LXK118" s="38"/>
      <c r="LXQ118" s="36"/>
      <c r="LXR118" s="38"/>
      <c r="LXS118" s="38"/>
      <c r="LXY118" s="36"/>
      <c r="LXZ118" s="38"/>
      <c r="LYA118" s="38"/>
      <c r="LYG118" s="36"/>
      <c r="LYH118" s="38"/>
      <c r="LYI118" s="38"/>
      <c r="LYO118" s="36"/>
      <c r="LYP118" s="38"/>
      <c r="LYQ118" s="38"/>
      <c r="LYW118" s="36"/>
      <c r="LYX118" s="38"/>
      <c r="LYY118" s="38"/>
      <c r="LZE118" s="36"/>
      <c r="LZF118" s="38"/>
      <c r="LZG118" s="38"/>
      <c r="LZM118" s="36"/>
      <c r="LZN118" s="38"/>
      <c r="LZO118" s="38"/>
      <c r="LZU118" s="36"/>
      <c r="LZV118" s="38"/>
      <c r="LZW118" s="38"/>
      <c r="MAC118" s="36"/>
      <c r="MAD118" s="38"/>
      <c r="MAE118" s="38"/>
      <c r="MAK118" s="36"/>
      <c r="MAL118" s="38"/>
      <c r="MAM118" s="38"/>
      <c r="MAS118" s="36"/>
      <c r="MAT118" s="38"/>
      <c r="MAU118" s="38"/>
      <c r="MBA118" s="36"/>
      <c r="MBB118" s="38"/>
      <c r="MBC118" s="38"/>
      <c r="MBI118" s="36"/>
      <c r="MBJ118" s="38"/>
      <c r="MBK118" s="38"/>
      <c r="MBQ118" s="36"/>
      <c r="MBR118" s="38"/>
      <c r="MBS118" s="38"/>
      <c r="MBY118" s="36"/>
      <c r="MBZ118" s="38"/>
      <c r="MCA118" s="38"/>
      <c r="MCG118" s="36"/>
      <c r="MCH118" s="38"/>
      <c r="MCI118" s="38"/>
      <c r="MCO118" s="36"/>
      <c r="MCP118" s="38"/>
      <c r="MCQ118" s="38"/>
      <c r="MCW118" s="36"/>
      <c r="MCX118" s="38"/>
      <c r="MCY118" s="38"/>
      <c r="MDE118" s="36"/>
      <c r="MDF118" s="38"/>
      <c r="MDG118" s="38"/>
      <c r="MDM118" s="36"/>
      <c r="MDN118" s="38"/>
      <c r="MDO118" s="38"/>
      <c r="MDU118" s="36"/>
      <c r="MDV118" s="38"/>
      <c r="MDW118" s="38"/>
      <c r="MEC118" s="36"/>
      <c r="MED118" s="38"/>
      <c r="MEE118" s="38"/>
      <c r="MEK118" s="36"/>
      <c r="MEL118" s="38"/>
      <c r="MEM118" s="38"/>
      <c r="MES118" s="36"/>
      <c r="MET118" s="38"/>
      <c r="MEU118" s="38"/>
      <c r="MFA118" s="36"/>
      <c r="MFB118" s="38"/>
      <c r="MFC118" s="38"/>
      <c r="MFI118" s="36"/>
      <c r="MFJ118" s="38"/>
      <c r="MFK118" s="38"/>
      <c r="MFQ118" s="36"/>
      <c r="MFR118" s="38"/>
      <c r="MFS118" s="38"/>
      <c r="MFY118" s="36"/>
      <c r="MFZ118" s="38"/>
      <c r="MGA118" s="38"/>
      <c r="MGG118" s="36"/>
      <c r="MGH118" s="38"/>
      <c r="MGI118" s="38"/>
      <c r="MGO118" s="36"/>
      <c r="MGP118" s="38"/>
      <c r="MGQ118" s="38"/>
      <c r="MGW118" s="36"/>
      <c r="MGX118" s="38"/>
      <c r="MGY118" s="38"/>
      <c r="MHE118" s="36"/>
      <c r="MHF118" s="38"/>
      <c r="MHG118" s="38"/>
      <c r="MHM118" s="36"/>
      <c r="MHN118" s="38"/>
      <c r="MHO118" s="38"/>
      <c r="MHU118" s="36"/>
      <c r="MHV118" s="38"/>
      <c r="MHW118" s="38"/>
      <c r="MIC118" s="36"/>
      <c r="MID118" s="38"/>
      <c r="MIE118" s="38"/>
      <c r="MIK118" s="36"/>
      <c r="MIL118" s="38"/>
      <c r="MIM118" s="38"/>
      <c r="MIS118" s="36"/>
      <c r="MIT118" s="38"/>
      <c r="MIU118" s="38"/>
      <c r="MJA118" s="36"/>
      <c r="MJB118" s="38"/>
      <c r="MJC118" s="38"/>
      <c r="MJI118" s="36"/>
      <c r="MJJ118" s="38"/>
      <c r="MJK118" s="38"/>
      <c r="MJQ118" s="36"/>
      <c r="MJR118" s="38"/>
      <c r="MJS118" s="38"/>
      <c r="MJY118" s="36"/>
      <c r="MJZ118" s="38"/>
      <c r="MKA118" s="38"/>
      <c r="MKG118" s="36"/>
      <c r="MKH118" s="38"/>
      <c r="MKI118" s="38"/>
      <c r="MKO118" s="36"/>
      <c r="MKP118" s="38"/>
      <c r="MKQ118" s="38"/>
      <c r="MKW118" s="36"/>
      <c r="MKX118" s="38"/>
      <c r="MKY118" s="38"/>
      <c r="MLE118" s="36"/>
      <c r="MLF118" s="38"/>
      <c r="MLG118" s="38"/>
      <c r="MLM118" s="36"/>
      <c r="MLN118" s="38"/>
      <c r="MLO118" s="38"/>
      <c r="MLU118" s="36"/>
      <c r="MLV118" s="38"/>
      <c r="MLW118" s="38"/>
      <c r="MMC118" s="36"/>
      <c r="MMD118" s="38"/>
      <c r="MME118" s="38"/>
      <c r="MMK118" s="36"/>
      <c r="MML118" s="38"/>
      <c r="MMM118" s="38"/>
      <c r="MMS118" s="36"/>
      <c r="MMT118" s="38"/>
      <c r="MMU118" s="38"/>
      <c r="MNA118" s="36"/>
      <c r="MNB118" s="38"/>
      <c r="MNC118" s="38"/>
      <c r="MNI118" s="36"/>
      <c r="MNJ118" s="38"/>
      <c r="MNK118" s="38"/>
      <c r="MNQ118" s="36"/>
      <c r="MNR118" s="38"/>
      <c r="MNS118" s="38"/>
      <c r="MNY118" s="36"/>
      <c r="MNZ118" s="38"/>
      <c r="MOA118" s="38"/>
      <c r="MOG118" s="36"/>
      <c r="MOH118" s="38"/>
      <c r="MOI118" s="38"/>
      <c r="MOO118" s="36"/>
      <c r="MOP118" s="38"/>
      <c r="MOQ118" s="38"/>
      <c r="MOW118" s="36"/>
      <c r="MOX118" s="38"/>
      <c r="MOY118" s="38"/>
      <c r="MPE118" s="36"/>
      <c r="MPF118" s="38"/>
      <c r="MPG118" s="38"/>
      <c r="MPM118" s="36"/>
      <c r="MPN118" s="38"/>
      <c r="MPO118" s="38"/>
      <c r="MPU118" s="36"/>
      <c r="MPV118" s="38"/>
      <c r="MPW118" s="38"/>
      <c r="MQC118" s="36"/>
      <c r="MQD118" s="38"/>
      <c r="MQE118" s="38"/>
      <c r="MQK118" s="36"/>
      <c r="MQL118" s="38"/>
      <c r="MQM118" s="38"/>
      <c r="MQS118" s="36"/>
      <c r="MQT118" s="38"/>
      <c r="MQU118" s="38"/>
      <c r="MRA118" s="36"/>
      <c r="MRB118" s="38"/>
      <c r="MRC118" s="38"/>
      <c r="MRI118" s="36"/>
      <c r="MRJ118" s="38"/>
      <c r="MRK118" s="38"/>
      <c r="MRQ118" s="36"/>
      <c r="MRR118" s="38"/>
      <c r="MRS118" s="38"/>
      <c r="MRY118" s="36"/>
      <c r="MRZ118" s="38"/>
      <c r="MSA118" s="38"/>
      <c r="MSG118" s="36"/>
      <c r="MSH118" s="38"/>
      <c r="MSI118" s="38"/>
      <c r="MSO118" s="36"/>
      <c r="MSP118" s="38"/>
      <c r="MSQ118" s="38"/>
      <c r="MSW118" s="36"/>
      <c r="MSX118" s="38"/>
      <c r="MSY118" s="38"/>
      <c r="MTE118" s="36"/>
      <c r="MTF118" s="38"/>
      <c r="MTG118" s="38"/>
      <c r="MTM118" s="36"/>
      <c r="MTN118" s="38"/>
      <c r="MTO118" s="38"/>
      <c r="MTU118" s="36"/>
      <c r="MTV118" s="38"/>
      <c r="MTW118" s="38"/>
      <c r="MUC118" s="36"/>
      <c r="MUD118" s="38"/>
      <c r="MUE118" s="38"/>
      <c r="MUK118" s="36"/>
      <c r="MUL118" s="38"/>
      <c r="MUM118" s="38"/>
      <c r="MUS118" s="36"/>
      <c r="MUT118" s="38"/>
      <c r="MUU118" s="38"/>
      <c r="MVA118" s="36"/>
      <c r="MVB118" s="38"/>
      <c r="MVC118" s="38"/>
      <c r="MVI118" s="36"/>
      <c r="MVJ118" s="38"/>
      <c r="MVK118" s="38"/>
      <c r="MVQ118" s="36"/>
      <c r="MVR118" s="38"/>
      <c r="MVS118" s="38"/>
      <c r="MVY118" s="36"/>
      <c r="MVZ118" s="38"/>
      <c r="MWA118" s="38"/>
      <c r="MWG118" s="36"/>
      <c r="MWH118" s="38"/>
      <c r="MWI118" s="38"/>
      <c r="MWO118" s="36"/>
      <c r="MWP118" s="38"/>
      <c r="MWQ118" s="38"/>
      <c r="MWW118" s="36"/>
      <c r="MWX118" s="38"/>
      <c r="MWY118" s="38"/>
      <c r="MXE118" s="36"/>
      <c r="MXF118" s="38"/>
      <c r="MXG118" s="38"/>
      <c r="MXM118" s="36"/>
      <c r="MXN118" s="38"/>
      <c r="MXO118" s="38"/>
      <c r="MXU118" s="36"/>
      <c r="MXV118" s="38"/>
      <c r="MXW118" s="38"/>
      <c r="MYC118" s="36"/>
      <c r="MYD118" s="38"/>
      <c r="MYE118" s="38"/>
      <c r="MYK118" s="36"/>
      <c r="MYL118" s="38"/>
      <c r="MYM118" s="38"/>
      <c r="MYS118" s="36"/>
      <c r="MYT118" s="38"/>
      <c r="MYU118" s="38"/>
      <c r="MZA118" s="36"/>
      <c r="MZB118" s="38"/>
      <c r="MZC118" s="38"/>
      <c r="MZI118" s="36"/>
      <c r="MZJ118" s="38"/>
      <c r="MZK118" s="38"/>
      <c r="MZQ118" s="36"/>
      <c r="MZR118" s="38"/>
      <c r="MZS118" s="38"/>
      <c r="MZY118" s="36"/>
      <c r="MZZ118" s="38"/>
      <c r="NAA118" s="38"/>
      <c r="NAG118" s="36"/>
      <c r="NAH118" s="38"/>
      <c r="NAI118" s="38"/>
      <c r="NAO118" s="36"/>
      <c r="NAP118" s="38"/>
      <c r="NAQ118" s="38"/>
      <c r="NAW118" s="36"/>
      <c r="NAX118" s="38"/>
      <c r="NAY118" s="38"/>
      <c r="NBE118" s="36"/>
      <c r="NBF118" s="38"/>
      <c r="NBG118" s="38"/>
      <c r="NBM118" s="36"/>
      <c r="NBN118" s="38"/>
      <c r="NBO118" s="38"/>
      <c r="NBU118" s="36"/>
      <c r="NBV118" s="38"/>
      <c r="NBW118" s="38"/>
      <c r="NCC118" s="36"/>
      <c r="NCD118" s="38"/>
      <c r="NCE118" s="38"/>
      <c r="NCK118" s="36"/>
      <c r="NCL118" s="38"/>
      <c r="NCM118" s="38"/>
      <c r="NCS118" s="36"/>
      <c r="NCT118" s="38"/>
      <c r="NCU118" s="38"/>
      <c r="NDA118" s="36"/>
      <c r="NDB118" s="38"/>
      <c r="NDC118" s="38"/>
      <c r="NDI118" s="36"/>
      <c r="NDJ118" s="38"/>
      <c r="NDK118" s="38"/>
      <c r="NDQ118" s="36"/>
      <c r="NDR118" s="38"/>
      <c r="NDS118" s="38"/>
      <c r="NDY118" s="36"/>
      <c r="NDZ118" s="38"/>
      <c r="NEA118" s="38"/>
      <c r="NEG118" s="36"/>
      <c r="NEH118" s="38"/>
      <c r="NEI118" s="38"/>
      <c r="NEO118" s="36"/>
      <c r="NEP118" s="38"/>
      <c r="NEQ118" s="38"/>
      <c r="NEW118" s="36"/>
      <c r="NEX118" s="38"/>
      <c r="NEY118" s="38"/>
      <c r="NFE118" s="36"/>
      <c r="NFF118" s="38"/>
      <c r="NFG118" s="38"/>
      <c r="NFM118" s="36"/>
      <c r="NFN118" s="38"/>
      <c r="NFO118" s="38"/>
      <c r="NFU118" s="36"/>
      <c r="NFV118" s="38"/>
      <c r="NFW118" s="38"/>
      <c r="NGC118" s="36"/>
      <c r="NGD118" s="38"/>
      <c r="NGE118" s="38"/>
      <c r="NGK118" s="36"/>
      <c r="NGL118" s="38"/>
      <c r="NGM118" s="38"/>
      <c r="NGS118" s="36"/>
      <c r="NGT118" s="38"/>
      <c r="NGU118" s="38"/>
      <c r="NHA118" s="36"/>
      <c r="NHB118" s="38"/>
      <c r="NHC118" s="38"/>
      <c r="NHI118" s="36"/>
      <c r="NHJ118" s="38"/>
      <c r="NHK118" s="38"/>
      <c r="NHQ118" s="36"/>
      <c r="NHR118" s="38"/>
      <c r="NHS118" s="38"/>
      <c r="NHY118" s="36"/>
      <c r="NHZ118" s="38"/>
      <c r="NIA118" s="38"/>
      <c r="NIG118" s="36"/>
      <c r="NIH118" s="38"/>
      <c r="NII118" s="38"/>
      <c r="NIO118" s="36"/>
      <c r="NIP118" s="38"/>
      <c r="NIQ118" s="38"/>
      <c r="NIW118" s="36"/>
      <c r="NIX118" s="38"/>
      <c r="NIY118" s="38"/>
      <c r="NJE118" s="36"/>
      <c r="NJF118" s="38"/>
      <c r="NJG118" s="38"/>
      <c r="NJM118" s="36"/>
      <c r="NJN118" s="38"/>
      <c r="NJO118" s="38"/>
      <c r="NJU118" s="36"/>
      <c r="NJV118" s="38"/>
      <c r="NJW118" s="38"/>
      <c r="NKC118" s="36"/>
      <c r="NKD118" s="38"/>
      <c r="NKE118" s="38"/>
      <c r="NKK118" s="36"/>
      <c r="NKL118" s="38"/>
      <c r="NKM118" s="38"/>
      <c r="NKS118" s="36"/>
      <c r="NKT118" s="38"/>
      <c r="NKU118" s="38"/>
      <c r="NLA118" s="36"/>
      <c r="NLB118" s="38"/>
      <c r="NLC118" s="38"/>
      <c r="NLI118" s="36"/>
      <c r="NLJ118" s="38"/>
      <c r="NLK118" s="38"/>
      <c r="NLQ118" s="36"/>
      <c r="NLR118" s="38"/>
      <c r="NLS118" s="38"/>
      <c r="NLY118" s="36"/>
      <c r="NLZ118" s="38"/>
      <c r="NMA118" s="38"/>
      <c r="NMG118" s="36"/>
      <c r="NMH118" s="38"/>
      <c r="NMI118" s="38"/>
      <c r="NMO118" s="36"/>
      <c r="NMP118" s="38"/>
      <c r="NMQ118" s="38"/>
      <c r="NMW118" s="36"/>
      <c r="NMX118" s="38"/>
      <c r="NMY118" s="38"/>
      <c r="NNE118" s="36"/>
      <c r="NNF118" s="38"/>
      <c r="NNG118" s="38"/>
      <c r="NNM118" s="36"/>
      <c r="NNN118" s="38"/>
      <c r="NNO118" s="38"/>
      <c r="NNU118" s="36"/>
      <c r="NNV118" s="38"/>
      <c r="NNW118" s="38"/>
      <c r="NOC118" s="36"/>
      <c r="NOD118" s="38"/>
      <c r="NOE118" s="38"/>
      <c r="NOK118" s="36"/>
      <c r="NOL118" s="38"/>
      <c r="NOM118" s="38"/>
      <c r="NOS118" s="36"/>
      <c r="NOT118" s="38"/>
      <c r="NOU118" s="38"/>
      <c r="NPA118" s="36"/>
      <c r="NPB118" s="38"/>
      <c r="NPC118" s="38"/>
      <c r="NPI118" s="36"/>
      <c r="NPJ118" s="38"/>
      <c r="NPK118" s="38"/>
      <c r="NPQ118" s="36"/>
      <c r="NPR118" s="38"/>
      <c r="NPS118" s="38"/>
      <c r="NPY118" s="36"/>
      <c r="NPZ118" s="38"/>
      <c r="NQA118" s="38"/>
      <c r="NQG118" s="36"/>
      <c r="NQH118" s="38"/>
      <c r="NQI118" s="38"/>
      <c r="NQO118" s="36"/>
      <c r="NQP118" s="38"/>
      <c r="NQQ118" s="38"/>
      <c r="NQW118" s="36"/>
      <c r="NQX118" s="38"/>
      <c r="NQY118" s="38"/>
      <c r="NRE118" s="36"/>
      <c r="NRF118" s="38"/>
      <c r="NRG118" s="38"/>
      <c r="NRM118" s="36"/>
      <c r="NRN118" s="38"/>
      <c r="NRO118" s="38"/>
      <c r="NRU118" s="36"/>
      <c r="NRV118" s="38"/>
      <c r="NRW118" s="38"/>
      <c r="NSC118" s="36"/>
      <c r="NSD118" s="38"/>
      <c r="NSE118" s="38"/>
      <c r="NSK118" s="36"/>
      <c r="NSL118" s="38"/>
      <c r="NSM118" s="38"/>
      <c r="NSS118" s="36"/>
      <c r="NST118" s="38"/>
      <c r="NSU118" s="38"/>
      <c r="NTA118" s="36"/>
      <c r="NTB118" s="38"/>
      <c r="NTC118" s="38"/>
      <c r="NTI118" s="36"/>
      <c r="NTJ118" s="38"/>
      <c r="NTK118" s="38"/>
      <c r="NTQ118" s="36"/>
      <c r="NTR118" s="38"/>
      <c r="NTS118" s="38"/>
      <c r="NTY118" s="36"/>
      <c r="NTZ118" s="38"/>
      <c r="NUA118" s="38"/>
      <c r="NUG118" s="36"/>
      <c r="NUH118" s="38"/>
      <c r="NUI118" s="38"/>
      <c r="NUO118" s="36"/>
      <c r="NUP118" s="38"/>
      <c r="NUQ118" s="38"/>
      <c r="NUW118" s="36"/>
      <c r="NUX118" s="38"/>
      <c r="NUY118" s="38"/>
      <c r="NVE118" s="36"/>
      <c r="NVF118" s="38"/>
      <c r="NVG118" s="38"/>
      <c r="NVM118" s="36"/>
      <c r="NVN118" s="38"/>
      <c r="NVO118" s="38"/>
      <c r="NVU118" s="36"/>
      <c r="NVV118" s="38"/>
      <c r="NVW118" s="38"/>
      <c r="NWC118" s="36"/>
      <c r="NWD118" s="38"/>
      <c r="NWE118" s="38"/>
      <c r="NWK118" s="36"/>
      <c r="NWL118" s="38"/>
      <c r="NWM118" s="38"/>
      <c r="NWS118" s="36"/>
      <c r="NWT118" s="38"/>
      <c r="NWU118" s="38"/>
      <c r="NXA118" s="36"/>
      <c r="NXB118" s="38"/>
      <c r="NXC118" s="38"/>
      <c r="NXI118" s="36"/>
      <c r="NXJ118" s="38"/>
      <c r="NXK118" s="38"/>
      <c r="NXQ118" s="36"/>
      <c r="NXR118" s="38"/>
      <c r="NXS118" s="38"/>
      <c r="NXY118" s="36"/>
      <c r="NXZ118" s="38"/>
      <c r="NYA118" s="38"/>
      <c r="NYG118" s="36"/>
      <c r="NYH118" s="38"/>
      <c r="NYI118" s="38"/>
      <c r="NYO118" s="36"/>
      <c r="NYP118" s="38"/>
      <c r="NYQ118" s="38"/>
      <c r="NYW118" s="36"/>
      <c r="NYX118" s="38"/>
      <c r="NYY118" s="38"/>
      <c r="NZE118" s="36"/>
      <c r="NZF118" s="38"/>
      <c r="NZG118" s="38"/>
      <c r="NZM118" s="36"/>
      <c r="NZN118" s="38"/>
      <c r="NZO118" s="38"/>
      <c r="NZU118" s="36"/>
      <c r="NZV118" s="38"/>
      <c r="NZW118" s="38"/>
      <c r="OAC118" s="36"/>
      <c r="OAD118" s="38"/>
      <c r="OAE118" s="38"/>
      <c r="OAK118" s="36"/>
      <c r="OAL118" s="38"/>
      <c r="OAM118" s="38"/>
      <c r="OAS118" s="36"/>
      <c r="OAT118" s="38"/>
      <c r="OAU118" s="38"/>
      <c r="OBA118" s="36"/>
      <c r="OBB118" s="38"/>
      <c r="OBC118" s="38"/>
      <c r="OBI118" s="36"/>
      <c r="OBJ118" s="38"/>
      <c r="OBK118" s="38"/>
      <c r="OBQ118" s="36"/>
      <c r="OBR118" s="38"/>
      <c r="OBS118" s="38"/>
      <c r="OBY118" s="36"/>
      <c r="OBZ118" s="38"/>
      <c r="OCA118" s="38"/>
      <c r="OCG118" s="36"/>
      <c r="OCH118" s="38"/>
      <c r="OCI118" s="38"/>
      <c r="OCO118" s="36"/>
      <c r="OCP118" s="38"/>
      <c r="OCQ118" s="38"/>
      <c r="OCW118" s="36"/>
      <c r="OCX118" s="38"/>
      <c r="OCY118" s="38"/>
      <c r="ODE118" s="36"/>
      <c r="ODF118" s="38"/>
      <c r="ODG118" s="38"/>
      <c r="ODM118" s="36"/>
      <c r="ODN118" s="38"/>
      <c r="ODO118" s="38"/>
      <c r="ODU118" s="36"/>
      <c r="ODV118" s="38"/>
      <c r="ODW118" s="38"/>
      <c r="OEC118" s="36"/>
      <c r="OED118" s="38"/>
      <c r="OEE118" s="38"/>
      <c r="OEK118" s="36"/>
      <c r="OEL118" s="38"/>
      <c r="OEM118" s="38"/>
      <c r="OES118" s="36"/>
      <c r="OET118" s="38"/>
      <c r="OEU118" s="38"/>
      <c r="OFA118" s="36"/>
      <c r="OFB118" s="38"/>
      <c r="OFC118" s="38"/>
      <c r="OFI118" s="36"/>
      <c r="OFJ118" s="38"/>
      <c r="OFK118" s="38"/>
      <c r="OFQ118" s="36"/>
      <c r="OFR118" s="38"/>
      <c r="OFS118" s="38"/>
      <c r="OFY118" s="36"/>
      <c r="OFZ118" s="38"/>
      <c r="OGA118" s="38"/>
      <c r="OGG118" s="36"/>
      <c r="OGH118" s="38"/>
      <c r="OGI118" s="38"/>
      <c r="OGO118" s="36"/>
      <c r="OGP118" s="38"/>
      <c r="OGQ118" s="38"/>
      <c r="OGW118" s="36"/>
      <c r="OGX118" s="38"/>
      <c r="OGY118" s="38"/>
      <c r="OHE118" s="36"/>
      <c r="OHF118" s="38"/>
      <c r="OHG118" s="38"/>
      <c r="OHM118" s="36"/>
      <c r="OHN118" s="38"/>
      <c r="OHO118" s="38"/>
      <c r="OHU118" s="36"/>
      <c r="OHV118" s="38"/>
      <c r="OHW118" s="38"/>
      <c r="OIC118" s="36"/>
      <c r="OID118" s="38"/>
      <c r="OIE118" s="38"/>
      <c r="OIK118" s="36"/>
      <c r="OIL118" s="38"/>
      <c r="OIM118" s="38"/>
      <c r="OIS118" s="36"/>
      <c r="OIT118" s="38"/>
      <c r="OIU118" s="38"/>
      <c r="OJA118" s="36"/>
      <c r="OJB118" s="38"/>
      <c r="OJC118" s="38"/>
      <c r="OJI118" s="36"/>
      <c r="OJJ118" s="38"/>
      <c r="OJK118" s="38"/>
      <c r="OJQ118" s="36"/>
      <c r="OJR118" s="38"/>
      <c r="OJS118" s="38"/>
      <c r="OJY118" s="36"/>
      <c r="OJZ118" s="38"/>
      <c r="OKA118" s="38"/>
      <c r="OKG118" s="36"/>
      <c r="OKH118" s="38"/>
      <c r="OKI118" s="38"/>
      <c r="OKO118" s="36"/>
      <c r="OKP118" s="38"/>
      <c r="OKQ118" s="38"/>
      <c r="OKW118" s="36"/>
      <c r="OKX118" s="38"/>
      <c r="OKY118" s="38"/>
      <c r="OLE118" s="36"/>
      <c r="OLF118" s="38"/>
      <c r="OLG118" s="38"/>
      <c r="OLM118" s="36"/>
      <c r="OLN118" s="38"/>
      <c r="OLO118" s="38"/>
      <c r="OLU118" s="36"/>
      <c r="OLV118" s="38"/>
      <c r="OLW118" s="38"/>
      <c r="OMC118" s="36"/>
      <c r="OMD118" s="38"/>
      <c r="OME118" s="38"/>
      <c r="OMK118" s="36"/>
      <c r="OML118" s="38"/>
      <c r="OMM118" s="38"/>
      <c r="OMS118" s="36"/>
      <c r="OMT118" s="38"/>
      <c r="OMU118" s="38"/>
      <c r="ONA118" s="36"/>
      <c r="ONB118" s="38"/>
      <c r="ONC118" s="38"/>
      <c r="ONI118" s="36"/>
      <c r="ONJ118" s="38"/>
      <c r="ONK118" s="38"/>
      <c r="ONQ118" s="36"/>
      <c r="ONR118" s="38"/>
      <c r="ONS118" s="38"/>
      <c r="ONY118" s="36"/>
      <c r="ONZ118" s="38"/>
      <c r="OOA118" s="38"/>
      <c r="OOG118" s="36"/>
      <c r="OOH118" s="38"/>
      <c r="OOI118" s="38"/>
      <c r="OOO118" s="36"/>
      <c r="OOP118" s="38"/>
      <c r="OOQ118" s="38"/>
      <c r="OOW118" s="36"/>
      <c r="OOX118" s="38"/>
      <c r="OOY118" s="38"/>
      <c r="OPE118" s="36"/>
      <c r="OPF118" s="38"/>
      <c r="OPG118" s="38"/>
      <c r="OPM118" s="36"/>
      <c r="OPN118" s="38"/>
      <c r="OPO118" s="38"/>
      <c r="OPU118" s="36"/>
      <c r="OPV118" s="38"/>
      <c r="OPW118" s="38"/>
      <c r="OQC118" s="36"/>
      <c r="OQD118" s="38"/>
      <c r="OQE118" s="38"/>
      <c r="OQK118" s="36"/>
      <c r="OQL118" s="38"/>
      <c r="OQM118" s="38"/>
      <c r="OQS118" s="36"/>
      <c r="OQT118" s="38"/>
      <c r="OQU118" s="38"/>
      <c r="ORA118" s="36"/>
      <c r="ORB118" s="38"/>
      <c r="ORC118" s="38"/>
      <c r="ORI118" s="36"/>
      <c r="ORJ118" s="38"/>
      <c r="ORK118" s="38"/>
      <c r="ORQ118" s="36"/>
      <c r="ORR118" s="38"/>
      <c r="ORS118" s="38"/>
      <c r="ORY118" s="36"/>
      <c r="ORZ118" s="38"/>
      <c r="OSA118" s="38"/>
      <c r="OSG118" s="36"/>
      <c r="OSH118" s="38"/>
      <c r="OSI118" s="38"/>
      <c r="OSO118" s="36"/>
      <c r="OSP118" s="38"/>
      <c r="OSQ118" s="38"/>
      <c r="OSW118" s="36"/>
      <c r="OSX118" s="38"/>
      <c r="OSY118" s="38"/>
      <c r="OTE118" s="36"/>
      <c r="OTF118" s="38"/>
      <c r="OTG118" s="38"/>
      <c r="OTM118" s="36"/>
      <c r="OTN118" s="38"/>
      <c r="OTO118" s="38"/>
      <c r="OTU118" s="36"/>
      <c r="OTV118" s="38"/>
      <c r="OTW118" s="38"/>
      <c r="OUC118" s="36"/>
      <c r="OUD118" s="38"/>
      <c r="OUE118" s="38"/>
      <c r="OUK118" s="36"/>
      <c r="OUL118" s="38"/>
      <c r="OUM118" s="38"/>
      <c r="OUS118" s="36"/>
      <c r="OUT118" s="38"/>
      <c r="OUU118" s="38"/>
      <c r="OVA118" s="36"/>
      <c r="OVB118" s="38"/>
      <c r="OVC118" s="38"/>
      <c r="OVI118" s="36"/>
      <c r="OVJ118" s="38"/>
      <c r="OVK118" s="38"/>
      <c r="OVQ118" s="36"/>
      <c r="OVR118" s="38"/>
      <c r="OVS118" s="38"/>
      <c r="OVY118" s="36"/>
      <c r="OVZ118" s="38"/>
      <c r="OWA118" s="38"/>
      <c r="OWG118" s="36"/>
      <c r="OWH118" s="38"/>
      <c r="OWI118" s="38"/>
      <c r="OWO118" s="36"/>
      <c r="OWP118" s="38"/>
      <c r="OWQ118" s="38"/>
      <c r="OWW118" s="36"/>
      <c r="OWX118" s="38"/>
      <c r="OWY118" s="38"/>
      <c r="OXE118" s="36"/>
      <c r="OXF118" s="38"/>
      <c r="OXG118" s="38"/>
      <c r="OXM118" s="36"/>
      <c r="OXN118" s="38"/>
      <c r="OXO118" s="38"/>
      <c r="OXU118" s="36"/>
      <c r="OXV118" s="38"/>
      <c r="OXW118" s="38"/>
      <c r="OYC118" s="36"/>
      <c r="OYD118" s="38"/>
      <c r="OYE118" s="38"/>
      <c r="OYK118" s="36"/>
      <c r="OYL118" s="38"/>
      <c r="OYM118" s="38"/>
      <c r="OYS118" s="36"/>
      <c r="OYT118" s="38"/>
      <c r="OYU118" s="38"/>
      <c r="OZA118" s="36"/>
      <c r="OZB118" s="38"/>
      <c r="OZC118" s="38"/>
      <c r="OZI118" s="36"/>
      <c r="OZJ118" s="38"/>
      <c r="OZK118" s="38"/>
      <c r="OZQ118" s="36"/>
      <c r="OZR118" s="38"/>
      <c r="OZS118" s="38"/>
      <c r="OZY118" s="36"/>
      <c r="OZZ118" s="38"/>
      <c r="PAA118" s="38"/>
      <c r="PAG118" s="36"/>
      <c r="PAH118" s="38"/>
      <c r="PAI118" s="38"/>
      <c r="PAO118" s="36"/>
      <c r="PAP118" s="38"/>
      <c r="PAQ118" s="38"/>
      <c r="PAW118" s="36"/>
      <c r="PAX118" s="38"/>
      <c r="PAY118" s="38"/>
      <c r="PBE118" s="36"/>
      <c r="PBF118" s="38"/>
      <c r="PBG118" s="38"/>
      <c r="PBM118" s="36"/>
      <c r="PBN118" s="38"/>
      <c r="PBO118" s="38"/>
      <c r="PBU118" s="36"/>
      <c r="PBV118" s="38"/>
      <c r="PBW118" s="38"/>
      <c r="PCC118" s="36"/>
      <c r="PCD118" s="38"/>
      <c r="PCE118" s="38"/>
      <c r="PCK118" s="36"/>
      <c r="PCL118" s="38"/>
      <c r="PCM118" s="38"/>
      <c r="PCS118" s="36"/>
      <c r="PCT118" s="38"/>
      <c r="PCU118" s="38"/>
      <c r="PDA118" s="36"/>
      <c r="PDB118" s="38"/>
      <c r="PDC118" s="38"/>
      <c r="PDI118" s="36"/>
      <c r="PDJ118" s="38"/>
      <c r="PDK118" s="38"/>
      <c r="PDQ118" s="36"/>
      <c r="PDR118" s="38"/>
      <c r="PDS118" s="38"/>
      <c r="PDY118" s="36"/>
      <c r="PDZ118" s="38"/>
      <c r="PEA118" s="38"/>
      <c r="PEG118" s="36"/>
      <c r="PEH118" s="38"/>
      <c r="PEI118" s="38"/>
      <c r="PEO118" s="36"/>
      <c r="PEP118" s="38"/>
      <c r="PEQ118" s="38"/>
      <c r="PEW118" s="36"/>
      <c r="PEX118" s="38"/>
      <c r="PEY118" s="38"/>
      <c r="PFE118" s="36"/>
      <c r="PFF118" s="38"/>
      <c r="PFG118" s="38"/>
      <c r="PFM118" s="36"/>
      <c r="PFN118" s="38"/>
      <c r="PFO118" s="38"/>
      <c r="PFU118" s="36"/>
      <c r="PFV118" s="38"/>
      <c r="PFW118" s="38"/>
      <c r="PGC118" s="36"/>
      <c r="PGD118" s="38"/>
      <c r="PGE118" s="38"/>
      <c r="PGK118" s="36"/>
      <c r="PGL118" s="38"/>
      <c r="PGM118" s="38"/>
      <c r="PGS118" s="36"/>
      <c r="PGT118" s="38"/>
      <c r="PGU118" s="38"/>
      <c r="PHA118" s="36"/>
      <c r="PHB118" s="38"/>
      <c r="PHC118" s="38"/>
      <c r="PHI118" s="36"/>
      <c r="PHJ118" s="38"/>
      <c r="PHK118" s="38"/>
      <c r="PHQ118" s="36"/>
      <c r="PHR118" s="38"/>
      <c r="PHS118" s="38"/>
      <c r="PHY118" s="36"/>
      <c r="PHZ118" s="38"/>
      <c r="PIA118" s="38"/>
      <c r="PIG118" s="36"/>
      <c r="PIH118" s="38"/>
      <c r="PII118" s="38"/>
      <c r="PIO118" s="36"/>
      <c r="PIP118" s="38"/>
      <c r="PIQ118" s="38"/>
      <c r="PIW118" s="36"/>
      <c r="PIX118" s="38"/>
      <c r="PIY118" s="38"/>
      <c r="PJE118" s="36"/>
      <c r="PJF118" s="38"/>
      <c r="PJG118" s="38"/>
      <c r="PJM118" s="36"/>
      <c r="PJN118" s="38"/>
      <c r="PJO118" s="38"/>
      <c r="PJU118" s="36"/>
      <c r="PJV118" s="38"/>
      <c r="PJW118" s="38"/>
      <c r="PKC118" s="36"/>
      <c r="PKD118" s="38"/>
      <c r="PKE118" s="38"/>
      <c r="PKK118" s="36"/>
      <c r="PKL118" s="38"/>
      <c r="PKM118" s="38"/>
      <c r="PKS118" s="36"/>
      <c r="PKT118" s="38"/>
      <c r="PKU118" s="38"/>
      <c r="PLA118" s="36"/>
      <c r="PLB118" s="38"/>
      <c r="PLC118" s="38"/>
      <c r="PLI118" s="36"/>
      <c r="PLJ118" s="38"/>
      <c r="PLK118" s="38"/>
      <c r="PLQ118" s="36"/>
      <c r="PLR118" s="38"/>
      <c r="PLS118" s="38"/>
      <c r="PLY118" s="36"/>
      <c r="PLZ118" s="38"/>
      <c r="PMA118" s="38"/>
      <c r="PMG118" s="36"/>
      <c r="PMH118" s="38"/>
      <c r="PMI118" s="38"/>
      <c r="PMO118" s="36"/>
      <c r="PMP118" s="38"/>
      <c r="PMQ118" s="38"/>
      <c r="PMW118" s="36"/>
      <c r="PMX118" s="38"/>
      <c r="PMY118" s="38"/>
      <c r="PNE118" s="36"/>
      <c r="PNF118" s="38"/>
      <c r="PNG118" s="38"/>
      <c r="PNM118" s="36"/>
      <c r="PNN118" s="38"/>
      <c r="PNO118" s="38"/>
      <c r="PNU118" s="36"/>
      <c r="PNV118" s="38"/>
      <c r="PNW118" s="38"/>
      <c r="POC118" s="36"/>
      <c r="POD118" s="38"/>
      <c r="POE118" s="38"/>
      <c r="POK118" s="36"/>
      <c r="POL118" s="38"/>
      <c r="POM118" s="38"/>
      <c r="POS118" s="36"/>
      <c r="POT118" s="38"/>
      <c r="POU118" s="38"/>
      <c r="PPA118" s="36"/>
      <c r="PPB118" s="38"/>
      <c r="PPC118" s="38"/>
      <c r="PPI118" s="36"/>
      <c r="PPJ118" s="38"/>
      <c r="PPK118" s="38"/>
      <c r="PPQ118" s="36"/>
      <c r="PPR118" s="38"/>
      <c r="PPS118" s="38"/>
      <c r="PPY118" s="36"/>
      <c r="PPZ118" s="38"/>
      <c r="PQA118" s="38"/>
      <c r="PQG118" s="36"/>
      <c r="PQH118" s="38"/>
      <c r="PQI118" s="38"/>
      <c r="PQO118" s="36"/>
      <c r="PQP118" s="38"/>
      <c r="PQQ118" s="38"/>
      <c r="PQW118" s="36"/>
      <c r="PQX118" s="38"/>
      <c r="PQY118" s="38"/>
      <c r="PRE118" s="36"/>
      <c r="PRF118" s="38"/>
      <c r="PRG118" s="38"/>
      <c r="PRM118" s="36"/>
      <c r="PRN118" s="38"/>
      <c r="PRO118" s="38"/>
      <c r="PRU118" s="36"/>
      <c r="PRV118" s="38"/>
      <c r="PRW118" s="38"/>
      <c r="PSC118" s="36"/>
      <c r="PSD118" s="38"/>
      <c r="PSE118" s="38"/>
      <c r="PSK118" s="36"/>
      <c r="PSL118" s="38"/>
      <c r="PSM118" s="38"/>
      <c r="PSS118" s="36"/>
      <c r="PST118" s="38"/>
      <c r="PSU118" s="38"/>
      <c r="PTA118" s="36"/>
      <c r="PTB118" s="38"/>
      <c r="PTC118" s="38"/>
      <c r="PTI118" s="36"/>
      <c r="PTJ118" s="38"/>
      <c r="PTK118" s="38"/>
      <c r="PTQ118" s="36"/>
      <c r="PTR118" s="38"/>
      <c r="PTS118" s="38"/>
      <c r="PTY118" s="36"/>
      <c r="PTZ118" s="38"/>
      <c r="PUA118" s="38"/>
      <c r="PUG118" s="36"/>
      <c r="PUH118" s="38"/>
      <c r="PUI118" s="38"/>
      <c r="PUO118" s="36"/>
      <c r="PUP118" s="38"/>
      <c r="PUQ118" s="38"/>
      <c r="PUW118" s="36"/>
      <c r="PUX118" s="38"/>
      <c r="PUY118" s="38"/>
      <c r="PVE118" s="36"/>
      <c r="PVF118" s="38"/>
      <c r="PVG118" s="38"/>
      <c r="PVM118" s="36"/>
      <c r="PVN118" s="38"/>
      <c r="PVO118" s="38"/>
      <c r="PVU118" s="36"/>
      <c r="PVV118" s="38"/>
      <c r="PVW118" s="38"/>
      <c r="PWC118" s="36"/>
      <c r="PWD118" s="38"/>
      <c r="PWE118" s="38"/>
      <c r="PWK118" s="36"/>
      <c r="PWL118" s="38"/>
      <c r="PWM118" s="38"/>
      <c r="PWS118" s="36"/>
      <c r="PWT118" s="38"/>
      <c r="PWU118" s="38"/>
      <c r="PXA118" s="36"/>
      <c r="PXB118" s="38"/>
      <c r="PXC118" s="38"/>
      <c r="PXI118" s="36"/>
      <c r="PXJ118" s="38"/>
      <c r="PXK118" s="38"/>
      <c r="PXQ118" s="36"/>
      <c r="PXR118" s="38"/>
      <c r="PXS118" s="38"/>
      <c r="PXY118" s="36"/>
      <c r="PXZ118" s="38"/>
      <c r="PYA118" s="38"/>
      <c r="PYG118" s="36"/>
      <c r="PYH118" s="38"/>
      <c r="PYI118" s="38"/>
      <c r="PYO118" s="36"/>
      <c r="PYP118" s="38"/>
      <c r="PYQ118" s="38"/>
      <c r="PYW118" s="36"/>
      <c r="PYX118" s="38"/>
      <c r="PYY118" s="38"/>
      <c r="PZE118" s="36"/>
      <c r="PZF118" s="38"/>
      <c r="PZG118" s="38"/>
      <c r="PZM118" s="36"/>
      <c r="PZN118" s="38"/>
      <c r="PZO118" s="38"/>
      <c r="PZU118" s="36"/>
      <c r="PZV118" s="38"/>
      <c r="PZW118" s="38"/>
      <c r="QAC118" s="36"/>
      <c r="QAD118" s="38"/>
      <c r="QAE118" s="38"/>
      <c r="QAK118" s="36"/>
      <c r="QAL118" s="38"/>
      <c r="QAM118" s="38"/>
      <c r="QAS118" s="36"/>
      <c r="QAT118" s="38"/>
      <c r="QAU118" s="38"/>
      <c r="QBA118" s="36"/>
      <c r="QBB118" s="38"/>
      <c r="QBC118" s="38"/>
      <c r="QBI118" s="36"/>
      <c r="QBJ118" s="38"/>
      <c r="QBK118" s="38"/>
      <c r="QBQ118" s="36"/>
      <c r="QBR118" s="38"/>
      <c r="QBS118" s="38"/>
      <c r="QBY118" s="36"/>
      <c r="QBZ118" s="38"/>
      <c r="QCA118" s="38"/>
      <c r="QCG118" s="36"/>
      <c r="QCH118" s="38"/>
      <c r="QCI118" s="38"/>
      <c r="QCO118" s="36"/>
      <c r="QCP118" s="38"/>
      <c r="QCQ118" s="38"/>
      <c r="QCW118" s="36"/>
      <c r="QCX118" s="38"/>
      <c r="QCY118" s="38"/>
      <c r="QDE118" s="36"/>
      <c r="QDF118" s="38"/>
      <c r="QDG118" s="38"/>
      <c r="QDM118" s="36"/>
      <c r="QDN118" s="38"/>
      <c r="QDO118" s="38"/>
      <c r="QDU118" s="36"/>
      <c r="QDV118" s="38"/>
      <c r="QDW118" s="38"/>
      <c r="QEC118" s="36"/>
      <c r="QED118" s="38"/>
      <c r="QEE118" s="38"/>
      <c r="QEK118" s="36"/>
      <c r="QEL118" s="38"/>
      <c r="QEM118" s="38"/>
      <c r="QES118" s="36"/>
      <c r="QET118" s="38"/>
      <c r="QEU118" s="38"/>
      <c r="QFA118" s="36"/>
      <c r="QFB118" s="38"/>
      <c r="QFC118" s="38"/>
      <c r="QFI118" s="36"/>
      <c r="QFJ118" s="38"/>
      <c r="QFK118" s="38"/>
      <c r="QFQ118" s="36"/>
      <c r="QFR118" s="38"/>
      <c r="QFS118" s="38"/>
      <c r="QFY118" s="36"/>
      <c r="QFZ118" s="38"/>
      <c r="QGA118" s="38"/>
      <c r="QGG118" s="36"/>
      <c r="QGH118" s="38"/>
      <c r="QGI118" s="38"/>
      <c r="QGO118" s="36"/>
      <c r="QGP118" s="38"/>
      <c r="QGQ118" s="38"/>
      <c r="QGW118" s="36"/>
      <c r="QGX118" s="38"/>
      <c r="QGY118" s="38"/>
      <c r="QHE118" s="36"/>
      <c r="QHF118" s="38"/>
      <c r="QHG118" s="38"/>
      <c r="QHM118" s="36"/>
      <c r="QHN118" s="38"/>
      <c r="QHO118" s="38"/>
      <c r="QHU118" s="36"/>
      <c r="QHV118" s="38"/>
      <c r="QHW118" s="38"/>
      <c r="QIC118" s="36"/>
      <c r="QID118" s="38"/>
      <c r="QIE118" s="38"/>
      <c r="QIK118" s="36"/>
      <c r="QIL118" s="38"/>
      <c r="QIM118" s="38"/>
      <c r="QIS118" s="36"/>
      <c r="QIT118" s="38"/>
      <c r="QIU118" s="38"/>
      <c r="QJA118" s="36"/>
      <c r="QJB118" s="38"/>
      <c r="QJC118" s="38"/>
      <c r="QJI118" s="36"/>
      <c r="QJJ118" s="38"/>
      <c r="QJK118" s="38"/>
      <c r="QJQ118" s="36"/>
      <c r="QJR118" s="38"/>
      <c r="QJS118" s="38"/>
      <c r="QJY118" s="36"/>
      <c r="QJZ118" s="38"/>
      <c r="QKA118" s="38"/>
      <c r="QKG118" s="36"/>
      <c r="QKH118" s="38"/>
      <c r="QKI118" s="38"/>
      <c r="QKO118" s="36"/>
      <c r="QKP118" s="38"/>
      <c r="QKQ118" s="38"/>
      <c r="QKW118" s="36"/>
      <c r="QKX118" s="38"/>
      <c r="QKY118" s="38"/>
      <c r="QLE118" s="36"/>
      <c r="QLF118" s="38"/>
      <c r="QLG118" s="38"/>
      <c r="QLM118" s="36"/>
      <c r="QLN118" s="38"/>
      <c r="QLO118" s="38"/>
      <c r="QLU118" s="36"/>
      <c r="QLV118" s="38"/>
      <c r="QLW118" s="38"/>
      <c r="QMC118" s="36"/>
      <c r="QMD118" s="38"/>
      <c r="QME118" s="38"/>
      <c r="QMK118" s="36"/>
      <c r="QML118" s="38"/>
      <c r="QMM118" s="38"/>
      <c r="QMS118" s="36"/>
      <c r="QMT118" s="38"/>
      <c r="QMU118" s="38"/>
      <c r="QNA118" s="36"/>
      <c r="QNB118" s="38"/>
      <c r="QNC118" s="38"/>
      <c r="QNI118" s="36"/>
      <c r="QNJ118" s="38"/>
      <c r="QNK118" s="38"/>
      <c r="QNQ118" s="36"/>
      <c r="QNR118" s="38"/>
      <c r="QNS118" s="38"/>
      <c r="QNY118" s="36"/>
      <c r="QNZ118" s="38"/>
      <c r="QOA118" s="38"/>
      <c r="QOG118" s="36"/>
      <c r="QOH118" s="38"/>
      <c r="QOI118" s="38"/>
      <c r="QOO118" s="36"/>
      <c r="QOP118" s="38"/>
      <c r="QOQ118" s="38"/>
      <c r="QOW118" s="36"/>
      <c r="QOX118" s="38"/>
      <c r="QOY118" s="38"/>
      <c r="QPE118" s="36"/>
      <c r="QPF118" s="38"/>
      <c r="QPG118" s="38"/>
      <c r="QPM118" s="36"/>
      <c r="QPN118" s="38"/>
      <c r="QPO118" s="38"/>
      <c r="QPU118" s="36"/>
      <c r="QPV118" s="38"/>
      <c r="QPW118" s="38"/>
      <c r="QQC118" s="36"/>
      <c r="QQD118" s="38"/>
      <c r="QQE118" s="38"/>
      <c r="QQK118" s="36"/>
      <c r="QQL118" s="38"/>
      <c r="QQM118" s="38"/>
      <c r="QQS118" s="36"/>
      <c r="QQT118" s="38"/>
      <c r="QQU118" s="38"/>
      <c r="QRA118" s="36"/>
      <c r="QRB118" s="38"/>
      <c r="QRC118" s="38"/>
      <c r="QRI118" s="36"/>
      <c r="QRJ118" s="38"/>
      <c r="QRK118" s="38"/>
      <c r="QRQ118" s="36"/>
      <c r="QRR118" s="38"/>
      <c r="QRS118" s="38"/>
      <c r="QRY118" s="36"/>
      <c r="QRZ118" s="38"/>
      <c r="QSA118" s="38"/>
      <c r="QSG118" s="36"/>
      <c r="QSH118" s="38"/>
      <c r="QSI118" s="38"/>
      <c r="QSO118" s="36"/>
      <c r="QSP118" s="38"/>
      <c r="QSQ118" s="38"/>
      <c r="QSW118" s="36"/>
      <c r="QSX118" s="38"/>
      <c r="QSY118" s="38"/>
      <c r="QTE118" s="36"/>
      <c r="QTF118" s="38"/>
      <c r="QTG118" s="38"/>
      <c r="QTM118" s="36"/>
      <c r="QTN118" s="38"/>
      <c r="QTO118" s="38"/>
      <c r="QTU118" s="36"/>
      <c r="QTV118" s="38"/>
      <c r="QTW118" s="38"/>
      <c r="QUC118" s="36"/>
      <c r="QUD118" s="38"/>
      <c r="QUE118" s="38"/>
      <c r="QUK118" s="36"/>
      <c r="QUL118" s="38"/>
      <c r="QUM118" s="38"/>
      <c r="QUS118" s="36"/>
      <c r="QUT118" s="38"/>
      <c r="QUU118" s="38"/>
      <c r="QVA118" s="36"/>
      <c r="QVB118" s="38"/>
      <c r="QVC118" s="38"/>
      <c r="QVI118" s="36"/>
      <c r="QVJ118" s="38"/>
      <c r="QVK118" s="38"/>
      <c r="QVQ118" s="36"/>
      <c r="QVR118" s="38"/>
      <c r="QVS118" s="38"/>
      <c r="QVY118" s="36"/>
      <c r="QVZ118" s="38"/>
      <c r="QWA118" s="38"/>
      <c r="QWG118" s="36"/>
      <c r="QWH118" s="38"/>
      <c r="QWI118" s="38"/>
      <c r="QWO118" s="36"/>
      <c r="QWP118" s="38"/>
      <c r="QWQ118" s="38"/>
      <c r="QWW118" s="36"/>
      <c r="QWX118" s="38"/>
      <c r="QWY118" s="38"/>
      <c r="QXE118" s="36"/>
      <c r="QXF118" s="38"/>
      <c r="QXG118" s="38"/>
      <c r="QXM118" s="36"/>
      <c r="QXN118" s="38"/>
      <c r="QXO118" s="38"/>
      <c r="QXU118" s="36"/>
      <c r="QXV118" s="38"/>
      <c r="QXW118" s="38"/>
      <c r="QYC118" s="36"/>
      <c r="QYD118" s="38"/>
      <c r="QYE118" s="38"/>
      <c r="QYK118" s="36"/>
      <c r="QYL118" s="38"/>
      <c r="QYM118" s="38"/>
      <c r="QYS118" s="36"/>
      <c r="QYT118" s="38"/>
      <c r="QYU118" s="38"/>
      <c r="QZA118" s="36"/>
      <c r="QZB118" s="38"/>
      <c r="QZC118" s="38"/>
      <c r="QZI118" s="36"/>
      <c r="QZJ118" s="38"/>
      <c r="QZK118" s="38"/>
      <c r="QZQ118" s="36"/>
      <c r="QZR118" s="38"/>
      <c r="QZS118" s="38"/>
      <c r="QZY118" s="36"/>
      <c r="QZZ118" s="38"/>
      <c r="RAA118" s="38"/>
      <c r="RAG118" s="36"/>
      <c r="RAH118" s="38"/>
      <c r="RAI118" s="38"/>
      <c r="RAO118" s="36"/>
      <c r="RAP118" s="38"/>
      <c r="RAQ118" s="38"/>
      <c r="RAW118" s="36"/>
      <c r="RAX118" s="38"/>
      <c r="RAY118" s="38"/>
      <c r="RBE118" s="36"/>
      <c r="RBF118" s="38"/>
      <c r="RBG118" s="38"/>
      <c r="RBM118" s="36"/>
      <c r="RBN118" s="38"/>
      <c r="RBO118" s="38"/>
      <c r="RBU118" s="36"/>
      <c r="RBV118" s="38"/>
      <c r="RBW118" s="38"/>
      <c r="RCC118" s="36"/>
      <c r="RCD118" s="38"/>
      <c r="RCE118" s="38"/>
      <c r="RCK118" s="36"/>
      <c r="RCL118" s="38"/>
      <c r="RCM118" s="38"/>
      <c r="RCS118" s="36"/>
      <c r="RCT118" s="38"/>
      <c r="RCU118" s="38"/>
      <c r="RDA118" s="36"/>
      <c r="RDB118" s="38"/>
      <c r="RDC118" s="38"/>
      <c r="RDI118" s="36"/>
      <c r="RDJ118" s="38"/>
      <c r="RDK118" s="38"/>
      <c r="RDQ118" s="36"/>
      <c r="RDR118" s="38"/>
      <c r="RDS118" s="38"/>
      <c r="RDY118" s="36"/>
      <c r="RDZ118" s="38"/>
      <c r="REA118" s="38"/>
      <c r="REG118" s="36"/>
      <c r="REH118" s="38"/>
      <c r="REI118" s="38"/>
      <c r="REO118" s="36"/>
      <c r="REP118" s="38"/>
      <c r="REQ118" s="38"/>
      <c r="REW118" s="36"/>
      <c r="REX118" s="38"/>
      <c r="REY118" s="38"/>
      <c r="RFE118" s="36"/>
      <c r="RFF118" s="38"/>
      <c r="RFG118" s="38"/>
      <c r="RFM118" s="36"/>
      <c r="RFN118" s="38"/>
      <c r="RFO118" s="38"/>
      <c r="RFU118" s="36"/>
      <c r="RFV118" s="38"/>
      <c r="RFW118" s="38"/>
      <c r="RGC118" s="36"/>
      <c r="RGD118" s="38"/>
      <c r="RGE118" s="38"/>
      <c r="RGK118" s="36"/>
      <c r="RGL118" s="38"/>
      <c r="RGM118" s="38"/>
      <c r="RGS118" s="36"/>
      <c r="RGT118" s="38"/>
      <c r="RGU118" s="38"/>
      <c r="RHA118" s="36"/>
      <c r="RHB118" s="38"/>
      <c r="RHC118" s="38"/>
      <c r="RHI118" s="36"/>
      <c r="RHJ118" s="38"/>
      <c r="RHK118" s="38"/>
      <c r="RHQ118" s="36"/>
      <c r="RHR118" s="38"/>
      <c r="RHS118" s="38"/>
      <c r="RHY118" s="36"/>
      <c r="RHZ118" s="38"/>
      <c r="RIA118" s="38"/>
      <c r="RIG118" s="36"/>
      <c r="RIH118" s="38"/>
      <c r="RII118" s="38"/>
      <c r="RIO118" s="36"/>
      <c r="RIP118" s="38"/>
      <c r="RIQ118" s="38"/>
      <c r="RIW118" s="36"/>
      <c r="RIX118" s="38"/>
      <c r="RIY118" s="38"/>
      <c r="RJE118" s="36"/>
      <c r="RJF118" s="38"/>
      <c r="RJG118" s="38"/>
      <c r="RJM118" s="36"/>
      <c r="RJN118" s="38"/>
      <c r="RJO118" s="38"/>
      <c r="RJU118" s="36"/>
      <c r="RJV118" s="38"/>
      <c r="RJW118" s="38"/>
      <c r="RKC118" s="36"/>
      <c r="RKD118" s="38"/>
      <c r="RKE118" s="38"/>
      <c r="RKK118" s="36"/>
      <c r="RKL118" s="38"/>
      <c r="RKM118" s="38"/>
      <c r="RKS118" s="36"/>
      <c r="RKT118" s="38"/>
      <c r="RKU118" s="38"/>
      <c r="RLA118" s="36"/>
      <c r="RLB118" s="38"/>
      <c r="RLC118" s="38"/>
      <c r="RLI118" s="36"/>
      <c r="RLJ118" s="38"/>
      <c r="RLK118" s="38"/>
      <c r="RLQ118" s="36"/>
      <c r="RLR118" s="38"/>
      <c r="RLS118" s="38"/>
      <c r="RLY118" s="36"/>
      <c r="RLZ118" s="38"/>
      <c r="RMA118" s="38"/>
      <c r="RMG118" s="36"/>
      <c r="RMH118" s="38"/>
      <c r="RMI118" s="38"/>
      <c r="RMO118" s="36"/>
      <c r="RMP118" s="38"/>
      <c r="RMQ118" s="38"/>
      <c r="RMW118" s="36"/>
      <c r="RMX118" s="38"/>
      <c r="RMY118" s="38"/>
      <c r="RNE118" s="36"/>
      <c r="RNF118" s="38"/>
      <c r="RNG118" s="38"/>
      <c r="RNM118" s="36"/>
      <c r="RNN118" s="38"/>
      <c r="RNO118" s="38"/>
      <c r="RNU118" s="36"/>
      <c r="RNV118" s="38"/>
      <c r="RNW118" s="38"/>
      <c r="ROC118" s="36"/>
      <c r="ROD118" s="38"/>
      <c r="ROE118" s="38"/>
      <c r="ROK118" s="36"/>
      <c r="ROL118" s="38"/>
      <c r="ROM118" s="38"/>
      <c r="ROS118" s="36"/>
      <c r="ROT118" s="38"/>
      <c r="ROU118" s="38"/>
      <c r="RPA118" s="36"/>
      <c r="RPB118" s="38"/>
      <c r="RPC118" s="38"/>
      <c r="RPI118" s="36"/>
      <c r="RPJ118" s="38"/>
      <c r="RPK118" s="38"/>
      <c r="RPQ118" s="36"/>
      <c r="RPR118" s="38"/>
      <c r="RPS118" s="38"/>
      <c r="RPY118" s="36"/>
      <c r="RPZ118" s="38"/>
      <c r="RQA118" s="38"/>
      <c r="RQG118" s="36"/>
      <c r="RQH118" s="38"/>
      <c r="RQI118" s="38"/>
      <c r="RQO118" s="36"/>
      <c r="RQP118" s="38"/>
      <c r="RQQ118" s="38"/>
      <c r="RQW118" s="36"/>
      <c r="RQX118" s="38"/>
      <c r="RQY118" s="38"/>
      <c r="RRE118" s="36"/>
      <c r="RRF118" s="38"/>
      <c r="RRG118" s="38"/>
      <c r="RRM118" s="36"/>
      <c r="RRN118" s="38"/>
      <c r="RRO118" s="38"/>
      <c r="RRU118" s="36"/>
      <c r="RRV118" s="38"/>
      <c r="RRW118" s="38"/>
      <c r="RSC118" s="36"/>
      <c r="RSD118" s="38"/>
      <c r="RSE118" s="38"/>
      <c r="RSK118" s="36"/>
      <c r="RSL118" s="38"/>
      <c r="RSM118" s="38"/>
      <c r="RSS118" s="36"/>
      <c r="RST118" s="38"/>
      <c r="RSU118" s="38"/>
      <c r="RTA118" s="36"/>
      <c r="RTB118" s="38"/>
      <c r="RTC118" s="38"/>
      <c r="RTI118" s="36"/>
      <c r="RTJ118" s="38"/>
      <c r="RTK118" s="38"/>
      <c r="RTQ118" s="36"/>
      <c r="RTR118" s="38"/>
      <c r="RTS118" s="38"/>
      <c r="RTY118" s="36"/>
      <c r="RTZ118" s="38"/>
      <c r="RUA118" s="38"/>
      <c r="RUG118" s="36"/>
      <c r="RUH118" s="38"/>
      <c r="RUI118" s="38"/>
      <c r="RUO118" s="36"/>
      <c r="RUP118" s="38"/>
      <c r="RUQ118" s="38"/>
      <c r="RUW118" s="36"/>
      <c r="RUX118" s="38"/>
      <c r="RUY118" s="38"/>
      <c r="RVE118" s="36"/>
      <c r="RVF118" s="38"/>
      <c r="RVG118" s="38"/>
      <c r="RVM118" s="36"/>
      <c r="RVN118" s="38"/>
      <c r="RVO118" s="38"/>
      <c r="RVU118" s="36"/>
      <c r="RVV118" s="38"/>
      <c r="RVW118" s="38"/>
      <c r="RWC118" s="36"/>
      <c r="RWD118" s="38"/>
      <c r="RWE118" s="38"/>
      <c r="RWK118" s="36"/>
      <c r="RWL118" s="38"/>
      <c r="RWM118" s="38"/>
      <c r="RWS118" s="36"/>
      <c r="RWT118" s="38"/>
      <c r="RWU118" s="38"/>
      <c r="RXA118" s="36"/>
      <c r="RXB118" s="38"/>
      <c r="RXC118" s="38"/>
      <c r="RXI118" s="36"/>
      <c r="RXJ118" s="38"/>
      <c r="RXK118" s="38"/>
      <c r="RXQ118" s="36"/>
      <c r="RXR118" s="38"/>
      <c r="RXS118" s="38"/>
      <c r="RXY118" s="36"/>
      <c r="RXZ118" s="38"/>
      <c r="RYA118" s="38"/>
      <c r="RYG118" s="36"/>
      <c r="RYH118" s="38"/>
      <c r="RYI118" s="38"/>
      <c r="RYO118" s="36"/>
      <c r="RYP118" s="38"/>
      <c r="RYQ118" s="38"/>
      <c r="RYW118" s="36"/>
      <c r="RYX118" s="38"/>
      <c r="RYY118" s="38"/>
      <c r="RZE118" s="36"/>
      <c r="RZF118" s="38"/>
      <c r="RZG118" s="38"/>
      <c r="RZM118" s="36"/>
      <c r="RZN118" s="38"/>
      <c r="RZO118" s="38"/>
      <c r="RZU118" s="36"/>
      <c r="RZV118" s="38"/>
      <c r="RZW118" s="38"/>
      <c r="SAC118" s="36"/>
      <c r="SAD118" s="38"/>
      <c r="SAE118" s="38"/>
      <c r="SAK118" s="36"/>
      <c r="SAL118" s="38"/>
      <c r="SAM118" s="38"/>
      <c r="SAS118" s="36"/>
      <c r="SAT118" s="38"/>
      <c r="SAU118" s="38"/>
      <c r="SBA118" s="36"/>
      <c r="SBB118" s="38"/>
      <c r="SBC118" s="38"/>
      <c r="SBI118" s="36"/>
      <c r="SBJ118" s="38"/>
      <c r="SBK118" s="38"/>
      <c r="SBQ118" s="36"/>
      <c r="SBR118" s="38"/>
      <c r="SBS118" s="38"/>
      <c r="SBY118" s="36"/>
      <c r="SBZ118" s="38"/>
      <c r="SCA118" s="38"/>
      <c r="SCG118" s="36"/>
      <c r="SCH118" s="38"/>
      <c r="SCI118" s="38"/>
      <c r="SCO118" s="36"/>
      <c r="SCP118" s="38"/>
      <c r="SCQ118" s="38"/>
      <c r="SCW118" s="36"/>
      <c r="SCX118" s="38"/>
      <c r="SCY118" s="38"/>
      <c r="SDE118" s="36"/>
      <c r="SDF118" s="38"/>
      <c r="SDG118" s="38"/>
      <c r="SDM118" s="36"/>
      <c r="SDN118" s="38"/>
      <c r="SDO118" s="38"/>
      <c r="SDU118" s="36"/>
      <c r="SDV118" s="38"/>
      <c r="SDW118" s="38"/>
      <c r="SEC118" s="36"/>
      <c r="SED118" s="38"/>
      <c r="SEE118" s="38"/>
      <c r="SEK118" s="36"/>
      <c r="SEL118" s="38"/>
      <c r="SEM118" s="38"/>
      <c r="SES118" s="36"/>
      <c r="SET118" s="38"/>
      <c r="SEU118" s="38"/>
      <c r="SFA118" s="36"/>
      <c r="SFB118" s="38"/>
      <c r="SFC118" s="38"/>
      <c r="SFI118" s="36"/>
      <c r="SFJ118" s="38"/>
      <c r="SFK118" s="38"/>
      <c r="SFQ118" s="36"/>
      <c r="SFR118" s="38"/>
      <c r="SFS118" s="38"/>
      <c r="SFY118" s="36"/>
      <c r="SFZ118" s="38"/>
      <c r="SGA118" s="38"/>
      <c r="SGG118" s="36"/>
      <c r="SGH118" s="38"/>
      <c r="SGI118" s="38"/>
      <c r="SGO118" s="36"/>
      <c r="SGP118" s="38"/>
      <c r="SGQ118" s="38"/>
      <c r="SGW118" s="36"/>
      <c r="SGX118" s="38"/>
      <c r="SGY118" s="38"/>
      <c r="SHE118" s="36"/>
      <c r="SHF118" s="38"/>
      <c r="SHG118" s="38"/>
      <c r="SHM118" s="36"/>
      <c r="SHN118" s="38"/>
      <c r="SHO118" s="38"/>
      <c r="SHU118" s="36"/>
      <c r="SHV118" s="38"/>
      <c r="SHW118" s="38"/>
      <c r="SIC118" s="36"/>
      <c r="SID118" s="38"/>
      <c r="SIE118" s="38"/>
      <c r="SIK118" s="36"/>
      <c r="SIL118" s="38"/>
      <c r="SIM118" s="38"/>
      <c r="SIS118" s="36"/>
      <c r="SIT118" s="38"/>
      <c r="SIU118" s="38"/>
      <c r="SJA118" s="36"/>
      <c r="SJB118" s="38"/>
      <c r="SJC118" s="38"/>
      <c r="SJI118" s="36"/>
      <c r="SJJ118" s="38"/>
      <c r="SJK118" s="38"/>
      <c r="SJQ118" s="36"/>
      <c r="SJR118" s="38"/>
      <c r="SJS118" s="38"/>
      <c r="SJY118" s="36"/>
      <c r="SJZ118" s="38"/>
      <c r="SKA118" s="38"/>
      <c r="SKG118" s="36"/>
      <c r="SKH118" s="38"/>
      <c r="SKI118" s="38"/>
      <c r="SKO118" s="36"/>
      <c r="SKP118" s="38"/>
      <c r="SKQ118" s="38"/>
      <c r="SKW118" s="36"/>
      <c r="SKX118" s="38"/>
      <c r="SKY118" s="38"/>
      <c r="SLE118" s="36"/>
      <c r="SLF118" s="38"/>
      <c r="SLG118" s="38"/>
      <c r="SLM118" s="36"/>
      <c r="SLN118" s="38"/>
      <c r="SLO118" s="38"/>
      <c r="SLU118" s="36"/>
      <c r="SLV118" s="38"/>
      <c r="SLW118" s="38"/>
      <c r="SMC118" s="36"/>
      <c r="SMD118" s="38"/>
      <c r="SME118" s="38"/>
      <c r="SMK118" s="36"/>
      <c r="SML118" s="38"/>
      <c r="SMM118" s="38"/>
      <c r="SMS118" s="36"/>
      <c r="SMT118" s="38"/>
      <c r="SMU118" s="38"/>
      <c r="SNA118" s="36"/>
      <c r="SNB118" s="38"/>
      <c r="SNC118" s="38"/>
      <c r="SNI118" s="36"/>
      <c r="SNJ118" s="38"/>
      <c r="SNK118" s="38"/>
      <c r="SNQ118" s="36"/>
      <c r="SNR118" s="38"/>
      <c r="SNS118" s="38"/>
      <c r="SNY118" s="36"/>
      <c r="SNZ118" s="38"/>
      <c r="SOA118" s="38"/>
      <c r="SOG118" s="36"/>
      <c r="SOH118" s="38"/>
      <c r="SOI118" s="38"/>
      <c r="SOO118" s="36"/>
      <c r="SOP118" s="38"/>
      <c r="SOQ118" s="38"/>
      <c r="SOW118" s="36"/>
      <c r="SOX118" s="38"/>
      <c r="SOY118" s="38"/>
      <c r="SPE118" s="36"/>
      <c r="SPF118" s="38"/>
      <c r="SPG118" s="38"/>
      <c r="SPM118" s="36"/>
      <c r="SPN118" s="38"/>
      <c r="SPO118" s="38"/>
      <c r="SPU118" s="36"/>
      <c r="SPV118" s="38"/>
      <c r="SPW118" s="38"/>
      <c r="SQC118" s="36"/>
      <c r="SQD118" s="38"/>
      <c r="SQE118" s="38"/>
      <c r="SQK118" s="36"/>
      <c r="SQL118" s="38"/>
      <c r="SQM118" s="38"/>
      <c r="SQS118" s="36"/>
      <c r="SQT118" s="38"/>
      <c r="SQU118" s="38"/>
      <c r="SRA118" s="36"/>
      <c r="SRB118" s="38"/>
      <c r="SRC118" s="38"/>
      <c r="SRI118" s="36"/>
      <c r="SRJ118" s="38"/>
      <c r="SRK118" s="38"/>
      <c r="SRQ118" s="36"/>
      <c r="SRR118" s="38"/>
      <c r="SRS118" s="38"/>
      <c r="SRY118" s="36"/>
      <c r="SRZ118" s="38"/>
      <c r="SSA118" s="38"/>
      <c r="SSG118" s="36"/>
      <c r="SSH118" s="38"/>
      <c r="SSI118" s="38"/>
      <c r="SSO118" s="36"/>
      <c r="SSP118" s="38"/>
      <c r="SSQ118" s="38"/>
      <c r="SSW118" s="36"/>
      <c r="SSX118" s="38"/>
      <c r="SSY118" s="38"/>
      <c r="STE118" s="36"/>
      <c r="STF118" s="38"/>
      <c r="STG118" s="38"/>
      <c r="STM118" s="36"/>
      <c r="STN118" s="38"/>
      <c r="STO118" s="38"/>
      <c r="STU118" s="36"/>
      <c r="STV118" s="38"/>
      <c r="STW118" s="38"/>
      <c r="SUC118" s="36"/>
      <c r="SUD118" s="38"/>
      <c r="SUE118" s="38"/>
      <c r="SUK118" s="36"/>
      <c r="SUL118" s="38"/>
      <c r="SUM118" s="38"/>
      <c r="SUS118" s="36"/>
      <c r="SUT118" s="38"/>
      <c r="SUU118" s="38"/>
      <c r="SVA118" s="36"/>
      <c r="SVB118" s="38"/>
      <c r="SVC118" s="38"/>
      <c r="SVI118" s="36"/>
      <c r="SVJ118" s="38"/>
      <c r="SVK118" s="38"/>
      <c r="SVQ118" s="36"/>
      <c r="SVR118" s="38"/>
      <c r="SVS118" s="38"/>
      <c r="SVY118" s="36"/>
      <c r="SVZ118" s="38"/>
      <c r="SWA118" s="38"/>
      <c r="SWG118" s="36"/>
      <c r="SWH118" s="38"/>
      <c r="SWI118" s="38"/>
      <c r="SWO118" s="36"/>
      <c r="SWP118" s="38"/>
      <c r="SWQ118" s="38"/>
      <c r="SWW118" s="36"/>
      <c r="SWX118" s="38"/>
      <c r="SWY118" s="38"/>
      <c r="SXE118" s="36"/>
      <c r="SXF118" s="38"/>
      <c r="SXG118" s="38"/>
      <c r="SXM118" s="36"/>
      <c r="SXN118" s="38"/>
      <c r="SXO118" s="38"/>
      <c r="SXU118" s="36"/>
      <c r="SXV118" s="38"/>
      <c r="SXW118" s="38"/>
      <c r="SYC118" s="36"/>
      <c r="SYD118" s="38"/>
      <c r="SYE118" s="38"/>
      <c r="SYK118" s="36"/>
      <c r="SYL118" s="38"/>
      <c r="SYM118" s="38"/>
      <c r="SYS118" s="36"/>
      <c r="SYT118" s="38"/>
      <c r="SYU118" s="38"/>
      <c r="SZA118" s="36"/>
      <c r="SZB118" s="38"/>
      <c r="SZC118" s="38"/>
      <c r="SZI118" s="36"/>
      <c r="SZJ118" s="38"/>
      <c r="SZK118" s="38"/>
      <c r="SZQ118" s="36"/>
      <c r="SZR118" s="38"/>
      <c r="SZS118" s="38"/>
      <c r="SZY118" s="36"/>
      <c r="SZZ118" s="38"/>
      <c r="TAA118" s="38"/>
      <c r="TAG118" s="36"/>
      <c r="TAH118" s="38"/>
      <c r="TAI118" s="38"/>
      <c r="TAO118" s="36"/>
      <c r="TAP118" s="38"/>
      <c r="TAQ118" s="38"/>
      <c r="TAW118" s="36"/>
      <c r="TAX118" s="38"/>
      <c r="TAY118" s="38"/>
      <c r="TBE118" s="36"/>
      <c r="TBF118" s="38"/>
      <c r="TBG118" s="38"/>
      <c r="TBM118" s="36"/>
      <c r="TBN118" s="38"/>
      <c r="TBO118" s="38"/>
      <c r="TBU118" s="36"/>
      <c r="TBV118" s="38"/>
      <c r="TBW118" s="38"/>
      <c r="TCC118" s="36"/>
      <c r="TCD118" s="38"/>
      <c r="TCE118" s="38"/>
      <c r="TCK118" s="36"/>
      <c r="TCL118" s="38"/>
      <c r="TCM118" s="38"/>
      <c r="TCS118" s="36"/>
      <c r="TCT118" s="38"/>
      <c r="TCU118" s="38"/>
      <c r="TDA118" s="36"/>
      <c r="TDB118" s="38"/>
      <c r="TDC118" s="38"/>
      <c r="TDI118" s="36"/>
      <c r="TDJ118" s="38"/>
      <c r="TDK118" s="38"/>
      <c r="TDQ118" s="36"/>
      <c r="TDR118" s="38"/>
      <c r="TDS118" s="38"/>
      <c r="TDY118" s="36"/>
      <c r="TDZ118" s="38"/>
      <c r="TEA118" s="38"/>
      <c r="TEG118" s="36"/>
      <c r="TEH118" s="38"/>
      <c r="TEI118" s="38"/>
      <c r="TEO118" s="36"/>
      <c r="TEP118" s="38"/>
      <c r="TEQ118" s="38"/>
      <c r="TEW118" s="36"/>
      <c r="TEX118" s="38"/>
      <c r="TEY118" s="38"/>
      <c r="TFE118" s="36"/>
      <c r="TFF118" s="38"/>
      <c r="TFG118" s="38"/>
      <c r="TFM118" s="36"/>
      <c r="TFN118" s="38"/>
      <c r="TFO118" s="38"/>
      <c r="TFU118" s="36"/>
      <c r="TFV118" s="38"/>
      <c r="TFW118" s="38"/>
      <c r="TGC118" s="36"/>
      <c r="TGD118" s="38"/>
      <c r="TGE118" s="38"/>
      <c r="TGK118" s="36"/>
      <c r="TGL118" s="38"/>
      <c r="TGM118" s="38"/>
      <c r="TGS118" s="36"/>
      <c r="TGT118" s="38"/>
      <c r="TGU118" s="38"/>
      <c r="THA118" s="36"/>
      <c r="THB118" s="38"/>
      <c r="THC118" s="38"/>
      <c r="THI118" s="36"/>
      <c r="THJ118" s="38"/>
      <c r="THK118" s="38"/>
      <c r="THQ118" s="36"/>
      <c r="THR118" s="38"/>
      <c r="THS118" s="38"/>
      <c r="THY118" s="36"/>
      <c r="THZ118" s="38"/>
      <c r="TIA118" s="38"/>
      <c r="TIG118" s="36"/>
      <c r="TIH118" s="38"/>
      <c r="TII118" s="38"/>
      <c r="TIO118" s="36"/>
      <c r="TIP118" s="38"/>
      <c r="TIQ118" s="38"/>
      <c r="TIW118" s="36"/>
      <c r="TIX118" s="38"/>
      <c r="TIY118" s="38"/>
      <c r="TJE118" s="36"/>
      <c r="TJF118" s="38"/>
      <c r="TJG118" s="38"/>
      <c r="TJM118" s="36"/>
      <c r="TJN118" s="38"/>
      <c r="TJO118" s="38"/>
      <c r="TJU118" s="36"/>
      <c r="TJV118" s="38"/>
      <c r="TJW118" s="38"/>
      <c r="TKC118" s="36"/>
      <c r="TKD118" s="38"/>
      <c r="TKE118" s="38"/>
      <c r="TKK118" s="36"/>
      <c r="TKL118" s="38"/>
      <c r="TKM118" s="38"/>
      <c r="TKS118" s="36"/>
      <c r="TKT118" s="38"/>
      <c r="TKU118" s="38"/>
      <c r="TLA118" s="36"/>
      <c r="TLB118" s="38"/>
      <c r="TLC118" s="38"/>
      <c r="TLI118" s="36"/>
      <c r="TLJ118" s="38"/>
      <c r="TLK118" s="38"/>
      <c r="TLQ118" s="36"/>
      <c r="TLR118" s="38"/>
      <c r="TLS118" s="38"/>
      <c r="TLY118" s="36"/>
      <c r="TLZ118" s="38"/>
      <c r="TMA118" s="38"/>
      <c r="TMG118" s="36"/>
      <c r="TMH118" s="38"/>
      <c r="TMI118" s="38"/>
      <c r="TMO118" s="36"/>
      <c r="TMP118" s="38"/>
      <c r="TMQ118" s="38"/>
      <c r="TMW118" s="36"/>
      <c r="TMX118" s="38"/>
      <c r="TMY118" s="38"/>
      <c r="TNE118" s="36"/>
      <c r="TNF118" s="38"/>
      <c r="TNG118" s="38"/>
      <c r="TNM118" s="36"/>
      <c r="TNN118" s="38"/>
      <c r="TNO118" s="38"/>
      <c r="TNU118" s="36"/>
      <c r="TNV118" s="38"/>
      <c r="TNW118" s="38"/>
      <c r="TOC118" s="36"/>
      <c r="TOD118" s="38"/>
      <c r="TOE118" s="38"/>
      <c r="TOK118" s="36"/>
      <c r="TOL118" s="38"/>
      <c r="TOM118" s="38"/>
      <c r="TOS118" s="36"/>
      <c r="TOT118" s="38"/>
      <c r="TOU118" s="38"/>
      <c r="TPA118" s="36"/>
      <c r="TPB118" s="38"/>
      <c r="TPC118" s="38"/>
      <c r="TPI118" s="36"/>
      <c r="TPJ118" s="38"/>
      <c r="TPK118" s="38"/>
      <c r="TPQ118" s="36"/>
      <c r="TPR118" s="38"/>
      <c r="TPS118" s="38"/>
      <c r="TPY118" s="36"/>
      <c r="TPZ118" s="38"/>
      <c r="TQA118" s="38"/>
      <c r="TQG118" s="36"/>
      <c r="TQH118" s="38"/>
      <c r="TQI118" s="38"/>
      <c r="TQO118" s="36"/>
      <c r="TQP118" s="38"/>
      <c r="TQQ118" s="38"/>
      <c r="TQW118" s="36"/>
      <c r="TQX118" s="38"/>
      <c r="TQY118" s="38"/>
      <c r="TRE118" s="36"/>
      <c r="TRF118" s="38"/>
      <c r="TRG118" s="38"/>
      <c r="TRM118" s="36"/>
      <c r="TRN118" s="38"/>
      <c r="TRO118" s="38"/>
      <c r="TRU118" s="36"/>
      <c r="TRV118" s="38"/>
      <c r="TRW118" s="38"/>
      <c r="TSC118" s="36"/>
      <c r="TSD118" s="38"/>
      <c r="TSE118" s="38"/>
      <c r="TSK118" s="36"/>
      <c r="TSL118" s="38"/>
      <c r="TSM118" s="38"/>
      <c r="TSS118" s="36"/>
      <c r="TST118" s="38"/>
      <c r="TSU118" s="38"/>
      <c r="TTA118" s="36"/>
      <c r="TTB118" s="38"/>
      <c r="TTC118" s="38"/>
      <c r="TTI118" s="36"/>
      <c r="TTJ118" s="38"/>
      <c r="TTK118" s="38"/>
      <c r="TTQ118" s="36"/>
      <c r="TTR118" s="38"/>
      <c r="TTS118" s="38"/>
      <c r="TTY118" s="36"/>
      <c r="TTZ118" s="38"/>
      <c r="TUA118" s="38"/>
      <c r="TUG118" s="36"/>
      <c r="TUH118" s="38"/>
      <c r="TUI118" s="38"/>
      <c r="TUO118" s="36"/>
      <c r="TUP118" s="38"/>
      <c r="TUQ118" s="38"/>
      <c r="TUW118" s="36"/>
      <c r="TUX118" s="38"/>
      <c r="TUY118" s="38"/>
      <c r="TVE118" s="36"/>
      <c r="TVF118" s="38"/>
      <c r="TVG118" s="38"/>
      <c r="TVM118" s="36"/>
      <c r="TVN118" s="38"/>
      <c r="TVO118" s="38"/>
      <c r="TVU118" s="36"/>
      <c r="TVV118" s="38"/>
      <c r="TVW118" s="38"/>
      <c r="TWC118" s="36"/>
      <c r="TWD118" s="38"/>
      <c r="TWE118" s="38"/>
      <c r="TWK118" s="36"/>
      <c r="TWL118" s="38"/>
      <c r="TWM118" s="38"/>
      <c r="TWS118" s="36"/>
      <c r="TWT118" s="38"/>
      <c r="TWU118" s="38"/>
      <c r="TXA118" s="36"/>
      <c r="TXB118" s="38"/>
      <c r="TXC118" s="38"/>
      <c r="TXI118" s="36"/>
      <c r="TXJ118" s="38"/>
      <c r="TXK118" s="38"/>
      <c r="TXQ118" s="36"/>
      <c r="TXR118" s="38"/>
      <c r="TXS118" s="38"/>
      <c r="TXY118" s="36"/>
      <c r="TXZ118" s="38"/>
      <c r="TYA118" s="38"/>
      <c r="TYG118" s="36"/>
      <c r="TYH118" s="38"/>
      <c r="TYI118" s="38"/>
      <c r="TYO118" s="36"/>
      <c r="TYP118" s="38"/>
      <c r="TYQ118" s="38"/>
      <c r="TYW118" s="36"/>
      <c r="TYX118" s="38"/>
      <c r="TYY118" s="38"/>
      <c r="TZE118" s="36"/>
      <c r="TZF118" s="38"/>
      <c r="TZG118" s="38"/>
      <c r="TZM118" s="36"/>
      <c r="TZN118" s="38"/>
      <c r="TZO118" s="38"/>
      <c r="TZU118" s="36"/>
      <c r="TZV118" s="38"/>
      <c r="TZW118" s="38"/>
      <c r="UAC118" s="36"/>
      <c r="UAD118" s="38"/>
      <c r="UAE118" s="38"/>
      <c r="UAK118" s="36"/>
      <c r="UAL118" s="38"/>
      <c r="UAM118" s="38"/>
      <c r="UAS118" s="36"/>
      <c r="UAT118" s="38"/>
      <c r="UAU118" s="38"/>
      <c r="UBA118" s="36"/>
      <c r="UBB118" s="38"/>
      <c r="UBC118" s="38"/>
      <c r="UBI118" s="36"/>
      <c r="UBJ118" s="38"/>
      <c r="UBK118" s="38"/>
      <c r="UBQ118" s="36"/>
      <c r="UBR118" s="38"/>
      <c r="UBS118" s="38"/>
      <c r="UBY118" s="36"/>
      <c r="UBZ118" s="38"/>
      <c r="UCA118" s="38"/>
      <c r="UCG118" s="36"/>
      <c r="UCH118" s="38"/>
      <c r="UCI118" s="38"/>
      <c r="UCO118" s="36"/>
      <c r="UCP118" s="38"/>
      <c r="UCQ118" s="38"/>
      <c r="UCW118" s="36"/>
      <c r="UCX118" s="38"/>
      <c r="UCY118" s="38"/>
      <c r="UDE118" s="36"/>
      <c r="UDF118" s="38"/>
      <c r="UDG118" s="38"/>
      <c r="UDM118" s="36"/>
      <c r="UDN118" s="38"/>
      <c r="UDO118" s="38"/>
      <c r="UDU118" s="36"/>
      <c r="UDV118" s="38"/>
      <c r="UDW118" s="38"/>
      <c r="UEC118" s="36"/>
      <c r="UED118" s="38"/>
      <c r="UEE118" s="38"/>
      <c r="UEK118" s="36"/>
      <c r="UEL118" s="38"/>
      <c r="UEM118" s="38"/>
      <c r="UES118" s="36"/>
      <c r="UET118" s="38"/>
      <c r="UEU118" s="38"/>
      <c r="UFA118" s="36"/>
      <c r="UFB118" s="38"/>
      <c r="UFC118" s="38"/>
      <c r="UFI118" s="36"/>
      <c r="UFJ118" s="38"/>
      <c r="UFK118" s="38"/>
      <c r="UFQ118" s="36"/>
      <c r="UFR118" s="38"/>
      <c r="UFS118" s="38"/>
      <c r="UFY118" s="36"/>
      <c r="UFZ118" s="38"/>
      <c r="UGA118" s="38"/>
      <c r="UGG118" s="36"/>
      <c r="UGH118" s="38"/>
      <c r="UGI118" s="38"/>
      <c r="UGO118" s="36"/>
      <c r="UGP118" s="38"/>
      <c r="UGQ118" s="38"/>
      <c r="UGW118" s="36"/>
      <c r="UGX118" s="38"/>
      <c r="UGY118" s="38"/>
      <c r="UHE118" s="36"/>
      <c r="UHF118" s="38"/>
      <c r="UHG118" s="38"/>
      <c r="UHM118" s="36"/>
      <c r="UHN118" s="38"/>
      <c r="UHO118" s="38"/>
      <c r="UHU118" s="36"/>
      <c r="UHV118" s="38"/>
      <c r="UHW118" s="38"/>
      <c r="UIC118" s="36"/>
      <c r="UID118" s="38"/>
      <c r="UIE118" s="38"/>
      <c r="UIK118" s="36"/>
      <c r="UIL118" s="38"/>
      <c r="UIM118" s="38"/>
      <c r="UIS118" s="36"/>
      <c r="UIT118" s="38"/>
      <c r="UIU118" s="38"/>
      <c r="UJA118" s="36"/>
      <c r="UJB118" s="38"/>
      <c r="UJC118" s="38"/>
      <c r="UJI118" s="36"/>
      <c r="UJJ118" s="38"/>
      <c r="UJK118" s="38"/>
      <c r="UJQ118" s="36"/>
      <c r="UJR118" s="38"/>
      <c r="UJS118" s="38"/>
      <c r="UJY118" s="36"/>
      <c r="UJZ118" s="38"/>
      <c r="UKA118" s="38"/>
      <c r="UKG118" s="36"/>
      <c r="UKH118" s="38"/>
      <c r="UKI118" s="38"/>
      <c r="UKO118" s="36"/>
      <c r="UKP118" s="38"/>
      <c r="UKQ118" s="38"/>
      <c r="UKW118" s="36"/>
      <c r="UKX118" s="38"/>
      <c r="UKY118" s="38"/>
      <c r="ULE118" s="36"/>
      <c r="ULF118" s="38"/>
      <c r="ULG118" s="38"/>
      <c r="ULM118" s="36"/>
      <c r="ULN118" s="38"/>
      <c r="ULO118" s="38"/>
      <c r="ULU118" s="36"/>
      <c r="ULV118" s="38"/>
      <c r="ULW118" s="38"/>
      <c r="UMC118" s="36"/>
      <c r="UMD118" s="38"/>
      <c r="UME118" s="38"/>
      <c r="UMK118" s="36"/>
      <c r="UML118" s="38"/>
      <c r="UMM118" s="38"/>
      <c r="UMS118" s="36"/>
      <c r="UMT118" s="38"/>
      <c r="UMU118" s="38"/>
      <c r="UNA118" s="36"/>
      <c r="UNB118" s="38"/>
      <c r="UNC118" s="38"/>
      <c r="UNI118" s="36"/>
      <c r="UNJ118" s="38"/>
      <c r="UNK118" s="38"/>
      <c r="UNQ118" s="36"/>
      <c r="UNR118" s="38"/>
      <c r="UNS118" s="38"/>
      <c r="UNY118" s="36"/>
      <c r="UNZ118" s="38"/>
      <c r="UOA118" s="38"/>
      <c r="UOG118" s="36"/>
      <c r="UOH118" s="38"/>
      <c r="UOI118" s="38"/>
      <c r="UOO118" s="36"/>
      <c r="UOP118" s="38"/>
      <c r="UOQ118" s="38"/>
      <c r="UOW118" s="36"/>
      <c r="UOX118" s="38"/>
      <c r="UOY118" s="38"/>
      <c r="UPE118" s="36"/>
      <c r="UPF118" s="38"/>
      <c r="UPG118" s="38"/>
      <c r="UPM118" s="36"/>
      <c r="UPN118" s="38"/>
      <c r="UPO118" s="38"/>
      <c r="UPU118" s="36"/>
      <c r="UPV118" s="38"/>
      <c r="UPW118" s="38"/>
      <c r="UQC118" s="36"/>
      <c r="UQD118" s="38"/>
      <c r="UQE118" s="38"/>
      <c r="UQK118" s="36"/>
      <c r="UQL118" s="38"/>
      <c r="UQM118" s="38"/>
      <c r="UQS118" s="36"/>
      <c r="UQT118" s="38"/>
      <c r="UQU118" s="38"/>
      <c r="URA118" s="36"/>
      <c r="URB118" s="38"/>
      <c r="URC118" s="38"/>
      <c r="URI118" s="36"/>
      <c r="URJ118" s="38"/>
      <c r="URK118" s="38"/>
      <c r="URQ118" s="36"/>
      <c r="URR118" s="38"/>
      <c r="URS118" s="38"/>
      <c r="URY118" s="36"/>
      <c r="URZ118" s="38"/>
      <c r="USA118" s="38"/>
      <c r="USG118" s="36"/>
      <c r="USH118" s="38"/>
      <c r="USI118" s="38"/>
      <c r="USO118" s="36"/>
      <c r="USP118" s="38"/>
      <c r="USQ118" s="38"/>
      <c r="USW118" s="36"/>
      <c r="USX118" s="38"/>
      <c r="USY118" s="38"/>
      <c r="UTE118" s="36"/>
      <c r="UTF118" s="38"/>
      <c r="UTG118" s="38"/>
      <c r="UTM118" s="36"/>
      <c r="UTN118" s="38"/>
      <c r="UTO118" s="38"/>
      <c r="UTU118" s="36"/>
      <c r="UTV118" s="38"/>
      <c r="UTW118" s="38"/>
      <c r="UUC118" s="36"/>
      <c r="UUD118" s="38"/>
      <c r="UUE118" s="38"/>
      <c r="UUK118" s="36"/>
      <c r="UUL118" s="38"/>
      <c r="UUM118" s="38"/>
      <c r="UUS118" s="36"/>
      <c r="UUT118" s="38"/>
      <c r="UUU118" s="38"/>
      <c r="UVA118" s="36"/>
      <c r="UVB118" s="38"/>
      <c r="UVC118" s="38"/>
      <c r="UVI118" s="36"/>
      <c r="UVJ118" s="38"/>
      <c r="UVK118" s="38"/>
      <c r="UVQ118" s="36"/>
      <c r="UVR118" s="38"/>
      <c r="UVS118" s="38"/>
      <c r="UVY118" s="36"/>
      <c r="UVZ118" s="38"/>
      <c r="UWA118" s="38"/>
      <c r="UWG118" s="36"/>
      <c r="UWH118" s="38"/>
      <c r="UWI118" s="38"/>
      <c r="UWO118" s="36"/>
      <c r="UWP118" s="38"/>
      <c r="UWQ118" s="38"/>
      <c r="UWW118" s="36"/>
      <c r="UWX118" s="38"/>
      <c r="UWY118" s="38"/>
      <c r="UXE118" s="36"/>
      <c r="UXF118" s="38"/>
      <c r="UXG118" s="38"/>
      <c r="UXM118" s="36"/>
      <c r="UXN118" s="38"/>
      <c r="UXO118" s="38"/>
      <c r="UXU118" s="36"/>
      <c r="UXV118" s="38"/>
      <c r="UXW118" s="38"/>
      <c r="UYC118" s="36"/>
      <c r="UYD118" s="38"/>
      <c r="UYE118" s="38"/>
      <c r="UYK118" s="36"/>
      <c r="UYL118" s="38"/>
      <c r="UYM118" s="38"/>
      <c r="UYS118" s="36"/>
      <c r="UYT118" s="38"/>
      <c r="UYU118" s="38"/>
      <c r="UZA118" s="36"/>
      <c r="UZB118" s="38"/>
      <c r="UZC118" s="38"/>
      <c r="UZI118" s="36"/>
      <c r="UZJ118" s="38"/>
      <c r="UZK118" s="38"/>
      <c r="UZQ118" s="36"/>
      <c r="UZR118" s="38"/>
      <c r="UZS118" s="38"/>
      <c r="UZY118" s="36"/>
      <c r="UZZ118" s="38"/>
      <c r="VAA118" s="38"/>
      <c r="VAG118" s="36"/>
      <c r="VAH118" s="38"/>
      <c r="VAI118" s="38"/>
      <c r="VAO118" s="36"/>
      <c r="VAP118" s="38"/>
      <c r="VAQ118" s="38"/>
      <c r="VAW118" s="36"/>
      <c r="VAX118" s="38"/>
      <c r="VAY118" s="38"/>
      <c r="VBE118" s="36"/>
      <c r="VBF118" s="38"/>
      <c r="VBG118" s="38"/>
      <c r="VBM118" s="36"/>
      <c r="VBN118" s="38"/>
      <c r="VBO118" s="38"/>
      <c r="VBU118" s="36"/>
      <c r="VBV118" s="38"/>
      <c r="VBW118" s="38"/>
      <c r="VCC118" s="36"/>
      <c r="VCD118" s="38"/>
      <c r="VCE118" s="38"/>
      <c r="VCK118" s="36"/>
      <c r="VCL118" s="38"/>
      <c r="VCM118" s="38"/>
      <c r="VCS118" s="36"/>
      <c r="VCT118" s="38"/>
      <c r="VCU118" s="38"/>
      <c r="VDA118" s="36"/>
      <c r="VDB118" s="38"/>
      <c r="VDC118" s="38"/>
      <c r="VDI118" s="36"/>
      <c r="VDJ118" s="38"/>
      <c r="VDK118" s="38"/>
      <c r="VDQ118" s="36"/>
      <c r="VDR118" s="38"/>
      <c r="VDS118" s="38"/>
      <c r="VDY118" s="36"/>
      <c r="VDZ118" s="38"/>
      <c r="VEA118" s="38"/>
      <c r="VEG118" s="36"/>
      <c r="VEH118" s="38"/>
      <c r="VEI118" s="38"/>
      <c r="VEO118" s="36"/>
      <c r="VEP118" s="38"/>
      <c r="VEQ118" s="38"/>
      <c r="VEW118" s="36"/>
      <c r="VEX118" s="38"/>
      <c r="VEY118" s="38"/>
      <c r="VFE118" s="36"/>
      <c r="VFF118" s="38"/>
      <c r="VFG118" s="38"/>
      <c r="VFM118" s="36"/>
      <c r="VFN118" s="38"/>
      <c r="VFO118" s="38"/>
      <c r="VFU118" s="36"/>
      <c r="VFV118" s="38"/>
      <c r="VFW118" s="38"/>
      <c r="VGC118" s="36"/>
      <c r="VGD118" s="38"/>
      <c r="VGE118" s="38"/>
      <c r="VGK118" s="36"/>
      <c r="VGL118" s="38"/>
      <c r="VGM118" s="38"/>
      <c r="VGS118" s="36"/>
      <c r="VGT118" s="38"/>
      <c r="VGU118" s="38"/>
      <c r="VHA118" s="36"/>
      <c r="VHB118" s="38"/>
      <c r="VHC118" s="38"/>
      <c r="VHI118" s="36"/>
      <c r="VHJ118" s="38"/>
      <c r="VHK118" s="38"/>
      <c r="VHQ118" s="36"/>
      <c r="VHR118" s="38"/>
      <c r="VHS118" s="38"/>
      <c r="VHY118" s="36"/>
      <c r="VHZ118" s="38"/>
      <c r="VIA118" s="38"/>
      <c r="VIG118" s="36"/>
      <c r="VIH118" s="38"/>
      <c r="VII118" s="38"/>
      <c r="VIO118" s="36"/>
      <c r="VIP118" s="38"/>
      <c r="VIQ118" s="38"/>
      <c r="VIW118" s="36"/>
      <c r="VIX118" s="38"/>
      <c r="VIY118" s="38"/>
      <c r="VJE118" s="36"/>
      <c r="VJF118" s="38"/>
      <c r="VJG118" s="38"/>
      <c r="VJM118" s="36"/>
      <c r="VJN118" s="38"/>
      <c r="VJO118" s="38"/>
      <c r="VJU118" s="36"/>
      <c r="VJV118" s="38"/>
      <c r="VJW118" s="38"/>
      <c r="VKC118" s="36"/>
      <c r="VKD118" s="38"/>
      <c r="VKE118" s="38"/>
      <c r="VKK118" s="36"/>
      <c r="VKL118" s="38"/>
      <c r="VKM118" s="38"/>
      <c r="VKS118" s="36"/>
      <c r="VKT118" s="38"/>
      <c r="VKU118" s="38"/>
      <c r="VLA118" s="36"/>
      <c r="VLB118" s="38"/>
      <c r="VLC118" s="38"/>
      <c r="VLI118" s="36"/>
      <c r="VLJ118" s="38"/>
      <c r="VLK118" s="38"/>
      <c r="VLQ118" s="36"/>
      <c r="VLR118" s="38"/>
      <c r="VLS118" s="38"/>
      <c r="VLY118" s="36"/>
      <c r="VLZ118" s="38"/>
      <c r="VMA118" s="38"/>
      <c r="VMG118" s="36"/>
      <c r="VMH118" s="38"/>
      <c r="VMI118" s="38"/>
      <c r="VMO118" s="36"/>
      <c r="VMP118" s="38"/>
      <c r="VMQ118" s="38"/>
      <c r="VMW118" s="36"/>
      <c r="VMX118" s="38"/>
      <c r="VMY118" s="38"/>
      <c r="VNE118" s="36"/>
      <c r="VNF118" s="38"/>
      <c r="VNG118" s="38"/>
      <c r="VNM118" s="36"/>
      <c r="VNN118" s="38"/>
      <c r="VNO118" s="38"/>
      <c r="VNU118" s="36"/>
      <c r="VNV118" s="38"/>
      <c r="VNW118" s="38"/>
      <c r="VOC118" s="36"/>
      <c r="VOD118" s="38"/>
      <c r="VOE118" s="38"/>
      <c r="VOK118" s="36"/>
      <c r="VOL118" s="38"/>
      <c r="VOM118" s="38"/>
      <c r="VOS118" s="36"/>
      <c r="VOT118" s="38"/>
      <c r="VOU118" s="38"/>
      <c r="VPA118" s="36"/>
      <c r="VPB118" s="38"/>
      <c r="VPC118" s="38"/>
      <c r="VPI118" s="36"/>
      <c r="VPJ118" s="38"/>
      <c r="VPK118" s="38"/>
      <c r="VPQ118" s="36"/>
      <c r="VPR118" s="38"/>
      <c r="VPS118" s="38"/>
      <c r="VPY118" s="36"/>
      <c r="VPZ118" s="38"/>
      <c r="VQA118" s="38"/>
      <c r="VQG118" s="36"/>
      <c r="VQH118" s="38"/>
      <c r="VQI118" s="38"/>
      <c r="VQO118" s="36"/>
      <c r="VQP118" s="38"/>
      <c r="VQQ118" s="38"/>
      <c r="VQW118" s="36"/>
      <c r="VQX118" s="38"/>
      <c r="VQY118" s="38"/>
      <c r="VRE118" s="36"/>
      <c r="VRF118" s="38"/>
      <c r="VRG118" s="38"/>
      <c r="VRM118" s="36"/>
      <c r="VRN118" s="38"/>
      <c r="VRO118" s="38"/>
      <c r="VRU118" s="36"/>
      <c r="VRV118" s="38"/>
      <c r="VRW118" s="38"/>
      <c r="VSC118" s="36"/>
      <c r="VSD118" s="38"/>
      <c r="VSE118" s="38"/>
      <c r="VSK118" s="36"/>
      <c r="VSL118" s="38"/>
      <c r="VSM118" s="38"/>
      <c r="VSS118" s="36"/>
      <c r="VST118" s="38"/>
      <c r="VSU118" s="38"/>
      <c r="VTA118" s="36"/>
      <c r="VTB118" s="38"/>
      <c r="VTC118" s="38"/>
      <c r="VTI118" s="36"/>
      <c r="VTJ118" s="38"/>
      <c r="VTK118" s="38"/>
      <c r="VTQ118" s="36"/>
      <c r="VTR118" s="38"/>
      <c r="VTS118" s="38"/>
      <c r="VTY118" s="36"/>
      <c r="VTZ118" s="38"/>
      <c r="VUA118" s="38"/>
      <c r="VUG118" s="36"/>
      <c r="VUH118" s="38"/>
      <c r="VUI118" s="38"/>
      <c r="VUO118" s="36"/>
      <c r="VUP118" s="38"/>
      <c r="VUQ118" s="38"/>
      <c r="VUW118" s="36"/>
      <c r="VUX118" s="38"/>
      <c r="VUY118" s="38"/>
      <c r="VVE118" s="36"/>
      <c r="VVF118" s="38"/>
      <c r="VVG118" s="38"/>
      <c r="VVM118" s="36"/>
      <c r="VVN118" s="38"/>
      <c r="VVO118" s="38"/>
      <c r="VVU118" s="36"/>
      <c r="VVV118" s="38"/>
      <c r="VVW118" s="38"/>
      <c r="VWC118" s="36"/>
      <c r="VWD118" s="38"/>
      <c r="VWE118" s="38"/>
      <c r="VWK118" s="36"/>
      <c r="VWL118" s="38"/>
      <c r="VWM118" s="38"/>
      <c r="VWS118" s="36"/>
      <c r="VWT118" s="38"/>
      <c r="VWU118" s="38"/>
      <c r="VXA118" s="36"/>
      <c r="VXB118" s="38"/>
      <c r="VXC118" s="38"/>
      <c r="VXI118" s="36"/>
      <c r="VXJ118" s="38"/>
      <c r="VXK118" s="38"/>
      <c r="VXQ118" s="36"/>
      <c r="VXR118" s="38"/>
      <c r="VXS118" s="38"/>
      <c r="VXY118" s="36"/>
      <c r="VXZ118" s="38"/>
      <c r="VYA118" s="38"/>
      <c r="VYG118" s="36"/>
      <c r="VYH118" s="38"/>
      <c r="VYI118" s="38"/>
      <c r="VYO118" s="36"/>
      <c r="VYP118" s="38"/>
      <c r="VYQ118" s="38"/>
      <c r="VYW118" s="36"/>
      <c r="VYX118" s="38"/>
      <c r="VYY118" s="38"/>
      <c r="VZE118" s="36"/>
      <c r="VZF118" s="38"/>
      <c r="VZG118" s="38"/>
      <c r="VZM118" s="36"/>
      <c r="VZN118" s="38"/>
      <c r="VZO118" s="38"/>
      <c r="VZU118" s="36"/>
      <c r="VZV118" s="38"/>
      <c r="VZW118" s="38"/>
      <c r="WAC118" s="36"/>
      <c r="WAD118" s="38"/>
      <c r="WAE118" s="38"/>
      <c r="WAK118" s="36"/>
      <c r="WAL118" s="38"/>
      <c r="WAM118" s="38"/>
      <c r="WAS118" s="36"/>
      <c r="WAT118" s="38"/>
      <c r="WAU118" s="38"/>
      <c r="WBA118" s="36"/>
      <c r="WBB118" s="38"/>
      <c r="WBC118" s="38"/>
      <c r="WBI118" s="36"/>
      <c r="WBJ118" s="38"/>
      <c r="WBK118" s="38"/>
      <c r="WBQ118" s="36"/>
      <c r="WBR118" s="38"/>
      <c r="WBS118" s="38"/>
      <c r="WBY118" s="36"/>
      <c r="WBZ118" s="38"/>
      <c r="WCA118" s="38"/>
      <c r="WCG118" s="36"/>
      <c r="WCH118" s="38"/>
      <c r="WCI118" s="38"/>
      <c r="WCO118" s="36"/>
      <c r="WCP118" s="38"/>
      <c r="WCQ118" s="38"/>
      <c r="WCW118" s="36"/>
      <c r="WCX118" s="38"/>
      <c r="WCY118" s="38"/>
      <c r="WDE118" s="36"/>
      <c r="WDF118" s="38"/>
      <c r="WDG118" s="38"/>
      <c r="WDM118" s="36"/>
      <c r="WDN118" s="38"/>
      <c r="WDO118" s="38"/>
      <c r="WDU118" s="36"/>
      <c r="WDV118" s="38"/>
      <c r="WDW118" s="38"/>
      <c r="WEC118" s="36"/>
      <c r="WED118" s="38"/>
      <c r="WEE118" s="38"/>
      <c r="WEK118" s="36"/>
      <c r="WEL118" s="38"/>
      <c r="WEM118" s="38"/>
      <c r="WES118" s="36"/>
      <c r="WET118" s="38"/>
      <c r="WEU118" s="38"/>
      <c r="WFA118" s="36"/>
      <c r="WFB118" s="38"/>
      <c r="WFC118" s="38"/>
      <c r="WFI118" s="36"/>
      <c r="WFJ118" s="38"/>
      <c r="WFK118" s="38"/>
      <c r="WFQ118" s="36"/>
      <c r="WFR118" s="38"/>
      <c r="WFS118" s="38"/>
      <c r="WFY118" s="36"/>
      <c r="WFZ118" s="38"/>
      <c r="WGA118" s="38"/>
      <c r="WGG118" s="36"/>
      <c r="WGH118" s="38"/>
      <c r="WGI118" s="38"/>
      <c r="WGO118" s="36"/>
      <c r="WGP118" s="38"/>
      <c r="WGQ118" s="38"/>
      <c r="WGW118" s="36"/>
      <c r="WGX118" s="38"/>
      <c r="WGY118" s="38"/>
      <c r="WHE118" s="36"/>
      <c r="WHF118" s="38"/>
      <c r="WHG118" s="38"/>
      <c r="WHM118" s="36"/>
      <c r="WHN118" s="38"/>
      <c r="WHO118" s="38"/>
      <c r="WHU118" s="36"/>
      <c r="WHV118" s="38"/>
      <c r="WHW118" s="38"/>
      <c r="WIC118" s="36"/>
      <c r="WID118" s="38"/>
      <c r="WIE118" s="38"/>
      <c r="WIK118" s="36"/>
      <c r="WIL118" s="38"/>
      <c r="WIM118" s="38"/>
      <c r="WIS118" s="36"/>
      <c r="WIT118" s="38"/>
      <c r="WIU118" s="38"/>
      <c r="WJA118" s="36"/>
      <c r="WJB118" s="38"/>
      <c r="WJC118" s="38"/>
      <c r="WJI118" s="36"/>
      <c r="WJJ118" s="38"/>
      <c r="WJK118" s="38"/>
      <c r="WJQ118" s="36"/>
      <c r="WJR118" s="38"/>
      <c r="WJS118" s="38"/>
      <c r="WJY118" s="36"/>
      <c r="WJZ118" s="38"/>
      <c r="WKA118" s="38"/>
      <c r="WKG118" s="36"/>
      <c r="WKH118" s="38"/>
      <c r="WKI118" s="38"/>
      <c r="WKO118" s="36"/>
      <c r="WKP118" s="38"/>
      <c r="WKQ118" s="38"/>
      <c r="WKW118" s="36"/>
      <c r="WKX118" s="38"/>
      <c r="WKY118" s="38"/>
      <c r="WLE118" s="36"/>
      <c r="WLF118" s="38"/>
      <c r="WLG118" s="38"/>
      <c r="WLM118" s="36"/>
      <c r="WLN118" s="38"/>
      <c r="WLO118" s="38"/>
      <c r="WLU118" s="36"/>
      <c r="WLV118" s="38"/>
      <c r="WLW118" s="38"/>
      <c r="WMC118" s="36"/>
      <c r="WMD118" s="38"/>
      <c r="WME118" s="38"/>
      <c r="WMK118" s="36"/>
      <c r="WML118" s="38"/>
      <c r="WMM118" s="38"/>
      <c r="WMS118" s="36"/>
      <c r="WMT118" s="38"/>
      <c r="WMU118" s="38"/>
      <c r="WNA118" s="36"/>
      <c r="WNB118" s="38"/>
      <c r="WNC118" s="38"/>
      <c r="WNI118" s="36"/>
      <c r="WNJ118" s="38"/>
      <c r="WNK118" s="38"/>
      <c r="WNQ118" s="36"/>
      <c r="WNR118" s="38"/>
      <c r="WNS118" s="38"/>
      <c r="WNY118" s="36"/>
      <c r="WNZ118" s="38"/>
      <c r="WOA118" s="38"/>
      <c r="WOG118" s="36"/>
      <c r="WOH118" s="38"/>
      <c r="WOI118" s="38"/>
      <c r="WOO118" s="36"/>
      <c r="WOP118" s="38"/>
      <c r="WOQ118" s="38"/>
      <c r="WOW118" s="36"/>
      <c r="WOX118" s="38"/>
      <c r="WOY118" s="38"/>
      <c r="WPE118" s="36"/>
      <c r="WPF118" s="38"/>
      <c r="WPG118" s="38"/>
      <c r="WPM118" s="36"/>
      <c r="WPN118" s="38"/>
      <c r="WPO118" s="38"/>
      <c r="WPU118" s="36"/>
      <c r="WPV118" s="38"/>
      <c r="WPW118" s="38"/>
      <c r="WQC118" s="36"/>
      <c r="WQD118" s="38"/>
      <c r="WQE118" s="38"/>
      <c r="WQK118" s="36"/>
      <c r="WQL118" s="38"/>
      <c r="WQM118" s="38"/>
      <c r="WQS118" s="36"/>
      <c r="WQT118" s="38"/>
      <c r="WQU118" s="38"/>
      <c r="WRA118" s="36"/>
      <c r="WRB118" s="38"/>
      <c r="WRC118" s="38"/>
      <c r="WRI118" s="36"/>
      <c r="WRJ118" s="38"/>
      <c r="WRK118" s="38"/>
      <c r="WRQ118" s="36"/>
      <c r="WRR118" s="38"/>
      <c r="WRS118" s="38"/>
      <c r="WRY118" s="36"/>
      <c r="WRZ118" s="38"/>
      <c r="WSA118" s="38"/>
      <c r="WSG118" s="36"/>
      <c r="WSH118" s="38"/>
      <c r="WSI118" s="38"/>
      <c r="WSO118" s="36"/>
      <c r="WSP118" s="38"/>
      <c r="WSQ118" s="38"/>
      <c r="WSW118" s="36"/>
      <c r="WSX118" s="38"/>
      <c r="WSY118" s="38"/>
      <c r="WTE118" s="36"/>
      <c r="WTF118" s="38"/>
      <c r="WTG118" s="38"/>
      <c r="WTM118" s="36"/>
      <c r="WTN118" s="38"/>
      <c r="WTO118" s="38"/>
      <c r="WTU118" s="36"/>
      <c r="WTV118" s="38"/>
      <c r="WTW118" s="38"/>
      <c r="WUC118" s="36"/>
      <c r="WUD118" s="38"/>
      <c r="WUE118" s="38"/>
      <c r="WUK118" s="36"/>
      <c r="WUL118" s="38"/>
      <c r="WUM118" s="38"/>
      <c r="WUS118" s="36"/>
      <c r="WUT118" s="38"/>
      <c r="WUU118" s="38"/>
      <c r="WVA118" s="36"/>
      <c r="WVB118" s="38"/>
      <c r="WVC118" s="38"/>
      <c r="WVI118" s="36"/>
      <c r="WVJ118" s="38"/>
      <c r="WVK118" s="38"/>
      <c r="WVQ118" s="36"/>
      <c r="WVR118" s="38"/>
      <c r="WVS118" s="38"/>
      <c r="WVY118" s="36"/>
      <c r="WVZ118" s="38"/>
      <c r="WWA118" s="38"/>
      <c r="WWG118" s="36"/>
      <c r="WWH118" s="38"/>
      <c r="WWI118" s="38"/>
      <c r="WWO118" s="36"/>
      <c r="WWP118" s="38"/>
      <c r="WWQ118" s="38"/>
      <c r="WWW118" s="36"/>
      <c r="WWX118" s="38"/>
      <c r="WWY118" s="38"/>
      <c r="WXE118" s="36"/>
      <c r="WXF118" s="38"/>
      <c r="WXG118" s="38"/>
      <c r="WXM118" s="36"/>
      <c r="WXN118" s="38"/>
      <c r="WXO118" s="38"/>
      <c r="WXU118" s="36"/>
      <c r="WXV118" s="38"/>
      <c r="WXW118" s="38"/>
      <c r="WYC118" s="36"/>
      <c r="WYD118" s="38"/>
      <c r="WYE118" s="38"/>
      <c r="WYK118" s="36"/>
      <c r="WYL118" s="38"/>
      <c r="WYM118" s="38"/>
      <c r="WYS118" s="36"/>
      <c r="WYT118" s="38"/>
      <c r="WYU118" s="38"/>
      <c r="WZA118" s="36"/>
      <c r="WZB118" s="38"/>
      <c r="WZC118" s="38"/>
      <c r="WZI118" s="36"/>
      <c r="WZJ118" s="38"/>
      <c r="WZK118" s="38"/>
      <c r="WZQ118" s="36"/>
      <c r="WZR118" s="38"/>
      <c r="WZS118" s="38"/>
      <c r="WZY118" s="36"/>
      <c r="WZZ118" s="38"/>
      <c r="XAA118" s="38"/>
      <c r="XAG118" s="36"/>
      <c r="XAH118" s="38"/>
      <c r="XAI118" s="38"/>
      <c r="XAO118" s="36"/>
      <c r="XAP118" s="38"/>
      <c r="XAQ118" s="38"/>
      <c r="XAW118" s="36"/>
      <c r="XAX118" s="38"/>
      <c r="XAY118" s="38"/>
      <c r="XBE118" s="36"/>
      <c r="XBF118" s="38"/>
      <c r="XBG118" s="38"/>
      <c r="XBM118" s="36"/>
      <c r="XBN118" s="38"/>
      <c r="XBO118" s="38"/>
      <c r="XBU118" s="36"/>
      <c r="XBV118" s="38"/>
      <c r="XBW118" s="38"/>
      <c r="XCC118" s="36"/>
      <c r="XCD118" s="38"/>
      <c r="XCE118" s="38"/>
      <c r="XCK118" s="36"/>
      <c r="XCL118" s="38"/>
      <c r="XCM118" s="38"/>
      <c r="XCS118" s="36"/>
      <c r="XCT118" s="38"/>
      <c r="XCU118" s="38"/>
      <c r="XDA118" s="36"/>
      <c r="XDB118" s="38"/>
      <c r="XDC118" s="38"/>
      <c r="XDI118" s="36"/>
      <c r="XDJ118" s="38"/>
      <c r="XDK118" s="38"/>
      <c r="XDQ118" s="36"/>
      <c r="XDR118" s="38"/>
      <c r="XDS118" s="38"/>
      <c r="XDY118" s="36"/>
      <c r="XDZ118" s="38"/>
      <c r="XEA118" s="38"/>
      <c r="XEG118" s="36"/>
      <c r="XEH118" s="38"/>
      <c r="XEI118" s="38"/>
      <c r="XEO118" s="36"/>
      <c r="XEP118" s="38"/>
      <c r="XEQ118" s="38"/>
      <c r="XEW118" s="36"/>
      <c r="XEX118" s="38"/>
      <c r="XEY118" s="38"/>
    </row>
    <row r="119" spans="1:1019 1025:2043 2049:3067 3073:4091 4097:5115 5121:6139 6145:7163 7169:8187 8193:9211 9217:10235 10241:11259 11265:12283 12289:13307 13313:14331 14337:15355 15361:16379" s="24" customFormat="1" ht="19.5" customHeight="1">
      <c r="A119" s="83" t="s">
        <v>67</v>
      </c>
      <c r="B119" s="38"/>
      <c r="C119" s="38"/>
      <c r="I119" s="36"/>
      <c r="J119" s="38"/>
      <c r="K119" s="38"/>
      <c r="Q119" s="36"/>
      <c r="R119" s="38"/>
      <c r="S119" s="38"/>
      <c r="Y119" s="36"/>
      <c r="Z119" s="38"/>
      <c r="AA119" s="38"/>
      <c r="AG119" s="36"/>
      <c r="AH119" s="38"/>
      <c r="AI119" s="38"/>
      <c r="AO119" s="36"/>
      <c r="AP119" s="38"/>
      <c r="AQ119" s="38"/>
      <c r="AW119" s="36"/>
      <c r="AX119" s="38"/>
      <c r="AY119" s="38"/>
      <c r="BE119" s="36"/>
      <c r="BF119" s="38"/>
      <c r="BG119" s="38"/>
      <c r="BM119" s="36"/>
      <c r="BN119" s="38"/>
      <c r="BO119" s="38"/>
      <c r="BU119" s="36"/>
      <c r="BV119" s="38"/>
      <c r="BW119" s="38"/>
      <c r="CC119" s="36"/>
      <c r="CD119" s="38"/>
      <c r="CE119" s="38"/>
      <c r="CK119" s="36"/>
      <c r="CL119" s="38"/>
      <c r="CM119" s="38"/>
      <c r="CS119" s="36"/>
      <c r="CT119" s="38"/>
      <c r="CU119" s="38"/>
      <c r="DA119" s="36"/>
      <c r="DB119" s="38"/>
      <c r="DC119" s="38"/>
      <c r="DI119" s="36"/>
      <c r="DJ119" s="38"/>
      <c r="DK119" s="38"/>
      <c r="DQ119" s="36"/>
      <c r="DR119" s="38"/>
      <c r="DS119" s="38"/>
      <c r="DY119" s="36"/>
      <c r="DZ119" s="38"/>
      <c r="EA119" s="38"/>
      <c r="EG119" s="36"/>
      <c r="EH119" s="38"/>
      <c r="EI119" s="38"/>
      <c r="EO119" s="36"/>
      <c r="EP119" s="38"/>
      <c r="EQ119" s="38"/>
      <c r="EW119" s="36"/>
      <c r="EX119" s="38"/>
      <c r="EY119" s="38"/>
      <c r="FE119" s="36"/>
      <c r="FF119" s="38"/>
      <c r="FG119" s="38"/>
      <c r="FM119" s="36"/>
      <c r="FN119" s="38"/>
      <c r="FO119" s="38"/>
      <c r="FU119" s="36"/>
      <c r="FV119" s="38"/>
      <c r="FW119" s="38"/>
      <c r="GC119" s="36"/>
      <c r="GD119" s="38"/>
      <c r="GE119" s="38"/>
      <c r="GK119" s="36"/>
      <c r="GL119" s="38"/>
      <c r="GM119" s="38"/>
      <c r="GS119" s="36"/>
      <c r="GT119" s="38"/>
      <c r="GU119" s="38"/>
      <c r="HA119" s="36"/>
      <c r="HB119" s="38"/>
      <c r="HC119" s="38"/>
      <c r="HI119" s="36"/>
      <c r="HJ119" s="38"/>
      <c r="HK119" s="38"/>
      <c r="HQ119" s="36"/>
      <c r="HR119" s="38"/>
      <c r="HS119" s="38"/>
      <c r="HY119" s="36"/>
      <c r="HZ119" s="38"/>
      <c r="IA119" s="38"/>
      <c r="IG119" s="36"/>
      <c r="IH119" s="38"/>
      <c r="II119" s="38"/>
      <c r="IO119" s="36"/>
      <c r="IP119" s="38"/>
      <c r="IQ119" s="38"/>
      <c r="IW119" s="36"/>
      <c r="IX119" s="38"/>
      <c r="IY119" s="38"/>
      <c r="JE119" s="36"/>
      <c r="JF119" s="38"/>
      <c r="JG119" s="38"/>
      <c r="JM119" s="36"/>
      <c r="JN119" s="38"/>
      <c r="JO119" s="38"/>
      <c r="JU119" s="36"/>
      <c r="JV119" s="38"/>
      <c r="JW119" s="38"/>
      <c r="KC119" s="36"/>
      <c r="KD119" s="38"/>
      <c r="KE119" s="38"/>
      <c r="KK119" s="36"/>
      <c r="KL119" s="38"/>
      <c r="KM119" s="38"/>
      <c r="KS119" s="36"/>
      <c r="KT119" s="38"/>
      <c r="KU119" s="38"/>
      <c r="LA119" s="36"/>
      <c r="LB119" s="38"/>
      <c r="LC119" s="38"/>
      <c r="LI119" s="36"/>
      <c r="LJ119" s="38"/>
      <c r="LK119" s="38"/>
      <c r="LQ119" s="36"/>
      <c r="LR119" s="38"/>
      <c r="LS119" s="38"/>
      <c r="LY119" s="36"/>
      <c r="LZ119" s="38"/>
      <c r="MA119" s="38"/>
      <c r="MG119" s="36"/>
      <c r="MH119" s="38"/>
      <c r="MI119" s="38"/>
      <c r="MO119" s="36"/>
      <c r="MP119" s="38"/>
      <c r="MQ119" s="38"/>
      <c r="MW119" s="36"/>
      <c r="MX119" s="38"/>
      <c r="MY119" s="38"/>
      <c r="NE119" s="36"/>
      <c r="NF119" s="38"/>
      <c r="NG119" s="38"/>
      <c r="NM119" s="36"/>
      <c r="NN119" s="38"/>
      <c r="NO119" s="38"/>
      <c r="NU119" s="36"/>
      <c r="NV119" s="38"/>
      <c r="NW119" s="38"/>
      <c r="OC119" s="36"/>
      <c r="OD119" s="38"/>
      <c r="OE119" s="38"/>
      <c r="OK119" s="36"/>
      <c r="OL119" s="38"/>
      <c r="OM119" s="38"/>
      <c r="OS119" s="36"/>
      <c r="OT119" s="38"/>
      <c r="OU119" s="38"/>
      <c r="PA119" s="36"/>
      <c r="PB119" s="38"/>
      <c r="PC119" s="38"/>
      <c r="PI119" s="36"/>
      <c r="PJ119" s="38"/>
      <c r="PK119" s="38"/>
      <c r="PQ119" s="36"/>
      <c r="PR119" s="38"/>
      <c r="PS119" s="38"/>
      <c r="PY119" s="36"/>
      <c r="PZ119" s="38"/>
      <c r="QA119" s="38"/>
      <c r="QG119" s="36"/>
      <c r="QH119" s="38"/>
      <c r="QI119" s="38"/>
      <c r="QO119" s="36"/>
      <c r="QP119" s="38"/>
      <c r="QQ119" s="38"/>
      <c r="QW119" s="36"/>
      <c r="QX119" s="38"/>
      <c r="QY119" s="38"/>
      <c r="RE119" s="36"/>
      <c r="RF119" s="38"/>
      <c r="RG119" s="38"/>
      <c r="RM119" s="36"/>
      <c r="RN119" s="38"/>
      <c r="RO119" s="38"/>
      <c r="RU119" s="36"/>
      <c r="RV119" s="38"/>
      <c r="RW119" s="38"/>
      <c r="SC119" s="36"/>
      <c r="SD119" s="38"/>
      <c r="SE119" s="38"/>
      <c r="SK119" s="36"/>
      <c r="SL119" s="38"/>
      <c r="SM119" s="38"/>
      <c r="SS119" s="36"/>
      <c r="ST119" s="38"/>
      <c r="SU119" s="38"/>
      <c r="TA119" s="36"/>
      <c r="TB119" s="38"/>
      <c r="TC119" s="38"/>
      <c r="TI119" s="36"/>
      <c r="TJ119" s="38"/>
      <c r="TK119" s="38"/>
      <c r="TQ119" s="36"/>
      <c r="TR119" s="38"/>
      <c r="TS119" s="38"/>
      <c r="TY119" s="36"/>
      <c r="TZ119" s="38"/>
      <c r="UA119" s="38"/>
      <c r="UG119" s="36"/>
      <c r="UH119" s="38"/>
      <c r="UI119" s="38"/>
      <c r="UO119" s="36"/>
      <c r="UP119" s="38"/>
      <c r="UQ119" s="38"/>
      <c r="UW119" s="36"/>
      <c r="UX119" s="38"/>
      <c r="UY119" s="38"/>
      <c r="VE119" s="36"/>
      <c r="VF119" s="38"/>
      <c r="VG119" s="38"/>
      <c r="VM119" s="36"/>
      <c r="VN119" s="38"/>
      <c r="VO119" s="38"/>
      <c r="VU119" s="36"/>
      <c r="VV119" s="38"/>
      <c r="VW119" s="38"/>
      <c r="WC119" s="36"/>
      <c r="WD119" s="38"/>
      <c r="WE119" s="38"/>
      <c r="WK119" s="36"/>
      <c r="WL119" s="38"/>
      <c r="WM119" s="38"/>
      <c r="WS119" s="36"/>
      <c r="WT119" s="38"/>
      <c r="WU119" s="38"/>
      <c r="XA119" s="36"/>
      <c r="XB119" s="38"/>
      <c r="XC119" s="38"/>
      <c r="XI119" s="36"/>
      <c r="XJ119" s="38"/>
      <c r="XK119" s="38"/>
      <c r="XQ119" s="36"/>
      <c r="XR119" s="38"/>
      <c r="XS119" s="38"/>
      <c r="XY119" s="36"/>
      <c r="XZ119" s="38"/>
      <c r="YA119" s="38"/>
      <c r="YG119" s="36"/>
      <c r="YH119" s="38"/>
      <c r="YI119" s="38"/>
      <c r="YO119" s="36"/>
      <c r="YP119" s="38"/>
      <c r="YQ119" s="38"/>
      <c r="YW119" s="36"/>
      <c r="YX119" s="38"/>
      <c r="YY119" s="38"/>
      <c r="ZE119" s="36"/>
      <c r="ZF119" s="38"/>
      <c r="ZG119" s="38"/>
      <c r="ZM119" s="36"/>
      <c r="ZN119" s="38"/>
      <c r="ZO119" s="38"/>
      <c r="ZU119" s="36"/>
      <c r="ZV119" s="38"/>
      <c r="ZW119" s="38"/>
      <c r="AAC119" s="36"/>
      <c r="AAD119" s="38"/>
      <c r="AAE119" s="38"/>
      <c r="AAK119" s="36"/>
      <c r="AAL119" s="38"/>
      <c r="AAM119" s="38"/>
      <c r="AAS119" s="36"/>
      <c r="AAT119" s="38"/>
      <c r="AAU119" s="38"/>
      <c r="ABA119" s="36"/>
      <c r="ABB119" s="38"/>
      <c r="ABC119" s="38"/>
      <c r="ABI119" s="36"/>
      <c r="ABJ119" s="38"/>
      <c r="ABK119" s="38"/>
      <c r="ABQ119" s="36"/>
      <c r="ABR119" s="38"/>
      <c r="ABS119" s="38"/>
      <c r="ABY119" s="36"/>
      <c r="ABZ119" s="38"/>
      <c r="ACA119" s="38"/>
      <c r="ACG119" s="36"/>
      <c r="ACH119" s="38"/>
      <c r="ACI119" s="38"/>
      <c r="ACO119" s="36"/>
      <c r="ACP119" s="38"/>
      <c r="ACQ119" s="38"/>
      <c r="ACW119" s="36"/>
      <c r="ACX119" s="38"/>
      <c r="ACY119" s="38"/>
      <c r="ADE119" s="36"/>
      <c r="ADF119" s="38"/>
      <c r="ADG119" s="38"/>
      <c r="ADM119" s="36"/>
      <c r="ADN119" s="38"/>
      <c r="ADO119" s="38"/>
      <c r="ADU119" s="36"/>
      <c r="ADV119" s="38"/>
      <c r="ADW119" s="38"/>
      <c r="AEC119" s="36"/>
      <c r="AED119" s="38"/>
      <c r="AEE119" s="38"/>
      <c r="AEK119" s="36"/>
      <c r="AEL119" s="38"/>
      <c r="AEM119" s="38"/>
      <c r="AES119" s="36"/>
      <c r="AET119" s="38"/>
      <c r="AEU119" s="38"/>
      <c r="AFA119" s="36"/>
      <c r="AFB119" s="38"/>
      <c r="AFC119" s="38"/>
      <c r="AFI119" s="36"/>
      <c r="AFJ119" s="38"/>
      <c r="AFK119" s="38"/>
      <c r="AFQ119" s="36"/>
      <c r="AFR119" s="38"/>
      <c r="AFS119" s="38"/>
      <c r="AFY119" s="36"/>
      <c r="AFZ119" s="38"/>
      <c r="AGA119" s="38"/>
      <c r="AGG119" s="36"/>
      <c r="AGH119" s="38"/>
      <c r="AGI119" s="38"/>
      <c r="AGO119" s="36"/>
      <c r="AGP119" s="38"/>
      <c r="AGQ119" s="38"/>
      <c r="AGW119" s="36"/>
      <c r="AGX119" s="38"/>
      <c r="AGY119" s="38"/>
      <c r="AHE119" s="36"/>
      <c r="AHF119" s="38"/>
      <c r="AHG119" s="38"/>
      <c r="AHM119" s="36"/>
      <c r="AHN119" s="38"/>
      <c r="AHO119" s="38"/>
      <c r="AHU119" s="36"/>
      <c r="AHV119" s="38"/>
      <c r="AHW119" s="38"/>
      <c r="AIC119" s="36"/>
      <c r="AID119" s="38"/>
      <c r="AIE119" s="38"/>
      <c r="AIK119" s="36"/>
      <c r="AIL119" s="38"/>
      <c r="AIM119" s="38"/>
      <c r="AIS119" s="36"/>
      <c r="AIT119" s="38"/>
      <c r="AIU119" s="38"/>
      <c r="AJA119" s="36"/>
      <c r="AJB119" s="38"/>
      <c r="AJC119" s="38"/>
      <c r="AJI119" s="36"/>
      <c r="AJJ119" s="38"/>
      <c r="AJK119" s="38"/>
      <c r="AJQ119" s="36"/>
      <c r="AJR119" s="38"/>
      <c r="AJS119" s="38"/>
      <c r="AJY119" s="36"/>
      <c r="AJZ119" s="38"/>
      <c r="AKA119" s="38"/>
      <c r="AKG119" s="36"/>
      <c r="AKH119" s="38"/>
      <c r="AKI119" s="38"/>
      <c r="AKO119" s="36"/>
      <c r="AKP119" s="38"/>
      <c r="AKQ119" s="38"/>
      <c r="AKW119" s="36"/>
      <c r="AKX119" s="38"/>
      <c r="AKY119" s="38"/>
      <c r="ALE119" s="36"/>
      <c r="ALF119" s="38"/>
      <c r="ALG119" s="38"/>
      <c r="ALM119" s="36"/>
      <c r="ALN119" s="38"/>
      <c r="ALO119" s="38"/>
      <c r="ALU119" s="36"/>
      <c r="ALV119" s="38"/>
      <c r="ALW119" s="38"/>
      <c r="AMC119" s="36"/>
      <c r="AMD119" s="38"/>
      <c r="AME119" s="38"/>
      <c r="AMK119" s="36"/>
      <c r="AML119" s="38"/>
      <c r="AMM119" s="38"/>
      <c r="AMS119" s="36"/>
      <c r="AMT119" s="38"/>
      <c r="AMU119" s="38"/>
      <c r="ANA119" s="36"/>
      <c r="ANB119" s="38"/>
      <c r="ANC119" s="38"/>
      <c r="ANI119" s="36"/>
      <c r="ANJ119" s="38"/>
      <c r="ANK119" s="38"/>
      <c r="ANQ119" s="36"/>
      <c r="ANR119" s="38"/>
      <c r="ANS119" s="38"/>
      <c r="ANY119" s="36"/>
      <c r="ANZ119" s="38"/>
      <c r="AOA119" s="38"/>
      <c r="AOG119" s="36"/>
      <c r="AOH119" s="38"/>
      <c r="AOI119" s="38"/>
      <c r="AOO119" s="36"/>
      <c r="AOP119" s="38"/>
      <c r="AOQ119" s="38"/>
      <c r="AOW119" s="36"/>
      <c r="AOX119" s="38"/>
      <c r="AOY119" s="38"/>
      <c r="APE119" s="36"/>
      <c r="APF119" s="38"/>
      <c r="APG119" s="38"/>
      <c r="APM119" s="36"/>
      <c r="APN119" s="38"/>
      <c r="APO119" s="38"/>
      <c r="APU119" s="36"/>
      <c r="APV119" s="38"/>
      <c r="APW119" s="38"/>
      <c r="AQC119" s="36"/>
      <c r="AQD119" s="38"/>
      <c r="AQE119" s="38"/>
      <c r="AQK119" s="36"/>
      <c r="AQL119" s="38"/>
      <c r="AQM119" s="38"/>
      <c r="AQS119" s="36"/>
      <c r="AQT119" s="38"/>
      <c r="AQU119" s="38"/>
      <c r="ARA119" s="36"/>
      <c r="ARB119" s="38"/>
      <c r="ARC119" s="38"/>
      <c r="ARI119" s="36"/>
      <c r="ARJ119" s="38"/>
      <c r="ARK119" s="38"/>
      <c r="ARQ119" s="36"/>
      <c r="ARR119" s="38"/>
      <c r="ARS119" s="38"/>
      <c r="ARY119" s="36"/>
      <c r="ARZ119" s="38"/>
      <c r="ASA119" s="38"/>
      <c r="ASG119" s="36"/>
      <c r="ASH119" s="38"/>
      <c r="ASI119" s="38"/>
      <c r="ASO119" s="36"/>
      <c r="ASP119" s="38"/>
      <c r="ASQ119" s="38"/>
      <c r="ASW119" s="36"/>
      <c r="ASX119" s="38"/>
      <c r="ASY119" s="38"/>
      <c r="ATE119" s="36"/>
      <c r="ATF119" s="38"/>
      <c r="ATG119" s="38"/>
      <c r="ATM119" s="36"/>
      <c r="ATN119" s="38"/>
      <c r="ATO119" s="38"/>
      <c r="ATU119" s="36"/>
      <c r="ATV119" s="38"/>
      <c r="ATW119" s="38"/>
      <c r="AUC119" s="36"/>
      <c r="AUD119" s="38"/>
      <c r="AUE119" s="38"/>
      <c r="AUK119" s="36"/>
      <c r="AUL119" s="38"/>
      <c r="AUM119" s="38"/>
      <c r="AUS119" s="36"/>
      <c r="AUT119" s="38"/>
      <c r="AUU119" s="38"/>
      <c r="AVA119" s="36"/>
      <c r="AVB119" s="38"/>
      <c r="AVC119" s="38"/>
      <c r="AVI119" s="36"/>
      <c r="AVJ119" s="38"/>
      <c r="AVK119" s="38"/>
      <c r="AVQ119" s="36"/>
      <c r="AVR119" s="38"/>
      <c r="AVS119" s="38"/>
      <c r="AVY119" s="36"/>
      <c r="AVZ119" s="38"/>
      <c r="AWA119" s="38"/>
      <c r="AWG119" s="36"/>
      <c r="AWH119" s="38"/>
      <c r="AWI119" s="38"/>
      <c r="AWO119" s="36"/>
      <c r="AWP119" s="38"/>
      <c r="AWQ119" s="38"/>
      <c r="AWW119" s="36"/>
      <c r="AWX119" s="38"/>
      <c r="AWY119" s="38"/>
      <c r="AXE119" s="36"/>
      <c r="AXF119" s="38"/>
      <c r="AXG119" s="38"/>
      <c r="AXM119" s="36"/>
      <c r="AXN119" s="38"/>
      <c r="AXO119" s="38"/>
      <c r="AXU119" s="36"/>
      <c r="AXV119" s="38"/>
      <c r="AXW119" s="38"/>
      <c r="AYC119" s="36"/>
      <c r="AYD119" s="38"/>
      <c r="AYE119" s="38"/>
      <c r="AYK119" s="36"/>
      <c r="AYL119" s="38"/>
      <c r="AYM119" s="38"/>
      <c r="AYS119" s="36"/>
      <c r="AYT119" s="38"/>
      <c r="AYU119" s="38"/>
      <c r="AZA119" s="36"/>
      <c r="AZB119" s="38"/>
      <c r="AZC119" s="38"/>
      <c r="AZI119" s="36"/>
      <c r="AZJ119" s="38"/>
      <c r="AZK119" s="38"/>
      <c r="AZQ119" s="36"/>
      <c r="AZR119" s="38"/>
      <c r="AZS119" s="38"/>
      <c r="AZY119" s="36"/>
      <c r="AZZ119" s="38"/>
      <c r="BAA119" s="38"/>
      <c r="BAG119" s="36"/>
      <c r="BAH119" s="38"/>
      <c r="BAI119" s="38"/>
      <c r="BAO119" s="36"/>
      <c r="BAP119" s="38"/>
      <c r="BAQ119" s="38"/>
      <c r="BAW119" s="36"/>
      <c r="BAX119" s="38"/>
      <c r="BAY119" s="38"/>
      <c r="BBE119" s="36"/>
      <c r="BBF119" s="38"/>
      <c r="BBG119" s="38"/>
      <c r="BBM119" s="36"/>
      <c r="BBN119" s="38"/>
      <c r="BBO119" s="38"/>
      <c r="BBU119" s="36"/>
      <c r="BBV119" s="38"/>
      <c r="BBW119" s="38"/>
      <c r="BCC119" s="36"/>
      <c r="BCD119" s="38"/>
      <c r="BCE119" s="38"/>
      <c r="BCK119" s="36"/>
      <c r="BCL119" s="38"/>
      <c r="BCM119" s="38"/>
      <c r="BCS119" s="36"/>
      <c r="BCT119" s="38"/>
      <c r="BCU119" s="38"/>
      <c r="BDA119" s="36"/>
      <c r="BDB119" s="38"/>
      <c r="BDC119" s="38"/>
      <c r="BDI119" s="36"/>
      <c r="BDJ119" s="38"/>
      <c r="BDK119" s="38"/>
      <c r="BDQ119" s="36"/>
      <c r="BDR119" s="38"/>
      <c r="BDS119" s="38"/>
      <c r="BDY119" s="36"/>
      <c r="BDZ119" s="38"/>
      <c r="BEA119" s="38"/>
      <c r="BEG119" s="36"/>
      <c r="BEH119" s="38"/>
      <c r="BEI119" s="38"/>
      <c r="BEO119" s="36"/>
      <c r="BEP119" s="38"/>
      <c r="BEQ119" s="38"/>
      <c r="BEW119" s="36"/>
      <c r="BEX119" s="38"/>
      <c r="BEY119" s="38"/>
      <c r="BFE119" s="36"/>
      <c r="BFF119" s="38"/>
      <c r="BFG119" s="38"/>
      <c r="BFM119" s="36"/>
      <c r="BFN119" s="38"/>
      <c r="BFO119" s="38"/>
      <c r="BFU119" s="36"/>
      <c r="BFV119" s="38"/>
      <c r="BFW119" s="38"/>
      <c r="BGC119" s="36"/>
      <c r="BGD119" s="38"/>
      <c r="BGE119" s="38"/>
      <c r="BGK119" s="36"/>
      <c r="BGL119" s="38"/>
      <c r="BGM119" s="38"/>
      <c r="BGS119" s="36"/>
      <c r="BGT119" s="38"/>
      <c r="BGU119" s="38"/>
      <c r="BHA119" s="36"/>
      <c r="BHB119" s="38"/>
      <c r="BHC119" s="38"/>
      <c r="BHI119" s="36"/>
      <c r="BHJ119" s="38"/>
      <c r="BHK119" s="38"/>
      <c r="BHQ119" s="36"/>
      <c r="BHR119" s="38"/>
      <c r="BHS119" s="38"/>
      <c r="BHY119" s="36"/>
      <c r="BHZ119" s="38"/>
      <c r="BIA119" s="38"/>
      <c r="BIG119" s="36"/>
      <c r="BIH119" s="38"/>
      <c r="BII119" s="38"/>
      <c r="BIO119" s="36"/>
      <c r="BIP119" s="38"/>
      <c r="BIQ119" s="38"/>
      <c r="BIW119" s="36"/>
      <c r="BIX119" s="38"/>
      <c r="BIY119" s="38"/>
      <c r="BJE119" s="36"/>
      <c r="BJF119" s="38"/>
      <c r="BJG119" s="38"/>
      <c r="BJM119" s="36"/>
      <c r="BJN119" s="38"/>
      <c r="BJO119" s="38"/>
      <c r="BJU119" s="36"/>
      <c r="BJV119" s="38"/>
      <c r="BJW119" s="38"/>
      <c r="BKC119" s="36"/>
      <c r="BKD119" s="38"/>
      <c r="BKE119" s="38"/>
      <c r="BKK119" s="36"/>
      <c r="BKL119" s="38"/>
      <c r="BKM119" s="38"/>
      <c r="BKS119" s="36"/>
      <c r="BKT119" s="38"/>
      <c r="BKU119" s="38"/>
      <c r="BLA119" s="36"/>
      <c r="BLB119" s="38"/>
      <c r="BLC119" s="38"/>
      <c r="BLI119" s="36"/>
      <c r="BLJ119" s="38"/>
      <c r="BLK119" s="38"/>
      <c r="BLQ119" s="36"/>
      <c r="BLR119" s="38"/>
      <c r="BLS119" s="38"/>
      <c r="BLY119" s="36"/>
      <c r="BLZ119" s="38"/>
      <c r="BMA119" s="38"/>
      <c r="BMG119" s="36"/>
      <c r="BMH119" s="38"/>
      <c r="BMI119" s="38"/>
      <c r="BMO119" s="36"/>
      <c r="BMP119" s="38"/>
      <c r="BMQ119" s="38"/>
      <c r="BMW119" s="36"/>
      <c r="BMX119" s="38"/>
      <c r="BMY119" s="38"/>
      <c r="BNE119" s="36"/>
      <c r="BNF119" s="38"/>
      <c r="BNG119" s="38"/>
      <c r="BNM119" s="36"/>
      <c r="BNN119" s="38"/>
      <c r="BNO119" s="38"/>
      <c r="BNU119" s="36"/>
      <c r="BNV119" s="38"/>
      <c r="BNW119" s="38"/>
      <c r="BOC119" s="36"/>
      <c r="BOD119" s="38"/>
      <c r="BOE119" s="38"/>
      <c r="BOK119" s="36"/>
      <c r="BOL119" s="38"/>
      <c r="BOM119" s="38"/>
      <c r="BOS119" s="36"/>
      <c r="BOT119" s="38"/>
      <c r="BOU119" s="38"/>
      <c r="BPA119" s="36"/>
      <c r="BPB119" s="38"/>
      <c r="BPC119" s="38"/>
      <c r="BPI119" s="36"/>
      <c r="BPJ119" s="38"/>
      <c r="BPK119" s="38"/>
      <c r="BPQ119" s="36"/>
      <c r="BPR119" s="38"/>
      <c r="BPS119" s="38"/>
      <c r="BPY119" s="36"/>
      <c r="BPZ119" s="38"/>
      <c r="BQA119" s="38"/>
      <c r="BQG119" s="36"/>
      <c r="BQH119" s="38"/>
      <c r="BQI119" s="38"/>
      <c r="BQO119" s="36"/>
      <c r="BQP119" s="38"/>
      <c r="BQQ119" s="38"/>
      <c r="BQW119" s="36"/>
      <c r="BQX119" s="38"/>
      <c r="BQY119" s="38"/>
      <c r="BRE119" s="36"/>
      <c r="BRF119" s="38"/>
      <c r="BRG119" s="38"/>
      <c r="BRM119" s="36"/>
      <c r="BRN119" s="38"/>
      <c r="BRO119" s="38"/>
      <c r="BRU119" s="36"/>
      <c r="BRV119" s="38"/>
      <c r="BRW119" s="38"/>
      <c r="BSC119" s="36"/>
      <c r="BSD119" s="38"/>
      <c r="BSE119" s="38"/>
      <c r="BSK119" s="36"/>
      <c r="BSL119" s="38"/>
      <c r="BSM119" s="38"/>
      <c r="BSS119" s="36"/>
      <c r="BST119" s="38"/>
      <c r="BSU119" s="38"/>
      <c r="BTA119" s="36"/>
      <c r="BTB119" s="38"/>
      <c r="BTC119" s="38"/>
      <c r="BTI119" s="36"/>
      <c r="BTJ119" s="38"/>
      <c r="BTK119" s="38"/>
      <c r="BTQ119" s="36"/>
      <c r="BTR119" s="38"/>
      <c r="BTS119" s="38"/>
      <c r="BTY119" s="36"/>
      <c r="BTZ119" s="38"/>
      <c r="BUA119" s="38"/>
      <c r="BUG119" s="36"/>
      <c r="BUH119" s="38"/>
      <c r="BUI119" s="38"/>
      <c r="BUO119" s="36"/>
      <c r="BUP119" s="38"/>
      <c r="BUQ119" s="38"/>
      <c r="BUW119" s="36"/>
      <c r="BUX119" s="38"/>
      <c r="BUY119" s="38"/>
      <c r="BVE119" s="36"/>
      <c r="BVF119" s="38"/>
      <c r="BVG119" s="38"/>
      <c r="BVM119" s="36"/>
      <c r="BVN119" s="38"/>
      <c r="BVO119" s="38"/>
      <c r="BVU119" s="36"/>
      <c r="BVV119" s="38"/>
      <c r="BVW119" s="38"/>
      <c r="BWC119" s="36"/>
      <c r="BWD119" s="38"/>
      <c r="BWE119" s="38"/>
      <c r="BWK119" s="36"/>
      <c r="BWL119" s="38"/>
      <c r="BWM119" s="38"/>
      <c r="BWS119" s="36"/>
      <c r="BWT119" s="38"/>
      <c r="BWU119" s="38"/>
      <c r="BXA119" s="36"/>
      <c r="BXB119" s="38"/>
      <c r="BXC119" s="38"/>
      <c r="BXI119" s="36"/>
      <c r="BXJ119" s="38"/>
      <c r="BXK119" s="38"/>
      <c r="BXQ119" s="36"/>
      <c r="BXR119" s="38"/>
      <c r="BXS119" s="38"/>
      <c r="BXY119" s="36"/>
      <c r="BXZ119" s="38"/>
      <c r="BYA119" s="38"/>
      <c r="BYG119" s="36"/>
      <c r="BYH119" s="38"/>
      <c r="BYI119" s="38"/>
      <c r="BYO119" s="36"/>
      <c r="BYP119" s="38"/>
      <c r="BYQ119" s="38"/>
      <c r="BYW119" s="36"/>
      <c r="BYX119" s="38"/>
      <c r="BYY119" s="38"/>
      <c r="BZE119" s="36"/>
      <c r="BZF119" s="38"/>
      <c r="BZG119" s="38"/>
      <c r="BZM119" s="36"/>
      <c r="BZN119" s="38"/>
      <c r="BZO119" s="38"/>
      <c r="BZU119" s="36"/>
      <c r="BZV119" s="38"/>
      <c r="BZW119" s="38"/>
      <c r="CAC119" s="36"/>
      <c r="CAD119" s="38"/>
      <c r="CAE119" s="38"/>
      <c r="CAK119" s="36"/>
      <c r="CAL119" s="38"/>
      <c r="CAM119" s="38"/>
      <c r="CAS119" s="36"/>
      <c r="CAT119" s="38"/>
      <c r="CAU119" s="38"/>
      <c r="CBA119" s="36"/>
      <c r="CBB119" s="38"/>
      <c r="CBC119" s="38"/>
      <c r="CBI119" s="36"/>
      <c r="CBJ119" s="38"/>
      <c r="CBK119" s="38"/>
      <c r="CBQ119" s="36"/>
      <c r="CBR119" s="38"/>
      <c r="CBS119" s="38"/>
      <c r="CBY119" s="36"/>
      <c r="CBZ119" s="38"/>
      <c r="CCA119" s="38"/>
      <c r="CCG119" s="36"/>
      <c r="CCH119" s="38"/>
      <c r="CCI119" s="38"/>
      <c r="CCO119" s="36"/>
      <c r="CCP119" s="38"/>
      <c r="CCQ119" s="38"/>
      <c r="CCW119" s="36"/>
      <c r="CCX119" s="38"/>
      <c r="CCY119" s="38"/>
      <c r="CDE119" s="36"/>
      <c r="CDF119" s="38"/>
      <c r="CDG119" s="38"/>
      <c r="CDM119" s="36"/>
      <c r="CDN119" s="38"/>
      <c r="CDO119" s="38"/>
      <c r="CDU119" s="36"/>
      <c r="CDV119" s="38"/>
      <c r="CDW119" s="38"/>
      <c r="CEC119" s="36"/>
      <c r="CED119" s="38"/>
      <c r="CEE119" s="38"/>
      <c r="CEK119" s="36"/>
      <c r="CEL119" s="38"/>
      <c r="CEM119" s="38"/>
      <c r="CES119" s="36"/>
      <c r="CET119" s="38"/>
      <c r="CEU119" s="38"/>
      <c r="CFA119" s="36"/>
      <c r="CFB119" s="38"/>
      <c r="CFC119" s="38"/>
      <c r="CFI119" s="36"/>
      <c r="CFJ119" s="38"/>
      <c r="CFK119" s="38"/>
      <c r="CFQ119" s="36"/>
      <c r="CFR119" s="38"/>
      <c r="CFS119" s="38"/>
      <c r="CFY119" s="36"/>
      <c r="CFZ119" s="38"/>
      <c r="CGA119" s="38"/>
      <c r="CGG119" s="36"/>
      <c r="CGH119" s="38"/>
      <c r="CGI119" s="38"/>
      <c r="CGO119" s="36"/>
      <c r="CGP119" s="38"/>
      <c r="CGQ119" s="38"/>
      <c r="CGW119" s="36"/>
      <c r="CGX119" s="38"/>
      <c r="CGY119" s="38"/>
      <c r="CHE119" s="36"/>
      <c r="CHF119" s="38"/>
      <c r="CHG119" s="38"/>
      <c r="CHM119" s="36"/>
      <c r="CHN119" s="38"/>
      <c r="CHO119" s="38"/>
      <c r="CHU119" s="36"/>
      <c r="CHV119" s="38"/>
      <c r="CHW119" s="38"/>
      <c r="CIC119" s="36"/>
      <c r="CID119" s="38"/>
      <c r="CIE119" s="38"/>
      <c r="CIK119" s="36"/>
      <c r="CIL119" s="38"/>
      <c r="CIM119" s="38"/>
      <c r="CIS119" s="36"/>
      <c r="CIT119" s="38"/>
      <c r="CIU119" s="38"/>
      <c r="CJA119" s="36"/>
      <c r="CJB119" s="38"/>
      <c r="CJC119" s="38"/>
      <c r="CJI119" s="36"/>
      <c r="CJJ119" s="38"/>
      <c r="CJK119" s="38"/>
      <c r="CJQ119" s="36"/>
      <c r="CJR119" s="38"/>
      <c r="CJS119" s="38"/>
      <c r="CJY119" s="36"/>
      <c r="CJZ119" s="38"/>
      <c r="CKA119" s="38"/>
      <c r="CKG119" s="36"/>
      <c r="CKH119" s="38"/>
      <c r="CKI119" s="38"/>
      <c r="CKO119" s="36"/>
      <c r="CKP119" s="38"/>
      <c r="CKQ119" s="38"/>
      <c r="CKW119" s="36"/>
      <c r="CKX119" s="38"/>
      <c r="CKY119" s="38"/>
      <c r="CLE119" s="36"/>
      <c r="CLF119" s="38"/>
      <c r="CLG119" s="38"/>
      <c r="CLM119" s="36"/>
      <c r="CLN119" s="38"/>
      <c r="CLO119" s="38"/>
      <c r="CLU119" s="36"/>
      <c r="CLV119" s="38"/>
      <c r="CLW119" s="38"/>
      <c r="CMC119" s="36"/>
      <c r="CMD119" s="38"/>
      <c r="CME119" s="38"/>
      <c r="CMK119" s="36"/>
      <c r="CML119" s="38"/>
      <c r="CMM119" s="38"/>
      <c r="CMS119" s="36"/>
      <c r="CMT119" s="38"/>
      <c r="CMU119" s="38"/>
      <c r="CNA119" s="36"/>
      <c r="CNB119" s="38"/>
      <c r="CNC119" s="38"/>
      <c r="CNI119" s="36"/>
      <c r="CNJ119" s="38"/>
      <c r="CNK119" s="38"/>
      <c r="CNQ119" s="36"/>
      <c r="CNR119" s="38"/>
      <c r="CNS119" s="38"/>
      <c r="CNY119" s="36"/>
      <c r="CNZ119" s="38"/>
      <c r="COA119" s="38"/>
      <c r="COG119" s="36"/>
      <c r="COH119" s="38"/>
      <c r="COI119" s="38"/>
      <c r="COO119" s="36"/>
      <c r="COP119" s="38"/>
      <c r="COQ119" s="38"/>
      <c r="COW119" s="36"/>
      <c r="COX119" s="38"/>
      <c r="COY119" s="38"/>
      <c r="CPE119" s="36"/>
      <c r="CPF119" s="38"/>
      <c r="CPG119" s="38"/>
      <c r="CPM119" s="36"/>
      <c r="CPN119" s="38"/>
      <c r="CPO119" s="38"/>
      <c r="CPU119" s="36"/>
      <c r="CPV119" s="38"/>
      <c r="CPW119" s="38"/>
      <c r="CQC119" s="36"/>
      <c r="CQD119" s="38"/>
      <c r="CQE119" s="38"/>
      <c r="CQK119" s="36"/>
      <c r="CQL119" s="38"/>
      <c r="CQM119" s="38"/>
      <c r="CQS119" s="36"/>
      <c r="CQT119" s="38"/>
      <c r="CQU119" s="38"/>
      <c r="CRA119" s="36"/>
      <c r="CRB119" s="38"/>
      <c r="CRC119" s="38"/>
      <c r="CRI119" s="36"/>
      <c r="CRJ119" s="38"/>
      <c r="CRK119" s="38"/>
      <c r="CRQ119" s="36"/>
      <c r="CRR119" s="38"/>
      <c r="CRS119" s="38"/>
      <c r="CRY119" s="36"/>
      <c r="CRZ119" s="38"/>
      <c r="CSA119" s="38"/>
      <c r="CSG119" s="36"/>
      <c r="CSH119" s="38"/>
      <c r="CSI119" s="38"/>
      <c r="CSO119" s="36"/>
      <c r="CSP119" s="38"/>
      <c r="CSQ119" s="38"/>
      <c r="CSW119" s="36"/>
      <c r="CSX119" s="38"/>
      <c r="CSY119" s="38"/>
      <c r="CTE119" s="36"/>
      <c r="CTF119" s="38"/>
      <c r="CTG119" s="38"/>
      <c r="CTM119" s="36"/>
      <c r="CTN119" s="38"/>
      <c r="CTO119" s="38"/>
      <c r="CTU119" s="36"/>
      <c r="CTV119" s="38"/>
      <c r="CTW119" s="38"/>
      <c r="CUC119" s="36"/>
      <c r="CUD119" s="38"/>
      <c r="CUE119" s="38"/>
      <c r="CUK119" s="36"/>
      <c r="CUL119" s="38"/>
      <c r="CUM119" s="38"/>
      <c r="CUS119" s="36"/>
      <c r="CUT119" s="38"/>
      <c r="CUU119" s="38"/>
      <c r="CVA119" s="36"/>
      <c r="CVB119" s="38"/>
      <c r="CVC119" s="38"/>
      <c r="CVI119" s="36"/>
      <c r="CVJ119" s="38"/>
      <c r="CVK119" s="38"/>
      <c r="CVQ119" s="36"/>
      <c r="CVR119" s="38"/>
      <c r="CVS119" s="38"/>
      <c r="CVY119" s="36"/>
      <c r="CVZ119" s="38"/>
      <c r="CWA119" s="38"/>
      <c r="CWG119" s="36"/>
      <c r="CWH119" s="38"/>
      <c r="CWI119" s="38"/>
      <c r="CWO119" s="36"/>
      <c r="CWP119" s="38"/>
      <c r="CWQ119" s="38"/>
      <c r="CWW119" s="36"/>
      <c r="CWX119" s="38"/>
      <c r="CWY119" s="38"/>
      <c r="CXE119" s="36"/>
      <c r="CXF119" s="38"/>
      <c r="CXG119" s="38"/>
      <c r="CXM119" s="36"/>
      <c r="CXN119" s="38"/>
      <c r="CXO119" s="38"/>
      <c r="CXU119" s="36"/>
      <c r="CXV119" s="38"/>
      <c r="CXW119" s="38"/>
      <c r="CYC119" s="36"/>
      <c r="CYD119" s="38"/>
      <c r="CYE119" s="38"/>
      <c r="CYK119" s="36"/>
      <c r="CYL119" s="38"/>
      <c r="CYM119" s="38"/>
      <c r="CYS119" s="36"/>
      <c r="CYT119" s="38"/>
      <c r="CYU119" s="38"/>
      <c r="CZA119" s="36"/>
      <c r="CZB119" s="38"/>
      <c r="CZC119" s="38"/>
      <c r="CZI119" s="36"/>
      <c r="CZJ119" s="38"/>
      <c r="CZK119" s="38"/>
      <c r="CZQ119" s="36"/>
      <c r="CZR119" s="38"/>
      <c r="CZS119" s="38"/>
      <c r="CZY119" s="36"/>
      <c r="CZZ119" s="38"/>
      <c r="DAA119" s="38"/>
      <c r="DAG119" s="36"/>
      <c r="DAH119" s="38"/>
      <c r="DAI119" s="38"/>
      <c r="DAO119" s="36"/>
      <c r="DAP119" s="38"/>
      <c r="DAQ119" s="38"/>
      <c r="DAW119" s="36"/>
      <c r="DAX119" s="38"/>
      <c r="DAY119" s="38"/>
      <c r="DBE119" s="36"/>
      <c r="DBF119" s="38"/>
      <c r="DBG119" s="38"/>
      <c r="DBM119" s="36"/>
      <c r="DBN119" s="38"/>
      <c r="DBO119" s="38"/>
      <c r="DBU119" s="36"/>
      <c r="DBV119" s="38"/>
      <c r="DBW119" s="38"/>
      <c r="DCC119" s="36"/>
      <c r="DCD119" s="38"/>
      <c r="DCE119" s="38"/>
      <c r="DCK119" s="36"/>
      <c r="DCL119" s="38"/>
      <c r="DCM119" s="38"/>
      <c r="DCS119" s="36"/>
      <c r="DCT119" s="38"/>
      <c r="DCU119" s="38"/>
      <c r="DDA119" s="36"/>
      <c r="DDB119" s="38"/>
      <c r="DDC119" s="38"/>
      <c r="DDI119" s="36"/>
      <c r="DDJ119" s="38"/>
      <c r="DDK119" s="38"/>
      <c r="DDQ119" s="36"/>
      <c r="DDR119" s="38"/>
      <c r="DDS119" s="38"/>
      <c r="DDY119" s="36"/>
      <c r="DDZ119" s="38"/>
      <c r="DEA119" s="38"/>
      <c r="DEG119" s="36"/>
      <c r="DEH119" s="38"/>
      <c r="DEI119" s="38"/>
      <c r="DEO119" s="36"/>
      <c r="DEP119" s="38"/>
      <c r="DEQ119" s="38"/>
      <c r="DEW119" s="36"/>
      <c r="DEX119" s="38"/>
      <c r="DEY119" s="38"/>
      <c r="DFE119" s="36"/>
      <c r="DFF119" s="38"/>
      <c r="DFG119" s="38"/>
      <c r="DFM119" s="36"/>
      <c r="DFN119" s="38"/>
      <c r="DFO119" s="38"/>
      <c r="DFU119" s="36"/>
      <c r="DFV119" s="38"/>
      <c r="DFW119" s="38"/>
      <c r="DGC119" s="36"/>
      <c r="DGD119" s="38"/>
      <c r="DGE119" s="38"/>
      <c r="DGK119" s="36"/>
      <c r="DGL119" s="38"/>
      <c r="DGM119" s="38"/>
      <c r="DGS119" s="36"/>
      <c r="DGT119" s="38"/>
      <c r="DGU119" s="38"/>
      <c r="DHA119" s="36"/>
      <c r="DHB119" s="38"/>
      <c r="DHC119" s="38"/>
      <c r="DHI119" s="36"/>
      <c r="DHJ119" s="38"/>
      <c r="DHK119" s="38"/>
      <c r="DHQ119" s="36"/>
      <c r="DHR119" s="38"/>
      <c r="DHS119" s="38"/>
      <c r="DHY119" s="36"/>
      <c r="DHZ119" s="38"/>
      <c r="DIA119" s="38"/>
      <c r="DIG119" s="36"/>
      <c r="DIH119" s="38"/>
      <c r="DII119" s="38"/>
      <c r="DIO119" s="36"/>
      <c r="DIP119" s="38"/>
      <c r="DIQ119" s="38"/>
      <c r="DIW119" s="36"/>
      <c r="DIX119" s="38"/>
      <c r="DIY119" s="38"/>
      <c r="DJE119" s="36"/>
      <c r="DJF119" s="38"/>
      <c r="DJG119" s="38"/>
      <c r="DJM119" s="36"/>
      <c r="DJN119" s="38"/>
      <c r="DJO119" s="38"/>
      <c r="DJU119" s="36"/>
      <c r="DJV119" s="38"/>
      <c r="DJW119" s="38"/>
      <c r="DKC119" s="36"/>
      <c r="DKD119" s="38"/>
      <c r="DKE119" s="38"/>
      <c r="DKK119" s="36"/>
      <c r="DKL119" s="38"/>
      <c r="DKM119" s="38"/>
      <c r="DKS119" s="36"/>
      <c r="DKT119" s="38"/>
      <c r="DKU119" s="38"/>
      <c r="DLA119" s="36"/>
      <c r="DLB119" s="38"/>
      <c r="DLC119" s="38"/>
      <c r="DLI119" s="36"/>
      <c r="DLJ119" s="38"/>
      <c r="DLK119" s="38"/>
      <c r="DLQ119" s="36"/>
      <c r="DLR119" s="38"/>
      <c r="DLS119" s="38"/>
      <c r="DLY119" s="36"/>
      <c r="DLZ119" s="38"/>
      <c r="DMA119" s="38"/>
      <c r="DMG119" s="36"/>
      <c r="DMH119" s="38"/>
      <c r="DMI119" s="38"/>
      <c r="DMO119" s="36"/>
      <c r="DMP119" s="38"/>
      <c r="DMQ119" s="38"/>
      <c r="DMW119" s="36"/>
      <c r="DMX119" s="38"/>
      <c r="DMY119" s="38"/>
      <c r="DNE119" s="36"/>
      <c r="DNF119" s="38"/>
      <c r="DNG119" s="38"/>
      <c r="DNM119" s="36"/>
      <c r="DNN119" s="38"/>
      <c r="DNO119" s="38"/>
      <c r="DNU119" s="36"/>
      <c r="DNV119" s="38"/>
      <c r="DNW119" s="38"/>
      <c r="DOC119" s="36"/>
      <c r="DOD119" s="38"/>
      <c r="DOE119" s="38"/>
      <c r="DOK119" s="36"/>
      <c r="DOL119" s="38"/>
      <c r="DOM119" s="38"/>
      <c r="DOS119" s="36"/>
      <c r="DOT119" s="38"/>
      <c r="DOU119" s="38"/>
      <c r="DPA119" s="36"/>
      <c r="DPB119" s="38"/>
      <c r="DPC119" s="38"/>
      <c r="DPI119" s="36"/>
      <c r="DPJ119" s="38"/>
      <c r="DPK119" s="38"/>
      <c r="DPQ119" s="36"/>
      <c r="DPR119" s="38"/>
      <c r="DPS119" s="38"/>
      <c r="DPY119" s="36"/>
      <c r="DPZ119" s="38"/>
      <c r="DQA119" s="38"/>
      <c r="DQG119" s="36"/>
      <c r="DQH119" s="38"/>
      <c r="DQI119" s="38"/>
      <c r="DQO119" s="36"/>
      <c r="DQP119" s="38"/>
      <c r="DQQ119" s="38"/>
      <c r="DQW119" s="36"/>
      <c r="DQX119" s="38"/>
      <c r="DQY119" s="38"/>
      <c r="DRE119" s="36"/>
      <c r="DRF119" s="38"/>
      <c r="DRG119" s="38"/>
      <c r="DRM119" s="36"/>
      <c r="DRN119" s="38"/>
      <c r="DRO119" s="38"/>
      <c r="DRU119" s="36"/>
      <c r="DRV119" s="38"/>
      <c r="DRW119" s="38"/>
      <c r="DSC119" s="36"/>
      <c r="DSD119" s="38"/>
      <c r="DSE119" s="38"/>
      <c r="DSK119" s="36"/>
      <c r="DSL119" s="38"/>
      <c r="DSM119" s="38"/>
      <c r="DSS119" s="36"/>
      <c r="DST119" s="38"/>
      <c r="DSU119" s="38"/>
      <c r="DTA119" s="36"/>
      <c r="DTB119" s="38"/>
      <c r="DTC119" s="38"/>
      <c r="DTI119" s="36"/>
      <c r="DTJ119" s="38"/>
      <c r="DTK119" s="38"/>
      <c r="DTQ119" s="36"/>
      <c r="DTR119" s="38"/>
      <c r="DTS119" s="38"/>
      <c r="DTY119" s="36"/>
      <c r="DTZ119" s="38"/>
      <c r="DUA119" s="38"/>
      <c r="DUG119" s="36"/>
      <c r="DUH119" s="38"/>
      <c r="DUI119" s="38"/>
      <c r="DUO119" s="36"/>
      <c r="DUP119" s="38"/>
      <c r="DUQ119" s="38"/>
      <c r="DUW119" s="36"/>
      <c r="DUX119" s="38"/>
      <c r="DUY119" s="38"/>
      <c r="DVE119" s="36"/>
      <c r="DVF119" s="38"/>
      <c r="DVG119" s="38"/>
      <c r="DVM119" s="36"/>
      <c r="DVN119" s="38"/>
      <c r="DVO119" s="38"/>
      <c r="DVU119" s="36"/>
      <c r="DVV119" s="38"/>
      <c r="DVW119" s="38"/>
      <c r="DWC119" s="36"/>
      <c r="DWD119" s="38"/>
      <c r="DWE119" s="38"/>
      <c r="DWK119" s="36"/>
      <c r="DWL119" s="38"/>
      <c r="DWM119" s="38"/>
      <c r="DWS119" s="36"/>
      <c r="DWT119" s="38"/>
      <c r="DWU119" s="38"/>
      <c r="DXA119" s="36"/>
      <c r="DXB119" s="38"/>
      <c r="DXC119" s="38"/>
      <c r="DXI119" s="36"/>
      <c r="DXJ119" s="38"/>
      <c r="DXK119" s="38"/>
      <c r="DXQ119" s="36"/>
      <c r="DXR119" s="38"/>
      <c r="DXS119" s="38"/>
      <c r="DXY119" s="36"/>
      <c r="DXZ119" s="38"/>
      <c r="DYA119" s="38"/>
      <c r="DYG119" s="36"/>
      <c r="DYH119" s="38"/>
      <c r="DYI119" s="38"/>
      <c r="DYO119" s="36"/>
      <c r="DYP119" s="38"/>
      <c r="DYQ119" s="38"/>
      <c r="DYW119" s="36"/>
      <c r="DYX119" s="38"/>
      <c r="DYY119" s="38"/>
      <c r="DZE119" s="36"/>
      <c r="DZF119" s="38"/>
      <c r="DZG119" s="38"/>
      <c r="DZM119" s="36"/>
      <c r="DZN119" s="38"/>
      <c r="DZO119" s="38"/>
      <c r="DZU119" s="36"/>
      <c r="DZV119" s="38"/>
      <c r="DZW119" s="38"/>
      <c r="EAC119" s="36"/>
      <c r="EAD119" s="38"/>
      <c r="EAE119" s="38"/>
      <c r="EAK119" s="36"/>
      <c r="EAL119" s="38"/>
      <c r="EAM119" s="38"/>
      <c r="EAS119" s="36"/>
      <c r="EAT119" s="38"/>
      <c r="EAU119" s="38"/>
      <c r="EBA119" s="36"/>
      <c r="EBB119" s="38"/>
      <c r="EBC119" s="38"/>
      <c r="EBI119" s="36"/>
      <c r="EBJ119" s="38"/>
      <c r="EBK119" s="38"/>
      <c r="EBQ119" s="36"/>
      <c r="EBR119" s="38"/>
      <c r="EBS119" s="38"/>
      <c r="EBY119" s="36"/>
      <c r="EBZ119" s="38"/>
      <c r="ECA119" s="38"/>
      <c r="ECG119" s="36"/>
      <c r="ECH119" s="38"/>
      <c r="ECI119" s="38"/>
      <c r="ECO119" s="36"/>
      <c r="ECP119" s="38"/>
      <c r="ECQ119" s="38"/>
      <c r="ECW119" s="36"/>
      <c r="ECX119" s="38"/>
      <c r="ECY119" s="38"/>
      <c r="EDE119" s="36"/>
      <c r="EDF119" s="38"/>
      <c r="EDG119" s="38"/>
      <c r="EDM119" s="36"/>
      <c r="EDN119" s="38"/>
      <c r="EDO119" s="38"/>
      <c r="EDU119" s="36"/>
      <c r="EDV119" s="38"/>
      <c r="EDW119" s="38"/>
      <c r="EEC119" s="36"/>
      <c r="EED119" s="38"/>
      <c r="EEE119" s="38"/>
      <c r="EEK119" s="36"/>
      <c r="EEL119" s="38"/>
      <c r="EEM119" s="38"/>
      <c r="EES119" s="36"/>
      <c r="EET119" s="38"/>
      <c r="EEU119" s="38"/>
      <c r="EFA119" s="36"/>
      <c r="EFB119" s="38"/>
      <c r="EFC119" s="38"/>
      <c r="EFI119" s="36"/>
      <c r="EFJ119" s="38"/>
      <c r="EFK119" s="38"/>
      <c r="EFQ119" s="36"/>
      <c r="EFR119" s="38"/>
      <c r="EFS119" s="38"/>
      <c r="EFY119" s="36"/>
      <c r="EFZ119" s="38"/>
      <c r="EGA119" s="38"/>
      <c r="EGG119" s="36"/>
      <c r="EGH119" s="38"/>
      <c r="EGI119" s="38"/>
      <c r="EGO119" s="36"/>
      <c r="EGP119" s="38"/>
      <c r="EGQ119" s="38"/>
      <c r="EGW119" s="36"/>
      <c r="EGX119" s="38"/>
      <c r="EGY119" s="38"/>
      <c r="EHE119" s="36"/>
      <c r="EHF119" s="38"/>
      <c r="EHG119" s="38"/>
      <c r="EHM119" s="36"/>
      <c r="EHN119" s="38"/>
      <c r="EHO119" s="38"/>
      <c r="EHU119" s="36"/>
      <c r="EHV119" s="38"/>
      <c r="EHW119" s="38"/>
      <c r="EIC119" s="36"/>
      <c r="EID119" s="38"/>
      <c r="EIE119" s="38"/>
      <c r="EIK119" s="36"/>
      <c r="EIL119" s="38"/>
      <c r="EIM119" s="38"/>
      <c r="EIS119" s="36"/>
      <c r="EIT119" s="38"/>
      <c r="EIU119" s="38"/>
      <c r="EJA119" s="36"/>
      <c r="EJB119" s="38"/>
      <c r="EJC119" s="38"/>
      <c r="EJI119" s="36"/>
      <c r="EJJ119" s="38"/>
      <c r="EJK119" s="38"/>
      <c r="EJQ119" s="36"/>
      <c r="EJR119" s="38"/>
      <c r="EJS119" s="38"/>
      <c r="EJY119" s="36"/>
      <c r="EJZ119" s="38"/>
      <c r="EKA119" s="38"/>
      <c r="EKG119" s="36"/>
      <c r="EKH119" s="38"/>
      <c r="EKI119" s="38"/>
      <c r="EKO119" s="36"/>
      <c r="EKP119" s="38"/>
      <c r="EKQ119" s="38"/>
      <c r="EKW119" s="36"/>
      <c r="EKX119" s="38"/>
      <c r="EKY119" s="38"/>
      <c r="ELE119" s="36"/>
      <c r="ELF119" s="38"/>
      <c r="ELG119" s="38"/>
      <c r="ELM119" s="36"/>
      <c r="ELN119" s="38"/>
      <c r="ELO119" s="38"/>
      <c r="ELU119" s="36"/>
      <c r="ELV119" s="38"/>
      <c r="ELW119" s="38"/>
      <c r="EMC119" s="36"/>
      <c r="EMD119" s="38"/>
      <c r="EME119" s="38"/>
      <c r="EMK119" s="36"/>
      <c r="EML119" s="38"/>
      <c r="EMM119" s="38"/>
      <c r="EMS119" s="36"/>
      <c r="EMT119" s="38"/>
      <c r="EMU119" s="38"/>
      <c r="ENA119" s="36"/>
      <c r="ENB119" s="38"/>
      <c r="ENC119" s="38"/>
      <c r="ENI119" s="36"/>
      <c r="ENJ119" s="38"/>
      <c r="ENK119" s="38"/>
      <c r="ENQ119" s="36"/>
      <c r="ENR119" s="38"/>
      <c r="ENS119" s="38"/>
      <c r="ENY119" s="36"/>
      <c r="ENZ119" s="38"/>
      <c r="EOA119" s="38"/>
      <c r="EOG119" s="36"/>
      <c r="EOH119" s="38"/>
      <c r="EOI119" s="38"/>
      <c r="EOO119" s="36"/>
      <c r="EOP119" s="38"/>
      <c r="EOQ119" s="38"/>
      <c r="EOW119" s="36"/>
      <c r="EOX119" s="38"/>
      <c r="EOY119" s="38"/>
      <c r="EPE119" s="36"/>
      <c r="EPF119" s="38"/>
      <c r="EPG119" s="38"/>
      <c r="EPM119" s="36"/>
      <c r="EPN119" s="38"/>
      <c r="EPO119" s="38"/>
      <c r="EPU119" s="36"/>
      <c r="EPV119" s="38"/>
      <c r="EPW119" s="38"/>
      <c r="EQC119" s="36"/>
      <c r="EQD119" s="38"/>
      <c r="EQE119" s="38"/>
      <c r="EQK119" s="36"/>
      <c r="EQL119" s="38"/>
      <c r="EQM119" s="38"/>
      <c r="EQS119" s="36"/>
      <c r="EQT119" s="38"/>
      <c r="EQU119" s="38"/>
      <c r="ERA119" s="36"/>
      <c r="ERB119" s="38"/>
      <c r="ERC119" s="38"/>
      <c r="ERI119" s="36"/>
      <c r="ERJ119" s="38"/>
      <c r="ERK119" s="38"/>
      <c r="ERQ119" s="36"/>
      <c r="ERR119" s="38"/>
      <c r="ERS119" s="38"/>
      <c r="ERY119" s="36"/>
      <c r="ERZ119" s="38"/>
      <c r="ESA119" s="38"/>
      <c r="ESG119" s="36"/>
      <c r="ESH119" s="38"/>
      <c r="ESI119" s="38"/>
      <c r="ESO119" s="36"/>
      <c r="ESP119" s="38"/>
      <c r="ESQ119" s="38"/>
      <c r="ESW119" s="36"/>
      <c r="ESX119" s="38"/>
      <c r="ESY119" s="38"/>
      <c r="ETE119" s="36"/>
      <c r="ETF119" s="38"/>
      <c r="ETG119" s="38"/>
      <c r="ETM119" s="36"/>
      <c r="ETN119" s="38"/>
      <c r="ETO119" s="38"/>
      <c r="ETU119" s="36"/>
      <c r="ETV119" s="38"/>
      <c r="ETW119" s="38"/>
      <c r="EUC119" s="36"/>
      <c r="EUD119" s="38"/>
      <c r="EUE119" s="38"/>
      <c r="EUK119" s="36"/>
      <c r="EUL119" s="38"/>
      <c r="EUM119" s="38"/>
      <c r="EUS119" s="36"/>
      <c r="EUT119" s="38"/>
      <c r="EUU119" s="38"/>
      <c r="EVA119" s="36"/>
      <c r="EVB119" s="38"/>
      <c r="EVC119" s="38"/>
      <c r="EVI119" s="36"/>
      <c r="EVJ119" s="38"/>
      <c r="EVK119" s="38"/>
      <c r="EVQ119" s="36"/>
      <c r="EVR119" s="38"/>
      <c r="EVS119" s="38"/>
      <c r="EVY119" s="36"/>
      <c r="EVZ119" s="38"/>
      <c r="EWA119" s="38"/>
      <c r="EWG119" s="36"/>
      <c r="EWH119" s="38"/>
      <c r="EWI119" s="38"/>
      <c r="EWO119" s="36"/>
      <c r="EWP119" s="38"/>
      <c r="EWQ119" s="38"/>
      <c r="EWW119" s="36"/>
      <c r="EWX119" s="38"/>
      <c r="EWY119" s="38"/>
      <c r="EXE119" s="36"/>
      <c r="EXF119" s="38"/>
      <c r="EXG119" s="38"/>
      <c r="EXM119" s="36"/>
      <c r="EXN119" s="38"/>
      <c r="EXO119" s="38"/>
      <c r="EXU119" s="36"/>
      <c r="EXV119" s="38"/>
      <c r="EXW119" s="38"/>
      <c r="EYC119" s="36"/>
      <c r="EYD119" s="38"/>
      <c r="EYE119" s="38"/>
      <c r="EYK119" s="36"/>
      <c r="EYL119" s="38"/>
      <c r="EYM119" s="38"/>
      <c r="EYS119" s="36"/>
      <c r="EYT119" s="38"/>
      <c r="EYU119" s="38"/>
      <c r="EZA119" s="36"/>
      <c r="EZB119" s="38"/>
      <c r="EZC119" s="38"/>
      <c r="EZI119" s="36"/>
      <c r="EZJ119" s="38"/>
      <c r="EZK119" s="38"/>
      <c r="EZQ119" s="36"/>
      <c r="EZR119" s="38"/>
      <c r="EZS119" s="38"/>
      <c r="EZY119" s="36"/>
      <c r="EZZ119" s="38"/>
      <c r="FAA119" s="38"/>
      <c r="FAG119" s="36"/>
      <c r="FAH119" s="38"/>
      <c r="FAI119" s="38"/>
      <c r="FAO119" s="36"/>
      <c r="FAP119" s="38"/>
      <c r="FAQ119" s="38"/>
      <c r="FAW119" s="36"/>
      <c r="FAX119" s="38"/>
      <c r="FAY119" s="38"/>
      <c r="FBE119" s="36"/>
      <c r="FBF119" s="38"/>
      <c r="FBG119" s="38"/>
      <c r="FBM119" s="36"/>
      <c r="FBN119" s="38"/>
      <c r="FBO119" s="38"/>
      <c r="FBU119" s="36"/>
      <c r="FBV119" s="38"/>
      <c r="FBW119" s="38"/>
      <c r="FCC119" s="36"/>
      <c r="FCD119" s="38"/>
      <c r="FCE119" s="38"/>
      <c r="FCK119" s="36"/>
      <c r="FCL119" s="38"/>
      <c r="FCM119" s="38"/>
      <c r="FCS119" s="36"/>
      <c r="FCT119" s="38"/>
      <c r="FCU119" s="38"/>
      <c r="FDA119" s="36"/>
      <c r="FDB119" s="38"/>
      <c r="FDC119" s="38"/>
      <c r="FDI119" s="36"/>
      <c r="FDJ119" s="38"/>
      <c r="FDK119" s="38"/>
      <c r="FDQ119" s="36"/>
      <c r="FDR119" s="38"/>
      <c r="FDS119" s="38"/>
      <c r="FDY119" s="36"/>
      <c r="FDZ119" s="38"/>
      <c r="FEA119" s="38"/>
      <c r="FEG119" s="36"/>
      <c r="FEH119" s="38"/>
      <c r="FEI119" s="38"/>
      <c r="FEO119" s="36"/>
      <c r="FEP119" s="38"/>
      <c r="FEQ119" s="38"/>
      <c r="FEW119" s="36"/>
      <c r="FEX119" s="38"/>
      <c r="FEY119" s="38"/>
      <c r="FFE119" s="36"/>
      <c r="FFF119" s="38"/>
      <c r="FFG119" s="38"/>
      <c r="FFM119" s="36"/>
      <c r="FFN119" s="38"/>
      <c r="FFO119" s="38"/>
      <c r="FFU119" s="36"/>
      <c r="FFV119" s="38"/>
      <c r="FFW119" s="38"/>
      <c r="FGC119" s="36"/>
      <c r="FGD119" s="38"/>
      <c r="FGE119" s="38"/>
      <c r="FGK119" s="36"/>
      <c r="FGL119" s="38"/>
      <c r="FGM119" s="38"/>
      <c r="FGS119" s="36"/>
      <c r="FGT119" s="38"/>
      <c r="FGU119" s="38"/>
      <c r="FHA119" s="36"/>
      <c r="FHB119" s="38"/>
      <c r="FHC119" s="38"/>
      <c r="FHI119" s="36"/>
      <c r="FHJ119" s="38"/>
      <c r="FHK119" s="38"/>
      <c r="FHQ119" s="36"/>
      <c r="FHR119" s="38"/>
      <c r="FHS119" s="38"/>
      <c r="FHY119" s="36"/>
      <c r="FHZ119" s="38"/>
      <c r="FIA119" s="38"/>
      <c r="FIG119" s="36"/>
      <c r="FIH119" s="38"/>
      <c r="FII119" s="38"/>
      <c r="FIO119" s="36"/>
      <c r="FIP119" s="38"/>
      <c r="FIQ119" s="38"/>
      <c r="FIW119" s="36"/>
      <c r="FIX119" s="38"/>
      <c r="FIY119" s="38"/>
      <c r="FJE119" s="36"/>
      <c r="FJF119" s="38"/>
      <c r="FJG119" s="38"/>
      <c r="FJM119" s="36"/>
      <c r="FJN119" s="38"/>
      <c r="FJO119" s="38"/>
      <c r="FJU119" s="36"/>
      <c r="FJV119" s="38"/>
      <c r="FJW119" s="38"/>
      <c r="FKC119" s="36"/>
      <c r="FKD119" s="38"/>
      <c r="FKE119" s="38"/>
      <c r="FKK119" s="36"/>
      <c r="FKL119" s="38"/>
      <c r="FKM119" s="38"/>
      <c r="FKS119" s="36"/>
      <c r="FKT119" s="38"/>
      <c r="FKU119" s="38"/>
      <c r="FLA119" s="36"/>
      <c r="FLB119" s="38"/>
      <c r="FLC119" s="38"/>
      <c r="FLI119" s="36"/>
      <c r="FLJ119" s="38"/>
      <c r="FLK119" s="38"/>
      <c r="FLQ119" s="36"/>
      <c r="FLR119" s="38"/>
      <c r="FLS119" s="38"/>
      <c r="FLY119" s="36"/>
      <c r="FLZ119" s="38"/>
      <c r="FMA119" s="38"/>
      <c r="FMG119" s="36"/>
      <c r="FMH119" s="38"/>
      <c r="FMI119" s="38"/>
      <c r="FMO119" s="36"/>
      <c r="FMP119" s="38"/>
      <c r="FMQ119" s="38"/>
      <c r="FMW119" s="36"/>
      <c r="FMX119" s="38"/>
      <c r="FMY119" s="38"/>
      <c r="FNE119" s="36"/>
      <c r="FNF119" s="38"/>
      <c r="FNG119" s="38"/>
      <c r="FNM119" s="36"/>
      <c r="FNN119" s="38"/>
      <c r="FNO119" s="38"/>
      <c r="FNU119" s="36"/>
      <c r="FNV119" s="38"/>
      <c r="FNW119" s="38"/>
      <c r="FOC119" s="36"/>
      <c r="FOD119" s="38"/>
      <c r="FOE119" s="38"/>
      <c r="FOK119" s="36"/>
      <c r="FOL119" s="38"/>
      <c r="FOM119" s="38"/>
      <c r="FOS119" s="36"/>
      <c r="FOT119" s="38"/>
      <c r="FOU119" s="38"/>
      <c r="FPA119" s="36"/>
      <c r="FPB119" s="38"/>
      <c r="FPC119" s="38"/>
      <c r="FPI119" s="36"/>
      <c r="FPJ119" s="38"/>
      <c r="FPK119" s="38"/>
      <c r="FPQ119" s="36"/>
      <c r="FPR119" s="38"/>
      <c r="FPS119" s="38"/>
      <c r="FPY119" s="36"/>
      <c r="FPZ119" s="38"/>
      <c r="FQA119" s="38"/>
      <c r="FQG119" s="36"/>
      <c r="FQH119" s="38"/>
      <c r="FQI119" s="38"/>
      <c r="FQO119" s="36"/>
      <c r="FQP119" s="38"/>
      <c r="FQQ119" s="38"/>
      <c r="FQW119" s="36"/>
      <c r="FQX119" s="38"/>
      <c r="FQY119" s="38"/>
      <c r="FRE119" s="36"/>
      <c r="FRF119" s="38"/>
      <c r="FRG119" s="38"/>
      <c r="FRM119" s="36"/>
      <c r="FRN119" s="38"/>
      <c r="FRO119" s="38"/>
      <c r="FRU119" s="36"/>
      <c r="FRV119" s="38"/>
      <c r="FRW119" s="38"/>
      <c r="FSC119" s="36"/>
      <c r="FSD119" s="38"/>
      <c r="FSE119" s="38"/>
      <c r="FSK119" s="36"/>
      <c r="FSL119" s="38"/>
      <c r="FSM119" s="38"/>
      <c r="FSS119" s="36"/>
      <c r="FST119" s="38"/>
      <c r="FSU119" s="38"/>
      <c r="FTA119" s="36"/>
      <c r="FTB119" s="38"/>
      <c r="FTC119" s="38"/>
      <c r="FTI119" s="36"/>
      <c r="FTJ119" s="38"/>
      <c r="FTK119" s="38"/>
      <c r="FTQ119" s="36"/>
      <c r="FTR119" s="38"/>
      <c r="FTS119" s="38"/>
      <c r="FTY119" s="36"/>
      <c r="FTZ119" s="38"/>
      <c r="FUA119" s="38"/>
      <c r="FUG119" s="36"/>
      <c r="FUH119" s="38"/>
      <c r="FUI119" s="38"/>
      <c r="FUO119" s="36"/>
      <c r="FUP119" s="38"/>
      <c r="FUQ119" s="38"/>
      <c r="FUW119" s="36"/>
      <c r="FUX119" s="38"/>
      <c r="FUY119" s="38"/>
      <c r="FVE119" s="36"/>
      <c r="FVF119" s="38"/>
      <c r="FVG119" s="38"/>
      <c r="FVM119" s="36"/>
      <c r="FVN119" s="38"/>
      <c r="FVO119" s="38"/>
      <c r="FVU119" s="36"/>
      <c r="FVV119" s="38"/>
      <c r="FVW119" s="38"/>
      <c r="FWC119" s="36"/>
      <c r="FWD119" s="38"/>
      <c r="FWE119" s="38"/>
      <c r="FWK119" s="36"/>
      <c r="FWL119" s="38"/>
      <c r="FWM119" s="38"/>
      <c r="FWS119" s="36"/>
      <c r="FWT119" s="38"/>
      <c r="FWU119" s="38"/>
      <c r="FXA119" s="36"/>
      <c r="FXB119" s="38"/>
      <c r="FXC119" s="38"/>
      <c r="FXI119" s="36"/>
      <c r="FXJ119" s="38"/>
      <c r="FXK119" s="38"/>
      <c r="FXQ119" s="36"/>
      <c r="FXR119" s="38"/>
      <c r="FXS119" s="38"/>
      <c r="FXY119" s="36"/>
      <c r="FXZ119" s="38"/>
      <c r="FYA119" s="38"/>
      <c r="FYG119" s="36"/>
      <c r="FYH119" s="38"/>
      <c r="FYI119" s="38"/>
      <c r="FYO119" s="36"/>
      <c r="FYP119" s="38"/>
      <c r="FYQ119" s="38"/>
      <c r="FYW119" s="36"/>
      <c r="FYX119" s="38"/>
      <c r="FYY119" s="38"/>
      <c r="FZE119" s="36"/>
      <c r="FZF119" s="38"/>
      <c r="FZG119" s="38"/>
      <c r="FZM119" s="36"/>
      <c r="FZN119" s="38"/>
      <c r="FZO119" s="38"/>
      <c r="FZU119" s="36"/>
      <c r="FZV119" s="38"/>
      <c r="FZW119" s="38"/>
      <c r="GAC119" s="36"/>
      <c r="GAD119" s="38"/>
      <c r="GAE119" s="38"/>
      <c r="GAK119" s="36"/>
      <c r="GAL119" s="38"/>
      <c r="GAM119" s="38"/>
      <c r="GAS119" s="36"/>
      <c r="GAT119" s="38"/>
      <c r="GAU119" s="38"/>
      <c r="GBA119" s="36"/>
      <c r="GBB119" s="38"/>
      <c r="GBC119" s="38"/>
      <c r="GBI119" s="36"/>
      <c r="GBJ119" s="38"/>
      <c r="GBK119" s="38"/>
      <c r="GBQ119" s="36"/>
      <c r="GBR119" s="38"/>
      <c r="GBS119" s="38"/>
      <c r="GBY119" s="36"/>
      <c r="GBZ119" s="38"/>
      <c r="GCA119" s="38"/>
      <c r="GCG119" s="36"/>
      <c r="GCH119" s="38"/>
      <c r="GCI119" s="38"/>
      <c r="GCO119" s="36"/>
      <c r="GCP119" s="38"/>
      <c r="GCQ119" s="38"/>
      <c r="GCW119" s="36"/>
      <c r="GCX119" s="38"/>
      <c r="GCY119" s="38"/>
      <c r="GDE119" s="36"/>
      <c r="GDF119" s="38"/>
      <c r="GDG119" s="38"/>
      <c r="GDM119" s="36"/>
      <c r="GDN119" s="38"/>
      <c r="GDO119" s="38"/>
      <c r="GDU119" s="36"/>
      <c r="GDV119" s="38"/>
      <c r="GDW119" s="38"/>
      <c r="GEC119" s="36"/>
      <c r="GED119" s="38"/>
      <c r="GEE119" s="38"/>
      <c r="GEK119" s="36"/>
      <c r="GEL119" s="38"/>
      <c r="GEM119" s="38"/>
      <c r="GES119" s="36"/>
      <c r="GET119" s="38"/>
      <c r="GEU119" s="38"/>
      <c r="GFA119" s="36"/>
      <c r="GFB119" s="38"/>
      <c r="GFC119" s="38"/>
      <c r="GFI119" s="36"/>
      <c r="GFJ119" s="38"/>
      <c r="GFK119" s="38"/>
      <c r="GFQ119" s="36"/>
      <c r="GFR119" s="38"/>
      <c r="GFS119" s="38"/>
      <c r="GFY119" s="36"/>
      <c r="GFZ119" s="38"/>
      <c r="GGA119" s="38"/>
      <c r="GGG119" s="36"/>
      <c r="GGH119" s="38"/>
      <c r="GGI119" s="38"/>
      <c r="GGO119" s="36"/>
      <c r="GGP119" s="38"/>
      <c r="GGQ119" s="38"/>
      <c r="GGW119" s="36"/>
      <c r="GGX119" s="38"/>
      <c r="GGY119" s="38"/>
      <c r="GHE119" s="36"/>
      <c r="GHF119" s="38"/>
      <c r="GHG119" s="38"/>
      <c r="GHM119" s="36"/>
      <c r="GHN119" s="38"/>
      <c r="GHO119" s="38"/>
      <c r="GHU119" s="36"/>
      <c r="GHV119" s="38"/>
      <c r="GHW119" s="38"/>
      <c r="GIC119" s="36"/>
      <c r="GID119" s="38"/>
      <c r="GIE119" s="38"/>
      <c r="GIK119" s="36"/>
      <c r="GIL119" s="38"/>
      <c r="GIM119" s="38"/>
      <c r="GIS119" s="36"/>
      <c r="GIT119" s="38"/>
      <c r="GIU119" s="38"/>
      <c r="GJA119" s="36"/>
      <c r="GJB119" s="38"/>
      <c r="GJC119" s="38"/>
      <c r="GJI119" s="36"/>
      <c r="GJJ119" s="38"/>
      <c r="GJK119" s="38"/>
      <c r="GJQ119" s="36"/>
      <c r="GJR119" s="38"/>
      <c r="GJS119" s="38"/>
      <c r="GJY119" s="36"/>
      <c r="GJZ119" s="38"/>
      <c r="GKA119" s="38"/>
      <c r="GKG119" s="36"/>
      <c r="GKH119" s="38"/>
      <c r="GKI119" s="38"/>
      <c r="GKO119" s="36"/>
      <c r="GKP119" s="38"/>
      <c r="GKQ119" s="38"/>
      <c r="GKW119" s="36"/>
      <c r="GKX119" s="38"/>
      <c r="GKY119" s="38"/>
      <c r="GLE119" s="36"/>
      <c r="GLF119" s="38"/>
      <c r="GLG119" s="38"/>
      <c r="GLM119" s="36"/>
      <c r="GLN119" s="38"/>
      <c r="GLO119" s="38"/>
      <c r="GLU119" s="36"/>
      <c r="GLV119" s="38"/>
      <c r="GLW119" s="38"/>
      <c r="GMC119" s="36"/>
      <c r="GMD119" s="38"/>
      <c r="GME119" s="38"/>
      <c r="GMK119" s="36"/>
      <c r="GML119" s="38"/>
      <c r="GMM119" s="38"/>
      <c r="GMS119" s="36"/>
      <c r="GMT119" s="38"/>
      <c r="GMU119" s="38"/>
      <c r="GNA119" s="36"/>
      <c r="GNB119" s="38"/>
      <c r="GNC119" s="38"/>
      <c r="GNI119" s="36"/>
      <c r="GNJ119" s="38"/>
      <c r="GNK119" s="38"/>
      <c r="GNQ119" s="36"/>
      <c r="GNR119" s="38"/>
      <c r="GNS119" s="38"/>
      <c r="GNY119" s="36"/>
      <c r="GNZ119" s="38"/>
      <c r="GOA119" s="38"/>
      <c r="GOG119" s="36"/>
      <c r="GOH119" s="38"/>
      <c r="GOI119" s="38"/>
      <c r="GOO119" s="36"/>
      <c r="GOP119" s="38"/>
      <c r="GOQ119" s="38"/>
      <c r="GOW119" s="36"/>
      <c r="GOX119" s="38"/>
      <c r="GOY119" s="38"/>
      <c r="GPE119" s="36"/>
      <c r="GPF119" s="38"/>
      <c r="GPG119" s="38"/>
      <c r="GPM119" s="36"/>
      <c r="GPN119" s="38"/>
      <c r="GPO119" s="38"/>
      <c r="GPU119" s="36"/>
      <c r="GPV119" s="38"/>
      <c r="GPW119" s="38"/>
      <c r="GQC119" s="36"/>
      <c r="GQD119" s="38"/>
      <c r="GQE119" s="38"/>
      <c r="GQK119" s="36"/>
      <c r="GQL119" s="38"/>
      <c r="GQM119" s="38"/>
      <c r="GQS119" s="36"/>
      <c r="GQT119" s="38"/>
      <c r="GQU119" s="38"/>
      <c r="GRA119" s="36"/>
      <c r="GRB119" s="38"/>
      <c r="GRC119" s="38"/>
      <c r="GRI119" s="36"/>
      <c r="GRJ119" s="38"/>
      <c r="GRK119" s="38"/>
      <c r="GRQ119" s="36"/>
      <c r="GRR119" s="38"/>
      <c r="GRS119" s="38"/>
      <c r="GRY119" s="36"/>
      <c r="GRZ119" s="38"/>
      <c r="GSA119" s="38"/>
      <c r="GSG119" s="36"/>
      <c r="GSH119" s="38"/>
      <c r="GSI119" s="38"/>
      <c r="GSO119" s="36"/>
      <c r="GSP119" s="38"/>
      <c r="GSQ119" s="38"/>
      <c r="GSW119" s="36"/>
      <c r="GSX119" s="38"/>
      <c r="GSY119" s="38"/>
      <c r="GTE119" s="36"/>
      <c r="GTF119" s="38"/>
      <c r="GTG119" s="38"/>
      <c r="GTM119" s="36"/>
      <c r="GTN119" s="38"/>
      <c r="GTO119" s="38"/>
      <c r="GTU119" s="36"/>
      <c r="GTV119" s="38"/>
      <c r="GTW119" s="38"/>
      <c r="GUC119" s="36"/>
      <c r="GUD119" s="38"/>
      <c r="GUE119" s="38"/>
      <c r="GUK119" s="36"/>
      <c r="GUL119" s="38"/>
      <c r="GUM119" s="38"/>
      <c r="GUS119" s="36"/>
      <c r="GUT119" s="38"/>
      <c r="GUU119" s="38"/>
      <c r="GVA119" s="36"/>
      <c r="GVB119" s="38"/>
      <c r="GVC119" s="38"/>
      <c r="GVI119" s="36"/>
      <c r="GVJ119" s="38"/>
      <c r="GVK119" s="38"/>
      <c r="GVQ119" s="36"/>
      <c r="GVR119" s="38"/>
      <c r="GVS119" s="38"/>
      <c r="GVY119" s="36"/>
      <c r="GVZ119" s="38"/>
      <c r="GWA119" s="38"/>
      <c r="GWG119" s="36"/>
      <c r="GWH119" s="38"/>
      <c r="GWI119" s="38"/>
      <c r="GWO119" s="36"/>
      <c r="GWP119" s="38"/>
      <c r="GWQ119" s="38"/>
      <c r="GWW119" s="36"/>
      <c r="GWX119" s="38"/>
      <c r="GWY119" s="38"/>
      <c r="GXE119" s="36"/>
      <c r="GXF119" s="38"/>
      <c r="GXG119" s="38"/>
      <c r="GXM119" s="36"/>
      <c r="GXN119" s="38"/>
      <c r="GXO119" s="38"/>
      <c r="GXU119" s="36"/>
      <c r="GXV119" s="38"/>
      <c r="GXW119" s="38"/>
      <c r="GYC119" s="36"/>
      <c r="GYD119" s="38"/>
      <c r="GYE119" s="38"/>
      <c r="GYK119" s="36"/>
      <c r="GYL119" s="38"/>
      <c r="GYM119" s="38"/>
      <c r="GYS119" s="36"/>
      <c r="GYT119" s="38"/>
      <c r="GYU119" s="38"/>
      <c r="GZA119" s="36"/>
      <c r="GZB119" s="38"/>
      <c r="GZC119" s="38"/>
      <c r="GZI119" s="36"/>
      <c r="GZJ119" s="38"/>
      <c r="GZK119" s="38"/>
      <c r="GZQ119" s="36"/>
      <c r="GZR119" s="38"/>
      <c r="GZS119" s="38"/>
      <c r="GZY119" s="36"/>
      <c r="GZZ119" s="38"/>
      <c r="HAA119" s="38"/>
      <c r="HAG119" s="36"/>
      <c r="HAH119" s="38"/>
      <c r="HAI119" s="38"/>
      <c r="HAO119" s="36"/>
      <c r="HAP119" s="38"/>
      <c r="HAQ119" s="38"/>
      <c r="HAW119" s="36"/>
      <c r="HAX119" s="38"/>
      <c r="HAY119" s="38"/>
      <c r="HBE119" s="36"/>
      <c r="HBF119" s="38"/>
      <c r="HBG119" s="38"/>
      <c r="HBM119" s="36"/>
      <c r="HBN119" s="38"/>
      <c r="HBO119" s="38"/>
      <c r="HBU119" s="36"/>
      <c r="HBV119" s="38"/>
      <c r="HBW119" s="38"/>
      <c r="HCC119" s="36"/>
      <c r="HCD119" s="38"/>
      <c r="HCE119" s="38"/>
      <c r="HCK119" s="36"/>
      <c r="HCL119" s="38"/>
      <c r="HCM119" s="38"/>
      <c r="HCS119" s="36"/>
      <c r="HCT119" s="38"/>
      <c r="HCU119" s="38"/>
      <c r="HDA119" s="36"/>
      <c r="HDB119" s="38"/>
      <c r="HDC119" s="38"/>
      <c r="HDI119" s="36"/>
      <c r="HDJ119" s="38"/>
      <c r="HDK119" s="38"/>
      <c r="HDQ119" s="36"/>
      <c r="HDR119" s="38"/>
      <c r="HDS119" s="38"/>
      <c r="HDY119" s="36"/>
      <c r="HDZ119" s="38"/>
      <c r="HEA119" s="38"/>
      <c r="HEG119" s="36"/>
      <c r="HEH119" s="38"/>
      <c r="HEI119" s="38"/>
      <c r="HEO119" s="36"/>
      <c r="HEP119" s="38"/>
      <c r="HEQ119" s="38"/>
      <c r="HEW119" s="36"/>
      <c r="HEX119" s="38"/>
      <c r="HEY119" s="38"/>
      <c r="HFE119" s="36"/>
      <c r="HFF119" s="38"/>
      <c r="HFG119" s="38"/>
      <c r="HFM119" s="36"/>
      <c r="HFN119" s="38"/>
      <c r="HFO119" s="38"/>
      <c r="HFU119" s="36"/>
      <c r="HFV119" s="38"/>
      <c r="HFW119" s="38"/>
      <c r="HGC119" s="36"/>
      <c r="HGD119" s="38"/>
      <c r="HGE119" s="38"/>
      <c r="HGK119" s="36"/>
      <c r="HGL119" s="38"/>
      <c r="HGM119" s="38"/>
      <c r="HGS119" s="36"/>
      <c r="HGT119" s="38"/>
      <c r="HGU119" s="38"/>
      <c r="HHA119" s="36"/>
      <c r="HHB119" s="38"/>
      <c r="HHC119" s="38"/>
      <c r="HHI119" s="36"/>
      <c r="HHJ119" s="38"/>
      <c r="HHK119" s="38"/>
      <c r="HHQ119" s="36"/>
      <c r="HHR119" s="38"/>
      <c r="HHS119" s="38"/>
      <c r="HHY119" s="36"/>
      <c r="HHZ119" s="38"/>
      <c r="HIA119" s="38"/>
      <c r="HIG119" s="36"/>
      <c r="HIH119" s="38"/>
      <c r="HII119" s="38"/>
      <c r="HIO119" s="36"/>
      <c r="HIP119" s="38"/>
      <c r="HIQ119" s="38"/>
      <c r="HIW119" s="36"/>
      <c r="HIX119" s="38"/>
      <c r="HIY119" s="38"/>
      <c r="HJE119" s="36"/>
      <c r="HJF119" s="38"/>
      <c r="HJG119" s="38"/>
      <c r="HJM119" s="36"/>
      <c r="HJN119" s="38"/>
      <c r="HJO119" s="38"/>
      <c r="HJU119" s="36"/>
      <c r="HJV119" s="38"/>
      <c r="HJW119" s="38"/>
      <c r="HKC119" s="36"/>
      <c r="HKD119" s="38"/>
      <c r="HKE119" s="38"/>
      <c r="HKK119" s="36"/>
      <c r="HKL119" s="38"/>
      <c r="HKM119" s="38"/>
      <c r="HKS119" s="36"/>
      <c r="HKT119" s="38"/>
      <c r="HKU119" s="38"/>
      <c r="HLA119" s="36"/>
      <c r="HLB119" s="38"/>
      <c r="HLC119" s="38"/>
      <c r="HLI119" s="36"/>
      <c r="HLJ119" s="38"/>
      <c r="HLK119" s="38"/>
      <c r="HLQ119" s="36"/>
      <c r="HLR119" s="38"/>
      <c r="HLS119" s="38"/>
      <c r="HLY119" s="36"/>
      <c r="HLZ119" s="38"/>
      <c r="HMA119" s="38"/>
      <c r="HMG119" s="36"/>
      <c r="HMH119" s="38"/>
      <c r="HMI119" s="38"/>
      <c r="HMO119" s="36"/>
      <c r="HMP119" s="38"/>
      <c r="HMQ119" s="38"/>
      <c r="HMW119" s="36"/>
      <c r="HMX119" s="38"/>
      <c r="HMY119" s="38"/>
      <c r="HNE119" s="36"/>
      <c r="HNF119" s="38"/>
      <c r="HNG119" s="38"/>
      <c r="HNM119" s="36"/>
      <c r="HNN119" s="38"/>
      <c r="HNO119" s="38"/>
      <c r="HNU119" s="36"/>
      <c r="HNV119" s="38"/>
      <c r="HNW119" s="38"/>
      <c r="HOC119" s="36"/>
      <c r="HOD119" s="38"/>
      <c r="HOE119" s="38"/>
      <c r="HOK119" s="36"/>
      <c r="HOL119" s="38"/>
      <c r="HOM119" s="38"/>
      <c r="HOS119" s="36"/>
      <c r="HOT119" s="38"/>
      <c r="HOU119" s="38"/>
      <c r="HPA119" s="36"/>
      <c r="HPB119" s="38"/>
      <c r="HPC119" s="38"/>
      <c r="HPI119" s="36"/>
      <c r="HPJ119" s="38"/>
      <c r="HPK119" s="38"/>
      <c r="HPQ119" s="36"/>
      <c r="HPR119" s="38"/>
      <c r="HPS119" s="38"/>
      <c r="HPY119" s="36"/>
      <c r="HPZ119" s="38"/>
      <c r="HQA119" s="38"/>
      <c r="HQG119" s="36"/>
      <c r="HQH119" s="38"/>
      <c r="HQI119" s="38"/>
      <c r="HQO119" s="36"/>
      <c r="HQP119" s="38"/>
      <c r="HQQ119" s="38"/>
      <c r="HQW119" s="36"/>
      <c r="HQX119" s="38"/>
      <c r="HQY119" s="38"/>
      <c r="HRE119" s="36"/>
      <c r="HRF119" s="38"/>
      <c r="HRG119" s="38"/>
      <c r="HRM119" s="36"/>
      <c r="HRN119" s="38"/>
      <c r="HRO119" s="38"/>
      <c r="HRU119" s="36"/>
      <c r="HRV119" s="38"/>
      <c r="HRW119" s="38"/>
      <c r="HSC119" s="36"/>
      <c r="HSD119" s="38"/>
      <c r="HSE119" s="38"/>
      <c r="HSK119" s="36"/>
      <c r="HSL119" s="38"/>
      <c r="HSM119" s="38"/>
      <c r="HSS119" s="36"/>
      <c r="HST119" s="38"/>
      <c r="HSU119" s="38"/>
      <c r="HTA119" s="36"/>
      <c r="HTB119" s="38"/>
      <c r="HTC119" s="38"/>
      <c r="HTI119" s="36"/>
      <c r="HTJ119" s="38"/>
      <c r="HTK119" s="38"/>
      <c r="HTQ119" s="36"/>
      <c r="HTR119" s="38"/>
      <c r="HTS119" s="38"/>
      <c r="HTY119" s="36"/>
      <c r="HTZ119" s="38"/>
      <c r="HUA119" s="38"/>
      <c r="HUG119" s="36"/>
      <c r="HUH119" s="38"/>
      <c r="HUI119" s="38"/>
      <c r="HUO119" s="36"/>
      <c r="HUP119" s="38"/>
      <c r="HUQ119" s="38"/>
      <c r="HUW119" s="36"/>
      <c r="HUX119" s="38"/>
      <c r="HUY119" s="38"/>
      <c r="HVE119" s="36"/>
      <c r="HVF119" s="38"/>
      <c r="HVG119" s="38"/>
      <c r="HVM119" s="36"/>
      <c r="HVN119" s="38"/>
      <c r="HVO119" s="38"/>
      <c r="HVU119" s="36"/>
      <c r="HVV119" s="38"/>
      <c r="HVW119" s="38"/>
      <c r="HWC119" s="36"/>
      <c r="HWD119" s="38"/>
      <c r="HWE119" s="38"/>
      <c r="HWK119" s="36"/>
      <c r="HWL119" s="38"/>
      <c r="HWM119" s="38"/>
      <c r="HWS119" s="36"/>
      <c r="HWT119" s="38"/>
      <c r="HWU119" s="38"/>
      <c r="HXA119" s="36"/>
      <c r="HXB119" s="38"/>
      <c r="HXC119" s="38"/>
      <c r="HXI119" s="36"/>
      <c r="HXJ119" s="38"/>
      <c r="HXK119" s="38"/>
      <c r="HXQ119" s="36"/>
      <c r="HXR119" s="38"/>
      <c r="HXS119" s="38"/>
      <c r="HXY119" s="36"/>
      <c r="HXZ119" s="38"/>
      <c r="HYA119" s="38"/>
      <c r="HYG119" s="36"/>
      <c r="HYH119" s="38"/>
      <c r="HYI119" s="38"/>
      <c r="HYO119" s="36"/>
      <c r="HYP119" s="38"/>
      <c r="HYQ119" s="38"/>
      <c r="HYW119" s="36"/>
      <c r="HYX119" s="38"/>
      <c r="HYY119" s="38"/>
      <c r="HZE119" s="36"/>
      <c r="HZF119" s="38"/>
      <c r="HZG119" s="38"/>
      <c r="HZM119" s="36"/>
      <c r="HZN119" s="38"/>
      <c r="HZO119" s="38"/>
      <c r="HZU119" s="36"/>
      <c r="HZV119" s="38"/>
      <c r="HZW119" s="38"/>
      <c r="IAC119" s="36"/>
      <c r="IAD119" s="38"/>
      <c r="IAE119" s="38"/>
      <c r="IAK119" s="36"/>
      <c r="IAL119" s="38"/>
      <c r="IAM119" s="38"/>
      <c r="IAS119" s="36"/>
      <c r="IAT119" s="38"/>
      <c r="IAU119" s="38"/>
      <c r="IBA119" s="36"/>
      <c r="IBB119" s="38"/>
      <c r="IBC119" s="38"/>
      <c r="IBI119" s="36"/>
      <c r="IBJ119" s="38"/>
      <c r="IBK119" s="38"/>
      <c r="IBQ119" s="36"/>
      <c r="IBR119" s="38"/>
      <c r="IBS119" s="38"/>
      <c r="IBY119" s="36"/>
      <c r="IBZ119" s="38"/>
      <c r="ICA119" s="38"/>
      <c r="ICG119" s="36"/>
      <c r="ICH119" s="38"/>
      <c r="ICI119" s="38"/>
      <c r="ICO119" s="36"/>
      <c r="ICP119" s="38"/>
      <c r="ICQ119" s="38"/>
      <c r="ICW119" s="36"/>
      <c r="ICX119" s="38"/>
      <c r="ICY119" s="38"/>
      <c r="IDE119" s="36"/>
      <c r="IDF119" s="38"/>
      <c r="IDG119" s="38"/>
      <c r="IDM119" s="36"/>
      <c r="IDN119" s="38"/>
      <c r="IDO119" s="38"/>
      <c r="IDU119" s="36"/>
      <c r="IDV119" s="38"/>
      <c r="IDW119" s="38"/>
      <c r="IEC119" s="36"/>
      <c r="IED119" s="38"/>
      <c r="IEE119" s="38"/>
      <c r="IEK119" s="36"/>
      <c r="IEL119" s="38"/>
      <c r="IEM119" s="38"/>
      <c r="IES119" s="36"/>
      <c r="IET119" s="38"/>
      <c r="IEU119" s="38"/>
      <c r="IFA119" s="36"/>
      <c r="IFB119" s="38"/>
      <c r="IFC119" s="38"/>
      <c r="IFI119" s="36"/>
      <c r="IFJ119" s="38"/>
      <c r="IFK119" s="38"/>
      <c r="IFQ119" s="36"/>
      <c r="IFR119" s="38"/>
      <c r="IFS119" s="38"/>
      <c r="IFY119" s="36"/>
      <c r="IFZ119" s="38"/>
      <c r="IGA119" s="38"/>
      <c r="IGG119" s="36"/>
      <c r="IGH119" s="38"/>
      <c r="IGI119" s="38"/>
      <c r="IGO119" s="36"/>
      <c r="IGP119" s="38"/>
      <c r="IGQ119" s="38"/>
      <c r="IGW119" s="36"/>
      <c r="IGX119" s="38"/>
      <c r="IGY119" s="38"/>
      <c r="IHE119" s="36"/>
      <c r="IHF119" s="38"/>
      <c r="IHG119" s="38"/>
      <c r="IHM119" s="36"/>
      <c r="IHN119" s="38"/>
      <c r="IHO119" s="38"/>
      <c r="IHU119" s="36"/>
      <c r="IHV119" s="38"/>
      <c r="IHW119" s="38"/>
      <c r="IIC119" s="36"/>
      <c r="IID119" s="38"/>
      <c r="IIE119" s="38"/>
      <c r="IIK119" s="36"/>
      <c r="IIL119" s="38"/>
      <c r="IIM119" s="38"/>
      <c r="IIS119" s="36"/>
      <c r="IIT119" s="38"/>
      <c r="IIU119" s="38"/>
      <c r="IJA119" s="36"/>
      <c r="IJB119" s="38"/>
      <c r="IJC119" s="38"/>
      <c r="IJI119" s="36"/>
      <c r="IJJ119" s="38"/>
      <c r="IJK119" s="38"/>
      <c r="IJQ119" s="36"/>
      <c r="IJR119" s="38"/>
      <c r="IJS119" s="38"/>
      <c r="IJY119" s="36"/>
      <c r="IJZ119" s="38"/>
      <c r="IKA119" s="38"/>
      <c r="IKG119" s="36"/>
      <c r="IKH119" s="38"/>
      <c r="IKI119" s="38"/>
      <c r="IKO119" s="36"/>
      <c r="IKP119" s="38"/>
      <c r="IKQ119" s="38"/>
      <c r="IKW119" s="36"/>
      <c r="IKX119" s="38"/>
      <c r="IKY119" s="38"/>
      <c r="ILE119" s="36"/>
      <c r="ILF119" s="38"/>
      <c r="ILG119" s="38"/>
      <c r="ILM119" s="36"/>
      <c r="ILN119" s="38"/>
      <c r="ILO119" s="38"/>
      <c r="ILU119" s="36"/>
      <c r="ILV119" s="38"/>
      <c r="ILW119" s="38"/>
      <c r="IMC119" s="36"/>
      <c r="IMD119" s="38"/>
      <c r="IME119" s="38"/>
      <c r="IMK119" s="36"/>
      <c r="IML119" s="38"/>
      <c r="IMM119" s="38"/>
      <c r="IMS119" s="36"/>
      <c r="IMT119" s="38"/>
      <c r="IMU119" s="38"/>
      <c r="INA119" s="36"/>
      <c r="INB119" s="38"/>
      <c r="INC119" s="38"/>
      <c r="INI119" s="36"/>
      <c r="INJ119" s="38"/>
      <c r="INK119" s="38"/>
      <c r="INQ119" s="36"/>
      <c r="INR119" s="38"/>
      <c r="INS119" s="38"/>
      <c r="INY119" s="36"/>
      <c r="INZ119" s="38"/>
      <c r="IOA119" s="38"/>
      <c r="IOG119" s="36"/>
      <c r="IOH119" s="38"/>
      <c r="IOI119" s="38"/>
      <c r="IOO119" s="36"/>
      <c r="IOP119" s="38"/>
      <c r="IOQ119" s="38"/>
      <c r="IOW119" s="36"/>
      <c r="IOX119" s="38"/>
      <c r="IOY119" s="38"/>
      <c r="IPE119" s="36"/>
      <c r="IPF119" s="38"/>
      <c r="IPG119" s="38"/>
      <c r="IPM119" s="36"/>
      <c r="IPN119" s="38"/>
      <c r="IPO119" s="38"/>
      <c r="IPU119" s="36"/>
      <c r="IPV119" s="38"/>
      <c r="IPW119" s="38"/>
      <c r="IQC119" s="36"/>
      <c r="IQD119" s="38"/>
      <c r="IQE119" s="38"/>
      <c r="IQK119" s="36"/>
      <c r="IQL119" s="38"/>
      <c r="IQM119" s="38"/>
      <c r="IQS119" s="36"/>
      <c r="IQT119" s="38"/>
      <c r="IQU119" s="38"/>
      <c r="IRA119" s="36"/>
      <c r="IRB119" s="38"/>
      <c r="IRC119" s="38"/>
      <c r="IRI119" s="36"/>
      <c r="IRJ119" s="38"/>
      <c r="IRK119" s="38"/>
      <c r="IRQ119" s="36"/>
      <c r="IRR119" s="38"/>
      <c r="IRS119" s="38"/>
      <c r="IRY119" s="36"/>
      <c r="IRZ119" s="38"/>
      <c r="ISA119" s="38"/>
      <c r="ISG119" s="36"/>
      <c r="ISH119" s="38"/>
      <c r="ISI119" s="38"/>
      <c r="ISO119" s="36"/>
      <c r="ISP119" s="38"/>
      <c r="ISQ119" s="38"/>
      <c r="ISW119" s="36"/>
      <c r="ISX119" s="38"/>
      <c r="ISY119" s="38"/>
      <c r="ITE119" s="36"/>
      <c r="ITF119" s="38"/>
      <c r="ITG119" s="38"/>
      <c r="ITM119" s="36"/>
      <c r="ITN119" s="38"/>
      <c r="ITO119" s="38"/>
      <c r="ITU119" s="36"/>
      <c r="ITV119" s="38"/>
      <c r="ITW119" s="38"/>
      <c r="IUC119" s="36"/>
      <c r="IUD119" s="38"/>
      <c r="IUE119" s="38"/>
      <c r="IUK119" s="36"/>
      <c r="IUL119" s="38"/>
      <c r="IUM119" s="38"/>
      <c r="IUS119" s="36"/>
      <c r="IUT119" s="38"/>
      <c r="IUU119" s="38"/>
      <c r="IVA119" s="36"/>
      <c r="IVB119" s="38"/>
      <c r="IVC119" s="38"/>
      <c r="IVI119" s="36"/>
      <c r="IVJ119" s="38"/>
      <c r="IVK119" s="38"/>
      <c r="IVQ119" s="36"/>
      <c r="IVR119" s="38"/>
      <c r="IVS119" s="38"/>
      <c r="IVY119" s="36"/>
      <c r="IVZ119" s="38"/>
      <c r="IWA119" s="38"/>
      <c r="IWG119" s="36"/>
      <c r="IWH119" s="38"/>
      <c r="IWI119" s="38"/>
      <c r="IWO119" s="36"/>
      <c r="IWP119" s="38"/>
      <c r="IWQ119" s="38"/>
      <c r="IWW119" s="36"/>
      <c r="IWX119" s="38"/>
      <c r="IWY119" s="38"/>
      <c r="IXE119" s="36"/>
      <c r="IXF119" s="38"/>
      <c r="IXG119" s="38"/>
      <c r="IXM119" s="36"/>
      <c r="IXN119" s="38"/>
      <c r="IXO119" s="38"/>
      <c r="IXU119" s="36"/>
      <c r="IXV119" s="38"/>
      <c r="IXW119" s="38"/>
      <c r="IYC119" s="36"/>
      <c r="IYD119" s="38"/>
      <c r="IYE119" s="38"/>
      <c r="IYK119" s="36"/>
      <c r="IYL119" s="38"/>
      <c r="IYM119" s="38"/>
      <c r="IYS119" s="36"/>
      <c r="IYT119" s="38"/>
      <c r="IYU119" s="38"/>
      <c r="IZA119" s="36"/>
      <c r="IZB119" s="38"/>
      <c r="IZC119" s="38"/>
      <c r="IZI119" s="36"/>
      <c r="IZJ119" s="38"/>
      <c r="IZK119" s="38"/>
      <c r="IZQ119" s="36"/>
      <c r="IZR119" s="38"/>
      <c r="IZS119" s="38"/>
      <c r="IZY119" s="36"/>
      <c r="IZZ119" s="38"/>
      <c r="JAA119" s="38"/>
      <c r="JAG119" s="36"/>
      <c r="JAH119" s="38"/>
      <c r="JAI119" s="38"/>
      <c r="JAO119" s="36"/>
      <c r="JAP119" s="38"/>
      <c r="JAQ119" s="38"/>
      <c r="JAW119" s="36"/>
      <c r="JAX119" s="38"/>
      <c r="JAY119" s="38"/>
      <c r="JBE119" s="36"/>
      <c r="JBF119" s="38"/>
      <c r="JBG119" s="38"/>
      <c r="JBM119" s="36"/>
      <c r="JBN119" s="38"/>
      <c r="JBO119" s="38"/>
      <c r="JBU119" s="36"/>
      <c r="JBV119" s="38"/>
      <c r="JBW119" s="38"/>
      <c r="JCC119" s="36"/>
      <c r="JCD119" s="38"/>
      <c r="JCE119" s="38"/>
      <c r="JCK119" s="36"/>
      <c r="JCL119" s="38"/>
      <c r="JCM119" s="38"/>
      <c r="JCS119" s="36"/>
      <c r="JCT119" s="38"/>
      <c r="JCU119" s="38"/>
      <c r="JDA119" s="36"/>
      <c r="JDB119" s="38"/>
      <c r="JDC119" s="38"/>
      <c r="JDI119" s="36"/>
      <c r="JDJ119" s="38"/>
      <c r="JDK119" s="38"/>
      <c r="JDQ119" s="36"/>
      <c r="JDR119" s="38"/>
      <c r="JDS119" s="38"/>
      <c r="JDY119" s="36"/>
      <c r="JDZ119" s="38"/>
      <c r="JEA119" s="38"/>
      <c r="JEG119" s="36"/>
      <c r="JEH119" s="38"/>
      <c r="JEI119" s="38"/>
      <c r="JEO119" s="36"/>
      <c r="JEP119" s="38"/>
      <c r="JEQ119" s="38"/>
      <c r="JEW119" s="36"/>
      <c r="JEX119" s="38"/>
      <c r="JEY119" s="38"/>
      <c r="JFE119" s="36"/>
      <c r="JFF119" s="38"/>
      <c r="JFG119" s="38"/>
      <c r="JFM119" s="36"/>
      <c r="JFN119" s="38"/>
      <c r="JFO119" s="38"/>
      <c r="JFU119" s="36"/>
      <c r="JFV119" s="38"/>
      <c r="JFW119" s="38"/>
      <c r="JGC119" s="36"/>
      <c r="JGD119" s="38"/>
      <c r="JGE119" s="38"/>
      <c r="JGK119" s="36"/>
      <c r="JGL119" s="38"/>
      <c r="JGM119" s="38"/>
      <c r="JGS119" s="36"/>
      <c r="JGT119" s="38"/>
      <c r="JGU119" s="38"/>
      <c r="JHA119" s="36"/>
      <c r="JHB119" s="38"/>
      <c r="JHC119" s="38"/>
      <c r="JHI119" s="36"/>
      <c r="JHJ119" s="38"/>
      <c r="JHK119" s="38"/>
      <c r="JHQ119" s="36"/>
      <c r="JHR119" s="38"/>
      <c r="JHS119" s="38"/>
      <c r="JHY119" s="36"/>
      <c r="JHZ119" s="38"/>
      <c r="JIA119" s="38"/>
      <c r="JIG119" s="36"/>
      <c r="JIH119" s="38"/>
      <c r="JII119" s="38"/>
      <c r="JIO119" s="36"/>
      <c r="JIP119" s="38"/>
      <c r="JIQ119" s="38"/>
      <c r="JIW119" s="36"/>
      <c r="JIX119" s="38"/>
      <c r="JIY119" s="38"/>
      <c r="JJE119" s="36"/>
      <c r="JJF119" s="38"/>
      <c r="JJG119" s="38"/>
      <c r="JJM119" s="36"/>
      <c r="JJN119" s="38"/>
      <c r="JJO119" s="38"/>
      <c r="JJU119" s="36"/>
      <c r="JJV119" s="38"/>
      <c r="JJW119" s="38"/>
      <c r="JKC119" s="36"/>
      <c r="JKD119" s="38"/>
      <c r="JKE119" s="38"/>
      <c r="JKK119" s="36"/>
      <c r="JKL119" s="38"/>
      <c r="JKM119" s="38"/>
      <c r="JKS119" s="36"/>
      <c r="JKT119" s="38"/>
      <c r="JKU119" s="38"/>
      <c r="JLA119" s="36"/>
      <c r="JLB119" s="38"/>
      <c r="JLC119" s="38"/>
      <c r="JLI119" s="36"/>
      <c r="JLJ119" s="38"/>
      <c r="JLK119" s="38"/>
      <c r="JLQ119" s="36"/>
      <c r="JLR119" s="38"/>
      <c r="JLS119" s="38"/>
      <c r="JLY119" s="36"/>
      <c r="JLZ119" s="38"/>
      <c r="JMA119" s="38"/>
      <c r="JMG119" s="36"/>
      <c r="JMH119" s="38"/>
      <c r="JMI119" s="38"/>
      <c r="JMO119" s="36"/>
      <c r="JMP119" s="38"/>
      <c r="JMQ119" s="38"/>
      <c r="JMW119" s="36"/>
      <c r="JMX119" s="38"/>
      <c r="JMY119" s="38"/>
      <c r="JNE119" s="36"/>
      <c r="JNF119" s="38"/>
      <c r="JNG119" s="38"/>
      <c r="JNM119" s="36"/>
      <c r="JNN119" s="38"/>
      <c r="JNO119" s="38"/>
      <c r="JNU119" s="36"/>
      <c r="JNV119" s="38"/>
      <c r="JNW119" s="38"/>
      <c r="JOC119" s="36"/>
      <c r="JOD119" s="38"/>
      <c r="JOE119" s="38"/>
      <c r="JOK119" s="36"/>
      <c r="JOL119" s="38"/>
      <c r="JOM119" s="38"/>
      <c r="JOS119" s="36"/>
      <c r="JOT119" s="38"/>
      <c r="JOU119" s="38"/>
      <c r="JPA119" s="36"/>
      <c r="JPB119" s="38"/>
      <c r="JPC119" s="38"/>
      <c r="JPI119" s="36"/>
      <c r="JPJ119" s="38"/>
      <c r="JPK119" s="38"/>
      <c r="JPQ119" s="36"/>
      <c r="JPR119" s="38"/>
      <c r="JPS119" s="38"/>
      <c r="JPY119" s="36"/>
      <c r="JPZ119" s="38"/>
      <c r="JQA119" s="38"/>
      <c r="JQG119" s="36"/>
      <c r="JQH119" s="38"/>
      <c r="JQI119" s="38"/>
      <c r="JQO119" s="36"/>
      <c r="JQP119" s="38"/>
      <c r="JQQ119" s="38"/>
      <c r="JQW119" s="36"/>
      <c r="JQX119" s="38"/>
      <c r="JQY119" s="38"/>
      <c r="JRE119" s="36"/>
      <c r="JRF119" s="38"/>
      <c r="JRG119" s="38"/>
      <c r="JRM119" s="36"/>
      <c r="JRN119" s="38"/>
      <c r="JRO119" s="38"/>
      <c r="JRU119" s="36"/>
      <c r="JRV119" s="38"/>
      <c r="JRW119" s="38"/>
      <c r="JSC119" s="36"/>
      <c r="JSD119" s="38"/>
      <c r="JSE119" s="38"/>
      <c r="JSK119" s="36"/>
      <c r="JSL119" s="38"/>
      <c r="JSM119" s="38"/>
      <c r="JSS119" s="36"/>
      <c r="JST119" s="38"/>
      <c r="JSU119" s="38"/>
      <c r="JTA119" s="36"/>
      <c r="JTB119" s="38"/>
      <c r="JTC119" s="38"/>
      <c r="JTI119" s="36"/>
      <c r="JTJ119" s="38"/>
      <c r="JTK119" s="38"/>
      <c r="JTQ119" s="36"/>
      <c r="JTR119" s="38"/>
      <c r="JTS119" s="38"/>
      <c r="JTY119" s="36"/>
      <c r="JTZ119" s="38"/>
      <c r="JUA119" s="38"/>
      <c r="JUG119" s="36"/>
      <c r="JUH119" s="38"/>
      <c r="JUI119" s="38"/>
      <c r="JUO119" s="36"/>
      <c r="JUP119" s="38"/>
      <c r="JUQ119" s="38"/>
      <c r="JUW119" s="36"/>
      <c r="JUX119" s="38"/>
      <c r="JUY119" s="38"/>
      <c r="JVE119" s="36"/>
      <c r="JVF119" s="38"/>
      <c r="JVG119" s="38"/>
      <c r="JVM119" s="36"/>
      <c r="JVN119" s="38"/>
      <c r="JVO119" s="38"/>
      <c r="JVU119" s="36"/>
      <c r="JVV119" s="38"/>
      <c r="JVW119" s="38"/>
      <c r="JWC119" s="36"/>
      <c r="JWD119" s="38"/>
      <c r="JWE119" s="38"/>
      <c r="JWK119" s="36"/>
      <c r="JWL119" s="38"/>
      <c r="JWM119" s="38"/>
      <c r="JWS119" s="36"/>
      <c r="JWT119" s="38"/>
      <c r="JWU119" s="38"/>
      <c r="JXA119" s="36"/>
      <c r="JXB119" s="38"/>
      <c r="JXC119" s="38"/>
      <c r="JXI119" s="36"/>
      <c r="JXJ119" s="38"/>
      <c r="JXK119" s="38"/>
      <c r="JXQ119" s="36"/>
      <c r="JXR119" s="38"/>
      <c r="JXS119" s="38"/>
      <c r="JXY119" s="36"/>
      <c r="JXZ119" s="38"/>
      <c r="JYA119" s="38"/>
      <c r="JYG119" s="36"/>
      <c r="JYH119" s="38"/>
      <c r="JYI119" s="38"/>
      <c r="JYO119" s="36"/>
      <c r="JYP119" s="38"/>
      <c r="JYQ119" s="38"/>
      <c r="JYW119" s="36"/>
      <c r="JYX119" s="38"/>
      <c r="JYY119" s="38"/>
      <c r="JZE119" s="36"/>
      <c r="JZF119" s="38"/>
      <c r="JZG119" s="38"/>
      <c r="JZM119" s="36"/>
      <c r="JZN119" s="38"/>
      <c r="JZO119" s="38"/>
      <c r="JZU119" s="36"/>
      <c r="JZV119" s="38"/>
      <c r="JZW119" s="38"/>
      <c r="KAC119" s="36"/>
      <c r="KAD119" s="38"/>
      <c r="KAE119" s="38"/>
      <c r="KAK119" s="36"/>
      <c r="KAL119" s="38"/>
      <c r="KAM119" s="38"/>
      <c r="KAS119" s="36"/>
      <c r="KAT119" s="38"/>
      <c r="KAU119" s="38"/>
      <c r="KBA119" s="36"/>
      <c r="KBB119" s="38"/>
      <c r="KBC119" s="38"/>
      <c r="KBI119" s="36"/>
      <c r="KBJ119" s="38"/>
      <c r="KBK119" s="38"/>
      <c r="KBQ119" s="36"/>
      <c r="KBR119" s="38"/>
      <c r="KBS119" s="38"/>
      <c r="KBY119" s="36"/>
      <c r="KBZ119" s="38"/>
      <c r="KCA119" s="38"/>
      <c r="KCG119" s="36"/>
      <c r="KCH119" s="38"/>
      <c r="KCI119" s="38"/>
      <c r="KCO119" s="36"/>
      <c r="KCP119" s="38"/>
      <c r="KCQ119" s="38"/>
      <c r="KCW119" s="36"/>
      <c r="KCX119" s="38"/>
      <c r="KCY119" s="38"/>
      <c r="KDE119" s="36"/>
      <c r="KDF119" s="38"/>
      <c r="KDG119" s="38"/>
      <c r="KDM119" s="36"/>
      <c r="KDN119" s="38"/>
      <c r="KDO119" s="38"/>
      <c r="KDU119" s="36"/>
      <c r="KDV119" s="38"/>
      <c r="KDW119" s="38"/>
      <c r="KEC119" s="36"/>
      <c r="KED119" s="38"/>
      <c r="KEE119" s="38"/>
      <c r="KEK119" s="36"/>
      <c r="KEL119" s="38"/>
      <c r="KEM119" s="38"/>
      <c r="KES119" s="36"/>
      <c r="KET119" s="38"/>
      <c r="KEU119" s="38"/>
      <c r="KFA119" s="36"/>
      <c r="KFB119" s="38"/>
      <c r="KFC119" s="38"/>
      <c r="KFI119" s="36"/>
      <c r="KFJ119" s="38"/>
      <c r="KFK119" s="38"/>
      <c r="KFQ119" s="36"/>
      <c r="KFR119" s="38"/>
      <c r="KFS119" s="38"/>
      <c r="KFY119" s="36"/>
      <c r="KFZ119" s="38"/>
      <c r="KGA119" s="38"/>
      <c r="KGG119" s="36"/>
      <c r="KGH119" s="38"/>
      <c r="KGI119" s="38"/>
      <c r="KGO119" s="36"/>
      <c r="KGP119" s="38"/>
      <c r="KGQ119" s="38"/>
      <c r="KGW119" s="36"/>
      <c r="KGX119" s="38"/>
      <c r="KGY119" s="38"/>
      <c r="KHE119" s="36"/>
      <c r="KHF119" s="38"/>
      <c r="KHG119" s="38"/>
      <c r="KHM119" s="36"/>
      <c r="KHN119" s="38"/>
      <c r="KHO119" s="38"/>
      <c r="KHU119" s="36"/>
      <c r="KHV119" s="38"/>
      <c r="KHW119" s="38"/>
      <c r="KIC119" s="36"/>
      <c r="KID119" s="38"/>
      <c r="KIE119" s="38"/>
      <c r="KIK119" s="36"/>
      <c r="KIL119" s="38"/>
      <c r="KIM119" s="38"/>
      <c r="KIS119" s="36"/>
      <c r="KIT119" s="38"/>
      <c r="KIU119" s="38"/>
      <c r="KJA119" s="36"/>
      <c r="KJB119" s="38"/>
      <c r="KJC119" s="38"/>
      <c r="KJI119" s="36"/>
      <c r="KJJ119" s="38"/>
      <c r="KJK119" s="38"/>
      <c r="KJQ119" s="36"/>
      <c r="KJR119" s="38"/>
      <c r="KJS119" s="38"/>
      <c r="KJY119" s="36"/>
      <c r="KJZ119" s="38"/>
      <c r="KKA119" s="38"/>
      <c r="KKG119" s="36"/>
      <c r="KKH119" s="38"/>
      <c r="KKI119" s="38"/>
      <c r="KKO119" s="36"/>
      <c r="KKP119" s="38"/>
      <c r="KKQ119" s="38"/>
      <c r="KKW119" s="36"/>
      <c r="KKX119" s="38"/>
      <c r="KKY119" s="38"/>
      <c r="KLE119" s="36"/>
      <c r="KLF119" s="38"/>
      <c r="KLG119" s="38"/>
      <c r="KLM119" s="36"/>
      <c r="KLN119" s="38"/>
      <c r="KLO119" s="38"/>
      <c r="KLU119" s="36"/>
      <c r="KLV119" s="38"/>
      <c r="KLW119" s="38"/>
      <c r="KMC119" s="36"/>
      <c r="KMD119" s="38"/>
      <c r="KME119" s="38"/>
      <c r="KMK119" s="36"/>
      <c r="KML119" s="38"/>
      <c r="KMM119" s="38"/>
      <c r="KMS119" s="36"/>
      <c r="KMT119" s="38"/>
      <c r="KMU119" s="38"/>
      <c r="KNA119" s="36"/>
      <c r="KNB119" s="38"/>
      <c r="KNC119" s="38"/>
      <c r="KNI119" s="36"/>
      <c r="KNJ119" s="38"/>
      <c r="KNK119" s="38"/>
      <c r="KNQ119" s="36"/>
      <c r="KNR119" s="38"/>
      <c r="KNS119" s="38"/>
      <c r="KNY119" s="36"/>
      <c r="KNZ119" s="38"/>
      <c r="KOA119" s="38"/>
      <c r="KOG119" s="36"/>
      <c r="KOH119" s="38"/>
      <c r="KOI119" s="38"/>
      <c r="KOO119" s="36"/>
      <c r="KOP119" s="38"/>
      <c r="KOQ119" s="38"/>
      <c r="KOW119" s="36"/>
      <c r="KOX119" s="38"/>
      <c r="KOY119" s="38"/>
      <c r="KPE119" s="36"/>
      <c r="KPF119" s="38"/>
      <c r="KPG119" s="38"/>
      <c r="KPM119" s="36"/>
      <c r="KPN119" s="38"/>
      <c r="KPO119" s="38"/>
      <c r="KPU119" s="36"/>
      <c r="KPV119" s="38"/>
      <c r="KPW119" s="38"/>
      <c r="KQC119" s="36"/>
      <c r="KQD119" s="38"/>
      <c r="KQE119" s="38"/>
      <c r="KQK119" s="36"/>
      <c r="KQL119" s="38"/>
      <c r="KQM119" s="38"/>
      <c r="KQS119" s="36"/>
      <c r="KQT119" s="38"/>
      <c r="KQU119" s="38"/>
      <c r="KRA119" s="36"/>
      <c r="KRB119" s="38"/>
      <c r="KRC119" s="38"/>
      <c r="KRI119" s="36"/>
      <c r="KRJ119" s="38"/>
      <c r="KRK119" s="38"/>
      <c r="KRQ119" s="36"/>
      <c r="KRR119" s="38"/>
      <c r="KRS119" s="38"/>
      <c r="KRY119" s="36"/>
      <c r="KRZ119" s="38"/>
      <c r="KSA119" s="38"/>
      <c r="KSG119" s="36"/>
      <c r="KSH119" s="38"/>
      <c r="KSI119" s="38"/>
      <c r="KSO119" s="36"/>
      <c r="KSP119" s="38"/>
      <c r="KSQ119" s="38"/>
      <c r="KSW119" s="36"/>
      <c r="KSX119" s="38"/>
      <c r="KSY119" s="38"/>
      <c r="KTE119" s="36"/>
      <c r="KTF119" s="38"/>
      <c r="KTG119" s="38"/>
      <c r="KTM119" s="36"/>
      <c r="KTN119" s="38"/>
      <c r="KTO119" s="38"/>
      <c r="KTU119" s="36"/>
      <c r="KTV119" s="38"/>
      <c r="KTW119" s="38"/>
      <c r="KUC119" s="36"/>
      <c r="KUD119" s="38"/>
      <c r="KUE119" s="38"/>
      <c r="KUK119" s="36"/>
      <c r="KUL119" s="38"/>
      <c r="KUM119" s="38"/>
      <c r="KUS119" s="36"/>
      <c r="KUT119" s="38"/>
      <c r="KUU119" s="38"/>
      <c r="KVA119" s="36"/>
      <c r="KVB119" s="38"/>
      <c r="KVC119" s="38"/>
      <c r="KVI119" s="36"/>
      <c r="KVJ119" s="38"/>
      <c r="KVK119" s="38"/>
      <c r="KVQ119" s="36"/>
      <c r="KVR119" s="38"/>
      <c r="KVS119" s="38"/>
      <c r="KVY119" s="36"/>
      <c r="KVZ119" s="38"/>
      <c r="KWA119" s="38"/>
      <c r="KWG119" s="36"/>
      <c r="KWH119" s="38"/>
      <c r="KWI119" s="38"/>
      <c r="KWO119" s="36"/>
      <c r="KWP119" s="38"/>
      <c r="KWQ119" s="38"/>
      <c r="KWW119" s="36"/>
      <c r="KWX119" s="38"/>
      <c r="KWY119" s="38"/>
      <c r="KXE119" s="36"/>
      <c r="KXF119" s="38"/>
      <c r="KXG119" s="38"/>
      <c r="KXM119" s="36"/>
      <c r="KXN119" s="38"/>
      <c r="KXO119" s="38"/>
      <c r="KXU119" s="36"/>
      <c r="KXV119" s="38"/>
      <c r="KXW119" s="38"/>
      <c r="KYC119" s="36"/>
      <c r="KYD119" s="38"/>
      <c r="KYE119" s="38"/>
      <c r="KYK119" s="36"/>
      <c r="KYL119" s="38"/>
      <c r="KYM119" s="38"/>
      <c r="KYS119" s="36"/>
      <c r="KYT119" s="38"/>
      <c r="KYU119" s="38"/>
      <c r="KZA119" s="36"/>
      <c r="KZB119" s="38"/>
      <c r="KZC119" s="38"/>
      <c r="KZI119" s="36"/>
      <c r="KZJ119" s="38"/>
      <c r="KZK119" s="38"/>
      <c r="KZQ119" s="36"/>
      <c r="KZR119" s="38"/>
      <c r="KZS119" s="38"/>
      <c r="KZY119" s="36"/>
      <c r="KZZ119" s="38"/>
      <c r="LAA119" s="38"/>
      <c r="LAG119" s="36"/>
      <c r="LAH119" s="38"/>
      <c r="LAI119" s="38"/>
      <c r="LAO119" s="36"/>
      <c r="LAP119" s="38"/>
      <c r="LAQ119" s="38"/>
      <c r="LAW119" s="36"/>
      <c r="LAX119" s="38"/>
      <c r="LAY119" s="38"/>
      <c r="LBE119" s="36"/>
      <c r="LBF119" s="38"/>
      <c r="LBG119" s="38"/>
      <c r="LBM119" s="36"/>
      <c r="LBN119" s="38"/>
      <c r="LBO119" s="38"/>
      <c r="LBU119" s="36"/>
      <c r="LBV119" s="38"/>
      <c r="LBW119" s="38"/>
      <c r="LCC119" s="36"/>
      <c r="LCD119" s="38"/>
      <c r="LCE119" s="38"/>
      <c r="LCK119" s="36"/>
      <c r="LCL119" s="38"/>
      <c r="LCM119" s="38"/>
      <c r="LCS119" s="36"/>
      <c r="LCT119" s="38"/>
      <c r="LCU119" s="38"/>
      <c r="LDA119" s="36"/>
      <c r="LDB119" s="38"/>
      <c r="LDC119" s="38"/>
      <c r="LDI119" s="36"/>
      <c r="LDJ119" s="38"/>
      <c r="LDK119" s="38"/>
      <c r="LDQ119" s="36"/>
      <c r="LDR119" s="38"/>
      <c r="LDS119" s="38"/>
      <c r="LDY119" s="36"/>
      <c r="LDZ119" s="38"/>
      <c r="LEA119" s="38"/>
      <c r="LEG119" s="36"/>
      <c r="LEH119" s="38"/>
      <c r="LEI119" s="38"/>
      <c r="LEO119" s="36"/>
      <c r="LEP119" s="38"/>
      <c r="LEQ119" s="38"/>
      <c r="LEW119" s="36"/>
      <c r="LEX119" s="38"/>
      <c r="LEY119" s="38"/>
      <c r="LFE119" s="36"/>
      <c r="LFF119" s="38"/>
      <c r="LFG119" s="38"/>
      <c r="LFM119" s="36"/>
      <c r="LFN119" s="38"/>
      <c r="LFO119" s="38"/>
      <c r="LFU119" s="36"/>
      <c r="LFV119" s="38"/>
      <c r="LFW119" s="38"/>
      <c r="LGC119" s="36"/>
      <c r="LGD119" s="38"/>
      <c r="LGE119" s="38"/>
      <c r="LGK119" s="36"/>
      <c r="LGL119" s="38"/>
      <c r="LGM119" s="38"/>
      <c r="LGS119" s="36"/>
      <c r="LGT119" s="38"/>
      <c r="LGU119" s="38"/>
      <c r="LHA119" s="36"/>
      <c r="LHB119" s="38"/>
      <c r="LHC119" s="38"/>
      <c r="LHI119" s="36"/>
      <c r="LHJ119" s="38"/>
      <c r="LHK119" s="38"/>
      <c r="LHQ119" s="36"/>
      <c r="LHR119" s="38"/>
      <c r="LHS119" s="38"/>
      <c r="LHY119" s="36"/>
      <c r="LHZ119" s="38"/>
      <c r="LIA119" s="38"/>
      <c r="LIG119" s="36"/>
      <c r="LIH119" s="38"/>
      <c r="LII119" s="38"/>
      <c r="LIO119" s="36"/>
      <c r="LIP119" s="38"/>
      <c r="LIQ119" s="38"/>
      <c r="LIW119" s="36"/>
      <c r="LIX119" s="38"/>
      <c r="LIY119" s="38"/>
      <c r="LJE119" s="36"/>
      <c r="LJF119" s="38"/>
      <c r="LJG119" s="38"/>
      <c r="LJM119" s="36"/>
      <c r="LJN119" s="38"/>
      <c r="LJO119" s="38"/>
      <c r="LJU119" s="36"/>
      <c r="LJV119" s="38"/>
      <c r="LJW119" s="38"/>
      <c r="LKC119" s="36"/>
      <c r="LKD119" s="38"/>
      <c r="LKE119" s="38"/>
      <c r="LKK119" s="36"/>
      <c r="LKL119" s="38"/>
      <c r="LKM119" s="38"/>
      <c r="LKS119" s="36"/>
      <c r="LKT119" s="38"/>
      <c r="LKU119" s="38"/>
      <c r="LLA119" s="36"/>
      <c r="LLB119" s="38"/>
      <c r="LLC119" s="38"/>
      <c r="LLI119" s="36"/>
      <c r="LLJ119" s="38"/>
      <c r="LLK119" s="38"/>
      <c r="LLQ119" s="36"/>
      <c r="LLR119" s="38"/>
      <c r="LLS119" s="38"/>
      <c r="LLY119" s="36"/>
      <c r="LLZ119" s="38"/>
      <c r="LMA119" s="38"/>
      <c r="LMG119" s="36"/>
      <c r="LMH119" s="38"/>
      <c r="LMI119" s="38"/>
      <c r="LMO119" s="36"/>
      <c r="LMP119" s="38"/>
      <c r="LMQ119" s="38"/>
      <c r="LMW119" s="36"/>
      <c r="LMX119" s="38"/>
      <c r="LMY119" s="38"/>
      <c r="LNE119" s="36"/>
      <c r="LNF119" s="38"/>
      <c r="LNG119" s="38"/>
      <c r="LNM119" s="36"/>
      <c r="LNN119" s="38"/>
      <c r="LNO119" s="38"/>
      <c r="LNU119" s="36"/>
      <c r="LNV119" s="38"/>
      <c r="LNW119" s="38"/>
      <c r="LOC119" s="36"/>
      <c r="LOD119" s="38"/>
      <c r="LOE119" s="38"/>
      <c r="LOK119" s="36"/>
      <c r="LOL119" s="38"/>
      <c r="LOM119" s="38"/>
      <c r="LOS119" s="36"/>
      <c r="LOT119" s="38"/>
      <c r="LOU119" s="38"/>
      <c r="LPA119" s="36"/>
      <c r="LPB119" s="38"/>
      <c r="LPC119" s="38"/>
      <c r="LPI119" s="36"/>
      <c r="LPJ119" s="38"/>
      <c r="LPK119" s="38"/>
      <c r="LPQ119" s="36"/>
      <c r="LPR119" s="38"/>
      <c r="LPS119" s="38"/>
      <c r="LPY119" s="36"/>
      <c r="LPZ119" s="38"/>
      <c r="LQA119" s="38"/>
      <c r="LQG119" s="36"/>
      <c r="LQH119" s="38"/>
      <c r="LQI119" s="38"/>
      <c r="LQO119" s="36"/>
      <c r="LQP119" s="38"/>
      <c r="LQQ119" s="38"/>
      <c r="LQW119" s="36"/>
      <c r="LQX119" s="38"/>
      <c r="LQY119" s="38"/>
      <c r="LRE119" s="36"/>
      <c r="LRF119" s="38"/>
      <c r="LRG119" s="38"/>
      <c r="LRM119" s="36"/>
      <c r="LRN119" s="38"/>
      <c r="LRO119" s="38"/>
      <c r="LRU119" s="36"/>
      <c r="LRV119" s="38"/>
      <c r="LRW119" s="38"/>
      <c r="LSC119" s="36"/>
      <c r="LSD119" s="38"/>
      <c r="LSE119" s="38"/>
      <c r="LSK119" s="36"/>
      <c r="LSL119" s="38"/>
      <c r="LSM119" s="38"/>
      <c r="LSS119" s="36"/>
      <c r="LST119" s="38"/>
      <c r="LSU119" s="38"/>
      <c r="LTA119" s="36"/>
      <c r="LTB119" s="38"/>
      <c r="LTC119" s="38"/>
      <c r="LTI119" s="36"/>
      <c r="LTJ119" s="38"/>
      <c r="LTK119" s="38"/>
      <c r="LTQ119" s="36"/>
      <c r="LTR119" s="38"/>
      <c r="LTS119" s="38"/>
      <c r="LTY119" s="36"/>
      <c r="LTZ119" s="38"/>
      <c r="LUA119" s="38"/>
      <c r="LUG119" s="36"/>
      <c r="LUH119" s="38"/>
      <c r="LUI119" s="38"/>
      <c r="LUO119" s="36"/>
      <c r="LUP119" s="38"/>
      <c r="LUQ119" s="38"/>
      <c r="LUW119" s="36"/>
      <c r="LUX119" s="38"/>
      <c r="LUY119" s="38"/>
      <c r="LVE119" s="36"/>
      <c r="LVF119" s="38"/>
      <c r="LVG119" s="38"/>
      <c r="LVM119" s="36"/>
      <c r="LVN119" s="38"/>
      <c r="LVO119" s="38"/>
      <c r="LVU119" s="36"/>
      <c r="LVV119" s="38"/>
      <c r="LVW119" s="38"/>
      <c r="LWC119" s="36"/>
      <c r="LWD119" s="38"/>
      <c r="LWE119" s="38"/>
      <c r="LWK119" s="36"/>
      <c r="LWL119" s="38"/>
      <c r="LWM119" s="38"/>
      <c r="LWS119" s="36"/>
      <c r="LWT119" s="38"/>
      <c r="LWU119" s="38"/>
      <c r="LXA119" s="36"/>
      <c r="LXB119" s="38"/>
      <c r="LXC119" s="38"/>
      <c r="LXI119" s="36"/>
      <c r="LXJ119" s="38"/>
      <c r="LXK119" s="38"/>
      <c r="LXQ119" s="36"/>
      <c r="LXR119" s="38"/>
      <c r="LXS119" s="38"/>
      <c r="LXY119" s="36"/>
      <c r="LXZ119" s="38"/>
      <c r="LYA119" s="38"/>
      <c r="LYG119" s="36"/>
      <c r="LYH119" s="38"/>
      <c r="LYI119" s="38"/>
      <c r="LYO119" s="36"/>
      <c r="LYP119" s="38"/>
      <c r="LYQ119" s="38"/>
      <c r="LYW119" s="36"/>
      <c r="LYX119" s="38"/>
      <c r="LYY119" s="38"/>
      <c r="LZE119" s="36"/>
      <c r="LZF119" s="38"/>
      <c r="LZG119" s="38"/>
      <c r="LZM119" s="36"/>
      <c r="LZN119" s="38"/>
      <c r="LZO119" s="38"/>
      <c r="LZU119" s="36"/>
      <c r="LZV119" s="38"/>
      <c r="LZW119" s="38"/>
      <c r="MAC119" s="36"/>
      <c r="MAD119" s="38"/>
      <c r="MAE119" s="38"/>
      <c r="MAK119" s="36"/>
      <c r="MAL119" s="38"/>
      <c r="MAM119" s="38"/>
      <c r="MAS119" s="36"/>
      <c r="MAT119" s="38"/>
      <c r="MAU119" s="38"/>
      <c r="MBA119" s="36"/>
      <c r="MBB119" s="38"/>
      <c r="MBC119" s="38"/>
      <c r="MBI119" s="36"/>
      <c r="MBJ119" s="38"/>
      <c r="MBK119" s="38"/>
      <c r="MBQ119" s="36"/>
      <c r="MBR119" s="38"/>
      <c r="MBS119" s="38"/>
      <c r="MBY119" s="36"/>
      <c r="MBZ119" s="38"/>
      <c r="MCA119" s="38"/>
      <c r="MCG119" s="36"/>
      <c r="MCH119" s="38"/>
      <c r="MCI119" s="38"/>
      <c r="MCO119" s="36"/>
      <c r="MCP119" s="38"/>
      <c r="MCQ119" s="38"/>
      <c r="MCW119" s="36"/>
      <c r="MCX119" s="38"/>
      <c r="MCY119" s="38"/>
      <c r="MDE119" s="36"/>
      <c r="MDF119" s="38"/>
      <c r="MDG119" s="38"/>
      <c r="MDM119" s="36"/>
      <c r="MDN119" s="38"/>
      <c r="MDO119" s="38"/>
      <c r="MDU119" s="36"/>
      <c r="MDV119" s="38"/>
      <c r="MDW119" s="38"/>
      <c r="MEC119" s="36"/>
      <c r="MED119" s="38"/>
      <c r="MEE119" s="38"/>
      <c r="MEK119" s="36"/>
      <c r="MEL119" s="38"/>
      <c r="MEM119" s="38"/>
      <c r="MES119" s="36"/>
      <c r="MET119" s="38"/>
      <c r="MEU119" s="38"/>
      <c r="MFA119" s="36"/>
      <c r="MFB119" s="38"/>
      <c r="MFC119" s="38"/>
      <c r="MFI119" s="36"/>
      <c r="MFJ119" s="38"/>
      <c r="MFK119" s="38"/>
      <c r="MFQ119" s="36"/>
      <c r="MFR119" s="38"/>
      <c r="MFS119" s="38"/>
      <c r="MFY119" s="36"/>
      <c r="MFZ119" s="38"/>
      <c r="MGA119" s="38"/>
      <c r="MGG119" s="36"/>
      <c r="MGH119" s="38"/>
      <c r="MGI119" s="38"/>
      <c r="MGO119" s="36"/>
      <c r="MGP119" s="38"/>
      <c r="MGQ119" s="38"/>
      <c r="MGW119" s="36"/>
      <c r="MGX119" s="38"/>
      <c r="MGY119" s="38"/>
      <c r="MHE119" s="36"/>
      <c r="MHF119" s="38"/>
      <c r="MHG119" s="38"/>
      <c r="MHM119" s="36"/>
      <c r="MHN119" s="38"/>
      <c r="MHO119" s="38"/>
      <c r="MHU119" s="36"/>
      <c r="MHV119" s="38"/>
      <c r="MHW119" s="38"/>
      <c r="MIC119" s="36"/>
      <c r="MID119" s="38"/>
      <c r="MIE119" s="38"/>
      <c r="MIK119" s="36"/>
      <c r="MIL119" s="38"/>
      <c r="MIM119" s="38"/>
      <c r="MIS119" s="36"/>
      <c r="MIT119" s="38"/>
      <c r="MIU119" s="38"/>
      <c r="MJA119" s="36"/>
      <c r="MJB119" s="38"/>
      <c r="MJC119" s="38"/>
      <c r="MJI119" s="36"/>
      <c r="MJJ119" s="38"/>
      <c r="MJK119" s="38"/>
      <c r="MJQ119" s="36"/>
      <c r="MJR119" s="38"/>
      <c r="MJS119" s="38"/>
      <c r="MJY119" s="36"/>
      <c r="MJZ119" s="38"/>
      <c r="MKA119" s="38"/>
      <c r="MKG119" s="36"/>
      <c r="MKH119" s="38"/>
      <c r="MKI119" s="38"/>
      <c r="MKO119" s="36"/>
      <c r="MKP119" s="38"/>
      <c r="MKQ119" s="38"/>
      <c r="MKW119" s="36"/>
      <c r="MKX119" s="38"/>
      <c r="MKY119" s="38"/>
      <c r="MLE119" s="36"/>
      <c r="MLF119" s="38"/>
      <c r="MLG119" s="38"/>
      <c r="MLM119" s="36"/>
      <c r="MLN119" s="38"/>
      <c r="MLO119" s="38"/>
      <c r="MLU119" s="36"/>
      <c r="MLV119" s="38"/>
      <c r="MLW119" s="38"/>
      <c r="MMC119" s="36"/>
      <c r="MMD119" s="38"/>
      <c r="MME119" s="38"/>
      <c r="MMK119" s="36"/>
      <c r="MML119" s="38"/>
      <c r="MMM119" s="38"/>
      <c r="MMS119" s="36"/>
      <c r="MMT119" s="38"/>
      <c r="MMU119" s="38"/>
      <c r="MNA119" s="36"/>
      <c r="MNB119" s="38"/>
      <c r="MNC119" s="38"/>
      <c r="MNI119" s="36"/>
      <c r="MNJ119" s="38"/>
      <c r="MNK119" s="38"/>
      <c r="MNQ119" s="36"/>
      <c r="MNR119" s="38"/>
      <c r="MNS119" s="38"/>
      <c r="MNY119" s="36"/>
      <c r="MNZ119" s="38"/>
      <c r="MOA119" s="38"/>
      <c r="MOG119" s="36"/>
      <c r="MOH119" s="38"/>
      <c r="MOI119" s="38"/>
      <c r="MOO119" s="36"/>
      <c r="MOP119" s="38"/>
      <c r="MOQ119" s="38"/>
      <c r="MOW119" s="36"/>
      <c r="MOX119" s="38"/>
      <c r="MOY119" s="38"/>
      <c r="MPE119" s="36"/>
      <c r="MPF119" s="38"/>
      <c r="MPG119" s="38"/>
      <c r="MPM119" s="36"/>
      <c r="MPN119" s="38"/>
      <c r="MPO119" s="38"/>
      <c r="MPU119" s="36"/>
      <c r="MPV119" s="38"/>
      <c r="MPW119" s="38"/>
      <c r="MQC119" s="36"/>
      <c r="MQD119" s="38"/>
      <c r="MQE119" s="38"/>
      <c r="MQK119" s="36"/>
      <c r="MQL119" s="38"/>
      <c r="MQM119" s="38"/>
      <c r="MQS119" s="36"/>
      <c r="MQT119" s="38"/>
      <c r="MQU119" s="38"/>
      <c r="MRA119" s="36"/>
      <c r="MRB119" s="38"/>
      <c r="MRC119" s="38"/>
      <c r="MRI119" s="36"/>
      <c r="MRJ119" s="38"/>
      <c r="MRK119" s="38"/>
      <c r="MRQ119" s="36"/>
      <c r="MRR119" s="38"/>
      <c r="MRS119" s="38"/>
      <c r="MRY119" s="36"/>
      <c r="MRZ119" s="38"/>
      <c r="MSA119" s="38"/>
      <c r="MSG119" s="36"/>
      <c r="MSH119" s="38"/>
      <c r="MSI119" s="38"/>
      <c r="MSO119" s="36"/>
      <c r="MSP119" s="38"/>
      <c r="MSQ119" s="38"/>
      <c r="MSW119" s="36"/>
      <c r="MSX119" s="38"/>
      <c r="MSY119" s="38"/>
      <c r="MTE119" s="36"/>
      <c r="MTF119" s="38"/>
      <c r="MTG119" s="38"/>
      <c r="MTM119" s="36"/>
      <c r="MTN119" s="38"/>
      <c r="MTO119" s="38"/>
      <c r="MTU119" s="36"/>
      <c r="MTV119" s="38"/>
      <c r="MTW119" s="38"/>
      <c r="MUC119" s="36"/>
      <c r="MUD119" s="38"/>
      <c r="MUE119" s="38"/>
      <c r="MUK119" s="36"/>
      <c r="MUL119" s="38"/>
      <c r="MUM119" s="38"/>
      <c r="MUS119" s="36"/>
      <c r="MUT119" s="38"/>
      <c r="MUU119" s="38"/>
      <c r="MVA119" s="36"/>
      <c r="MVB119" s="38"/>
      <c r="MVC119" s="38"/>
      <c r="MVI119" s="36"/>
      <c r="MVJ119" s="38"/>
      <c r="MVK119" s="38"/>
      <c r="MVQ119" s="36"/>
      <c r="MVR119" s="38"/>
      <c r="MVS119" s="38"/>
      <c r="MVY119" s="36"/>
      <c r="MVZ119" s="38"/>
      <c r="MWA119" s="38"/>
      <c r="MWG119" s="36"/>
      <c r="MWH119" s="38"/>
      <c r="MWI119" s="38"/>
      <c r="MWO119" s="36"/>
      <c r="MWP119" s="38"/>
      <c r="MWQ119" s="38"/>
      <c r="MWW119" s="36"/>
      <c r="MWX119" s="38"/>
      <c r="MWY119" s="38"/>
      <c r="MXE119" s="36"/>
      <c r="MXF119" s="38"/>
      <c r="MXG119" s="38"/>
      <c r="MXM119" s="36"/>
      <c r="MXN119" s="38"/>
      <c r="MXO119" s="38"/>
      <c r="MXU119" s="36"/>
      <c r="MXV119" s="38"/>
      <c r="MXW119" s="38"/>
      <c r="MYC119" s="36"/>
      <c r="MYD119" s="38"/>
      <c r="MYE119" s="38"/>
      <c r="MYK119" s="36"/>
      <c r="MYL119" s="38"/>
      <c r="MYM119" s="38"/>
      <c r="MYS119" s="36"/>
      <c r="MYT119" s="38"/>
      <c r="MYU119" s="38"/>
      <c r="MZA119" s="36"/>
      <c r="MZB119" s="38"/>
      <c r="MZC119" s="38"/>
      <c r="MZI119" s="36"/>
      <c r="MZJ119" s="38"/>
      <c r="MZK119" s="38"/>
      <c r="MZQ119" s="36"/>
      <c r="MZR119" s="38"/>
      <c r="MZS119" s="38"/>
      <c r="MZY119" s="36"/>
      <c r="MZZ119" s="38"/>
      <c r="NAA119" s="38"/>
      <c r="NAG119" s="36"/>
      <c r="NAH119" s="38"/>
      <c r="NAI119" s="38"/>
      <c r="NAO119" s="36"/>
      <c r="NAP119" s="38"/>
      <c r="NAQ119" s="38"/>
      <c r="NAW119" s="36"/>
      <c r="NAX119" s="38"/>
      <c r="NAY119" s="38"/>
      <c r="NBE119" s="36"/>
      <c r="NBF119" s="38"/>
      <c r="NBG119" s="38"/>
      <c r="NBM119" s="36"/>
      <c r="NBN119" s="38"/>
      <c r="NBO119" s="38"/>
      <c r="NBU119" s="36"/>
      <c r="NBV119" s="38"/>
      <c r="NBW119" s="38"/>
      <c r="NCC119" s="36"/>
      <c r="NCD119" s="38"/>
      <c r="NCE119" s="38"/>
      <c r="NCK119" s="36"/>
      <c r="NCL119" s="38"/>
      <c r="NCM119" s="38"/>
      <c r="NCS119" s="36"/>
      <c r="NCT119" s="38"/>
      <c r="NCU119" s="38"/>
      <c r="NDA119" s="36"/>
      <c r="NDB119" s="38"/>
      <c r="NDC119" s="38"/>
      <c r="NDI119" s="36"/>
      <c r="NDJ119" s="38"/>
      <c r="NDK119" s="38"/>
      <c r="NDQ119" s="36"/>
      <c r="NDR119" s="38"/>
      <c r="NDS119" s="38"/>
      <c r="NDY119" s="36"/>
      <c r="NDZ119" s="38"/>
      <c r="NEA119" s="38"/>
      <c r="NEG119" s="36"/>
      <c r="NEH119" s="38"/>
      <c r="NEI119" s="38"/>
      <c r="NEO119" s="36"/>
      <c r="NEP119" s="38"/>
      <c r="NEQ119" s="38"/>
      <c r="NEW119" s="36"/>
      <c r="NEX119" s="38"/>
      <c r="NEY119" s="38"/>
      <c r="NFE119" s="36"/>
      <c r="NFF119" s="38"/>
      <c r="NFG119" s="38"/>
      <c r="NFM119" s="36"/>
      <c r="NFN119" s="38"/>
      <c r="NFO119" s="38"/>
      <c r="NFU119" s="36"/>
      <c r="NFV119" s="38"/>
      <c r="NFW119" s="38"/>
      <c r="NGC119" s="36"/>
      <c r="NGD119" s="38"/>
      <c r="NGE119" s="38"/>
      <c r="NGK119" s="36"/>
      <c r="NGL119" s="38"/>
      <c r="NGM119" s="38"/>
      <c r="NGS119" s="36"/>
      <c r="NGT119" s="38"/>
      <c r="NGU119" s="38"/>
      <c r="NHA119" s="36"/>
      <c r="NHB119" s="38"/>
      <c r="NHC119" s="38"/>
      <c r="NHI119" s="36"/>
      <c r="NHJ119" s="38"/>
      <c r="NHK119" s="38"/>
      <c r="NHQ119" s="36"/>
      <c r="NHR119" s="38"/>
      <c r="NHS119" s="38"/>
      <c r="NHY119" s="36"/>
      <c r="NHZ119" s="38"/>
      <c r="NIA119" s="38"/>
      <c r="NIG119" s="36"/>
      <c r="NIH119" s="38"/>
      <c r="NII119" s="38"/>
      <c r="NIO119" s="36"/>
      <c r="NIP119" s="38"/>
      <c r="NIQ119" s="38"/>
      <c r="NIW119" s="36"/>
      <c r="NIX119" s="38"/>
      <c r="NIY119" s="38"/>
      <c r="NJE119" s="36"/>
      <c r="NJF119" s="38"/>
      <c r="NJG119" s="38"/>
      <c r="NJM119" s="36"/>
      <c r="NJN119" s="38"/>
      <c r="NJO119" s="38"/>
      <c r="NJU119" s="36"/>
      <c r="NJV119" s="38"/>
      <c r="NJW119" s="38"/>
      <c r="NKC119" s="36"/>
      <c r="NKD119" s="38"/>
      <c r="NKE119" s="38"/>
      <c r="NKK119" s="36"/>
      <c r="NKL119" s="38"/>
      <c r="NKM119" s="38"/>
      <c r="NKS119" s="36"/>
      <c r="NKT119" s="38"/>
      <c r="NKU119" s="38"/>
      <c r="NLA119" s="36"/>
      <c r="NLB119" s="38"/>
      <c r="NLC119" s="38"/>
      <c r="NLI119" s="36"/>
      <c r="NLJ119" s="38"/>
      <c r="NLK119" s="38"/>
      <c r="NLQ119" s="36"/>
      <c r="NLR119" s="38"/>
      <c r="NLS119" s="38"/>
      <c r="NLY119" s="36"/>
      <c r="NLZ119" s="38"/>
      <c r="NMA119" s="38"/>
      <c r="NMG119" s="36"/>
      <c r="NMH119" s="38"/>
      <c r="NMI119" s="38"/>
      <c r="NMO119" s="36"/>
      <c r="NMP119" s="38"/>
      <c r="NMQ119" s="38"/>
      <c r="NMW119" s="36"/>
      <c r="NMX119" s="38"/>
      <c r="NMY119" s="38"/>
      <c r="NNE119" s="36"/>
      <c r="NNF119" s="38"/>
      <c r="NNG119" s="38"/>
      <c r="NNM119" s="36"/>
      <c r="NNN119" s="38"/>
      <c r="NNO119" s="38"/>
      <c r="NNU119" s="36"/>
      <c r="NNV119" s="38"/>
      <c r="NNW119" s="38"/>
      <c r="NOC119" s="36"/>
      <c r="NOD119" s="38"/>
      <c r="NOE119" s="38"/>
      <c r="NOK119" s="36"/>
      <c r="NOL119" s="38"/>
      <c r="NOM119" s="38"/>
      <c r="NOS119" s="36"/>
      <c r="NOT119" s="38"/>
      <c r="NOU119" s="38"/>
      <c r="NPA119" s="36"/>
      <c r="NPB119" s="38"/>
      <c r="NPC119" s="38"/>
      <c r="NPI119" s="36"/>
      <c r="NPJ119" s="38"/>
      <c r="NPK119" s="38"/>
      <c r="NPQ119" s="36"/>
      <c r="NPR119" s="38"/>
      <c r="NPS119" s="38"/>
      <c r="NPY119" s="36"/>
      <c r="NPZ119" s="38"/>
      <c r="NQA119" s="38"/>
      <c r="NQG119" s="36"/>
      <c r="NQH119" s="38"/>
      <c r="NQI119" s="38"/>
      <c r="NQO119" s="36"/>
      <c r="NQP119" s="38"/>
      <c r="NQQ119" s="38"/>
      <c r="NQW119" s="36"/>
      <c r="NQX119" s="38"/>
      <c r="NQY119" s="38"/>
      <c r="NRE119" s="36"/>
      <c r="NRF119" s="38"/>
      <c r="NRG119" s="38"/>
      <c r="NRM119" s="36"/>
      <c r="NRN119" s="38"/>
      <c r="NRO119" s="38"/>
      <c r="NRU119" s="36"/>
      <c r="NRV119" s="38"/>
      <c r="NRW119" s="38"/>
      <c r="NSC119" s="36"/>
      <c r="NSD119" s="38"/>
      <c r="NSE119" s="38"/>
      <c r="NSK119" s="36"/>
      <c r="NSL119" s="38"/>
      <c r="NSM119" s="38"/>
      <c r="NSS119" s="36"/>
      <c r="NST119" s="38"/>
      <c r="NSU119" s="38"/>
      <c r="NTA119" s="36"/>
      <c r="NTB119" s="38"/>
      <c r="NTC119" s="38"/>
      <c r="NTI119" s="36"/>
      <c r="NTJ119" s="38"/>
      <c r="NTK119" s="38"/>
      <c r="NTQ119" s="36"/>
      <c r="NTR119" s="38"/>
      <c r="NTS119" s="38"/>
      <c r="NTY119" s="36"/>
      <c r="NTZ119" s="38"/>
      <c r="NUA119" s="38"/>
      <c r="NUG119" s="36"/>
      <c r="NUH119" s="38"/>
      <c r="NUI119" s="38"/>
      <c r="NUO119" s="36"/>
      <c r="NUP119" s="38"/>
      <c r="NUQ119" s="38"/>
      <c r="NUW119" s="36"/>
      <c r="NUX119" s="38"/>
      <c r="NUY119" s="38"/>
      <c r="NVE119" s="36"/>
      <c r="NVF119" s="38"/>
      <c r="NVG119" s="38"/>
      <c r="NVM119" s="36"/>
      <c r="NVN119" s="38"/>
      <c r="NVO119" s="38"/>
      <c r="NVU119" s="36"/>
      <c r="NVV119" s="38"/>
      <c r="NVW119" s="38"/>
      <c r="NWC119" s="36"/>
      <c r="NWD119" s="38"/>
      <c r="NWE119" s="38"/>
      <c r="NWK119" s="36"/>
      <c r="NWL119" s="38"/>
      <c r="NWM119" s="38"/>
      <c r="NWS119" s="36"/>
      <c r="NWT119" s="38"/>
      <c r="NWU119" s="38"/>
      <c r="NXA119" s="36"/>
      <c r="NXB119" s="38"/>
      <c r="NXC119" s="38"/>
      <c r="NXI119" s="36"/>
      <c r="NXJ119" s="38"/>
      <c r="NXK119" s="38"/>
      <c r="NXQ119" s="36"/>
      <c r="NXR119" s="38"/>
      <c r="NXS119" s="38"/>
      <c r="NXY119" s="36"/>
      <c r="NXZ119" s="38"/>
      <c r="NYA119" s="38"/>
      <c r="NYG119" s="36"/>
      <c r="NYH119" s="38"/>
      <c r="NYI119" s="38"/>
      <c r="NYO119" s="36"/>
      <c r="NYP119" s="38"/>
      <c r="NYQ119" s="38"/>
      <c r="NYW119" s="36"/>
      <c r="NYX119" s="38"/>
      <c r="NYY119" s="38"/>
      <c r="NZE119" s="36"/>
      <c r="NZF119" s="38"/>
      <c r="NZG119" s="38"/>
      <c r="NZM119" s="36"/>
      <c r="NZN119" s="38"/>
      <c r="NZO119" s="38"/>
      <c r="NZU119" s="36"/>
      <c r="NZV119" s="38"/>
      <c r="NZW119" s="38"/>
      <c r="OAC119" s="36"/>
      <c r="OAD119" s="38"/>
      <c r="OAE119" s="38"/>
      <c r="OAK119" s="36"/>
      <c r="OAL119" s="38"/>
      <c r="OAM119" s="38"/>
      <c r="OAS119" s="36"/>
      <c r="OAT119" s="38"/>
      <c r="OAU119" s="38"/>
      <c r="OBA119" s="36"/>
      <c r="OBB119" s="38"/>
      <c r="OBC119" s="38"/>
      <c r="OBI119" s="36"/>
      <c r="OBJ119" s="38"/>
      <c r="OBK119" s="38"/>
      <c r="OBQ119" s="36"/>
      <c r="OBR119" s="38"/>
      <c r="OBS119" s="38"/>
      <c r="OBY119" s="36"/>
      <c r="OBZ119" s="38"/>
      <c r="OCA119" s="38"/>
      <c r="OCG119" s="36"/>
      <c r="OCH119" s="38"/>
      <c r="OCI119" s="38"/>
      <c r="OCO119" s="36"/>
      <c r="OCP119" s="38"/>
      <c r="OCQ119" s="38"/>
      <c r="OCW119" s="36"/>
      <c r="OCX119" s="38"/>
      <c r="OCY119" s="38"/>
      <c r="ODE119" s="36"/>
      <c r="ODF119" s="38"/>
      <c r="ODG119" s="38"/>
      <c r="ODM119" s="36"/>
      <c r="ODN119" s="38"/>
      <c r="ODO119" s="38"/>
      <c r="ODU119" s="36"/>
      <c r="ODV119" s="38"/>
      <c r="ODW119" s="38"/>
      <c r="OEC119" s="36"/>
      <c r="OED119" s="38"/>
      <c r="OEE119" s="38"/>
      <c r="OEK119" s="36"/>
      <c r="OEL119" s="38"/>
      <c r="OEM119" s="38"/>
      <c r="OES119" s="36"/>
      <c r="OET119" s="38"/>
      <c r="OEU119" s="38"/>
      <c r="OFA119" s="36"/>
      <c r="OFB119" s="38"/>
      <c r="OFC119" s="38"/>
      <c r="OFI119" s="36"/>
      <c r="OFJ119" s="38"/>
      <c r="OFK119" s="38"/>
      <c r="OFQ119" s="36"/>
      <c r="OFR119" s="38"/>
      <c r="OFS119" s="38"/>
      <c r="OFY119" s="36"/>
      <c r="OFZ119" s="38"/>
      <c r="OGA119" s="38"/>
      <c r="OGG119" s="36"/>
      <c r="OGH119" s="38"/>
      <c r="OGI119" s="38"/>
      <c r="OGO119" s="36"/>
      <c r="OGP119" s="38"/>
      <c r="OGQ119" s="38"/>
      <c r="OGW119" s="36"/>
      <c r="OGX119" s="38"/>
      <c r="OGY119" s="38"/>
      <c r="OHE119" s="36"/>
      <c r="OHF119" s="38"/>
      <c r="OHG119" s="38"/>
      <c r="OHM119" s="36"/>
      <c r="OHN119" s="38"/>
      <c r="OHO119" s="38"/>
      <c r="OHU119" s="36"/>
      <c r="OHV119" s="38"/>
      <c r="OHW119" s="38"/>
      <c r="OIC119" s="36"/>
      <c r="OID119" s="38"/>
      <c r="OIE119" s="38"/>
      <c r="OIK119" s="36"/>
      <c r="OIL119" s="38"/>
      <c r="OIM119" s="38"/>
      <c r="OIS119" s="36"/>
      <c r="OIT119" s="38"/>
      <c r="OIU119" s="38"/>
      <c r="OJA119" s="36"/>
      <c r="OJB119" s="38"/>
      <c r="OJC119" s="38"/>
      <c r="OJI119" s="36"/>
      <c r="OJJ119" s="38"/>
      <c r="OJK119" s="38"/>
      <c r="OJQ119" s="36"/>
      <c r="OJR119" s="38"/>
      <c r="OJS119" s="38"/>
      <c r="OJY119" s="36"/>
      <c r="OJZ119" s="38"/>
      <c r="OKA119" s="38"/>
      <c r="OKG119" s="36"/>
      <c r="OKH119" s="38"/>
      <c r="OKI119" s="38"/>
      <c r="OKO119" s="36"/>
      <c r="OKP119" s="38"/>
      <c r="OKQ119" s="38"/>
      <c r="OKW119" s="36"/>
      <c r="OKX119" s="38"/>
      <c r="OKY119" s="38"/>
      <c r="OLE119" s="36"/>
      <c r="OLF119" s="38"/>
      <c r="OLG119" s="38"/>
      <c r="OLM119" s="36"/>
      <c r="OLN119" s="38"/>
      <c r="OLO119" s="38"/>
      <c r="OLU119" s="36"/>
      <c r="OLV119" s="38"/>
      <c r="OLW119" s="38"/>
      <c r="OMC119" s="36"/>
      <c r="OMD119" s="38"/>
      <c r="OME119" s="38"/>
      <c r="OMK119" s="36"/>
      <c r="OML119" s="38"/>
      <c r="OMM119" s="38"/>
      <c r="OMS119" s="36"/>
      <c r="OMT119" s="38"/>
      <c r="OMU119" s="38"/>
      <c r="ONA119" s="36"/>
      <c r="ONB119" s="38"/>
      <c r="ONC119" s="38"/>
      <c r="ONI119" s="36"/>
      <c r="ONJ119" s="38"/>
      <c r="ONK119" s="38"/>
      <c r="ONQ119" s="36"/>
      <c r="ONR119" s="38"/>
      <c r="ONS119" s="38"/>
      <c r="ONY119" s="36"/>
      <c r="ONZ119" s="38"/>
      <c r="OOA119" s="38"/>
      <c r="OOG119" s="36"/>
      <c r="OOH119" s="38"/>
      <c r="OOI119" s="38"/>
      <c r="OOO119" s="36"/>
      <c r="OOP119" s="38"/>
      <c r="OOQ119" s="38"/>
      <c r="OOW119" s="36"/>
      <c r="OOX119" s="38"/>
      <c r="OOY119" s="38"/>
      <c r="OPE119" s="36"/>
      <c r="OPF119" s="38"/>
      <c r="OPG119" s="38"/>
      <c r="OPM119" s="36"/>
      <c r="OPN119" s="38"/>
      <c r="OPO119" s="38"/>
      <c r="OPU119" s="36"/>
      <c r="OPV119" s="38"/>
      <c r="OPW119" s="38"/>
      <c r="OQC119" s="36"/>
      <c r="OQD119" s="38"/>
      <c r="OQE119" s="38"/>
      <c r="OQK119" s="36"/>
      <c r="OQL119" s="38"/>
      <c r="OQM119" s="38"/>
      <c r="OQS119" s="36"/>
      <c r="OQT119" s="38"/>
      <c r="OQU119" s="38"/>
      <c r="ORA119" s="36"/>
      <c r="ORB119" s="38"/>
      <c r="ORC119" s="38"/>
      <c r="ORI119" s="36"/>
      <c r="ORJ119" s="38"/>
      <c r="ORK119" s="38"/>
      <c r="ORQ119" s="36"/>
      <c r="ORR119" s="38"/>
      <c r="ORS119" s="38"/>
      <c r="ORY119" s="36"/>
      <c r="ORZ119" s="38"/>
      <c r="OSA119" s="38"/>
      <c r="OSG119" s="36"/>
      <c r="OSH119" s="38"/>
      <c r="OSI119" s="38"/>
      <c r="OSO119" s="36"/>
      <c r="OSP119" s="38"/>
      <c r="OSQ119" s="38"/>
      <c r="OSW119" s="36"/>
      <c r="OSX119" s="38"/>
      <c r="OSY119" s="38"/>
      <c r="OTE119" s="36"/>
      <c r="OTF119" s="38"/>
      <c r="OTG119" s="38"/>
      <c r="OTM119" s="36"/>
      <c r="OTN119" s="38"/>
      <c r="OTO119" s="38"/>
      <c r="OTU119" s="36"/>
      <c r="OTV119" s="38"/>
      <c r="OTW119" s="38"/>
      <c r="OUC119" s="36"/>
      <c r="OUD119" s="38"/>
      <c r="OUE119" s="38"/>
      <c r="OUK119" s="36"/>
      <c r="OUL119" s="38"/>
      <c r="OUM119" s="38"/>
      <c r="OUS119" s="36"/>
      <c r="OUT119" s="38"/>
      <c r="OUU119" s="38"/>
      <c r="OVA119" s="36"/>
      <c r="OVB119" s="38"/>
      <c r="OVC119" s="38"/>
      <c r="OVI119" s="36"/>
      <c r="OVJ119" s="38"/>
      <c r="OVK119" s="38"/>
      <c r="OVQ119" s="36"/>
      <c r="OVR119" s="38"/>
      <c r="OVS119" s="38"/>
      <c r="OVY119" s="36"/>
      <c r="OVZ119" s="38"/>
      <c r="OWA119" s="38"/>
      <c r="OWG119" s="36"/>
      <c r="OWH119" s="38"/>
      <c r="OWI119" s="38"/>
      <c r="OWO119" s="36"/>
      <c r="OWP119" s="38"/>
      <c r="OWQ119" s="38"/>
      <c r="OWW119" s="36"/>
      <c r="OWX119" s="38"/>
      <c r="OWY119" s="38"/>
      <c r="OXE119" s="36"/>
      <c r="OXF119" s="38"/>
      <c r="OXG119" s="38"/>
      <c r="OXM119" s="36"/>
      <c r="OXN119" s="38"/>
      <c r="OXO119" s="38"/>
      <c r="OXU119" s="36"/>
      <c r="OXV119" s="38"/>
      <c r="OXW119" s="38"/>
      <c r="OYC119" s="36"/>
      <c r="OYD119" s="38"/>
      <c r="OYE119" s="38"/>
      <c r="OYK119" s="36"/>
      <c r="OYL119" s="38"/>
      <c r="OYM119" s="38"/>
      <c r="OYS119" s="36"/>
      <c r="OYT119" s="38"/>
      <c r="OYU119" s="38"/>
      <c r="OZA119" s="36"/>
      <c r="OZB119" s="38"/>
      <c r="OZC119" s="38"/>
      <c r="OZI119" s="36"/>
      <c r="OZJ119" s="38"/>
      <c r="OZK119" s="38"/>
      <c r="OZQ119" s="36"/>
      <c r="OZR119" s="38"/>
      <c r="OZS119" s="38"/>
      <c r="OZY119" s="36"/>
      <c r="OZZ119" s="38"/>
      <c r="PAA119" s="38"/>
      <c r="PAG119" s="36"/>
      <c r="PAH119" s="38"/>
      <c r="PAI119" s="38"/>
      <c r="PAO119" s="36"/>
      <c r="PAP119" s="38"/>
      <c r="PAQ119" s="38"/>
      <c r="PAW119" s="36"/>
      <c r="PAX119" s="38"/>
      <c r="PAY119" s="38"/>
      <c r="PBE119" s="36"/>
      <c r="PBF119" s="38"/>
      <c r="PBG119" s="38"/>
      <c r="PBM119" s="36"/>
      <c r="PBN119" s="38"/>
      <c r="PBO119" s="38"/>
      <c r="PBU119" s="36"/>
      <c r="PBV119" s="38"/>
      <c r="PBW119" s="38"/>
      <c r="PCC119" s="36"/>
      <c r="PCD119" s="38"/>
      <c r="PCE119" s="38"/>
      <c r="PCK119" s="36"/>
      <c r="PCL119" s="38"/>
      <c r="PCM119" s="38"/>
      <c r="PCS119" s="36"/>
      <c r="PCT119" s="38"/>
      <c r="PCU119" s="38"/>
      <c r="PDA119" s="36"/>
      <c r="PDB119" s="38"/>
      <c r="PDC119" s="38"/>
      <c r="PDI119" s="36"/>
      <c r="PDJ119" s="38"/>
      <c r="PDK119" s="38"/>
      <c r="PDQ119" s="36"/>
      <c r="PDR119" s="38"/>
      <c r="PDS119" s="38"/>
      <c r="PDY119" s="36"/>
      <c r="PDZ119" s="38"/>
      <c r="PEA119" s="38"/>
      <c r="PEG119" s="36"/>
      <c r="PEH119" s="38"/>
      <c r="PEI119" s="38"/>
      <c r="PEO119" s="36"/>
      <c r="PEP119" s="38"/>
      <c r="PEQ119" s="38"/>
      <c r="PEW119" s="36"/>
      <c r="PEX119" s="38"/>
      <c r="PEY119" s="38"/>
      <c r="PFE119" s="36"/>
      <c r="PFF119" s="38"/>
      <c r="PFG119" s="38"/>
      <c r="PFM119" s="36"/>
      <c r="PFN119" s="38"/>
      <c r="PFO119" s="38"/>
      <c r="PFU119" s="36"/>
      <c r="PFV119" s="38"/>
      <c r="PFW119" s="38"/>
      <c r="PGC119" s="36"/>
      <c r="PGD119" s="38"/>
      <c r="PGE119" s="38"/>
      <c r="PGK119" s="36"/>
      <c r="PGL119" s="38"/>
      <c r="PGM119" s="38"/>
      <c r="PGS119" s="36"/>
      <c r="PGT119" s="38"/>
      <c r="PGU119" s="38"/>
      <c r="PHA119" s="36"/>
      <c r="PHB119" s="38"/>
      <c r="PHC119" s="38"/>
      <c r="PHI119" s="36"/>
      <c r="PHJ119" s="38"/>
      <c r="PHK119" s="38"/>
      <c r="PHQ119" s="36"/>
      <c r="PHR119" s="38"/>
      <c r="PHS119" s="38"/>
      <c r="PHY119" s="36"/>
      <c r="PHZ119" s="38"/>
      <c r="PIA119" s="38"/>
      <c r="PIG119" s="36"/>
      <c r="PIH119" s="38"/>
      <c r="PII119" s="38"/>
      <c r="PIO119" s="36"/>
      <c r="PIP119" s="38"/>
      <c r="PIQ119" s="38"/>
      <c r="PIW119" s="36"/>
      <c r="PIX119" s="38"/>
      <c r="PIY119" s="38"/>
      <c r="PJE119" s="36"/>
      <c r="PJF119" s="38"/>
      <c r="PJG119" s="38"/>
      <c r="PJM119" s="36"/>
      <c r="PJN119" s="38"/>
      <c r="PJO119" s="38"/>
      <c r="PJU119" s="36"/>
      <c r="PJV119" s="38"/>
      <c r="PJW119" s="38"/>
      <c r="PKC119" s="36"/>
      <c r="PKD119" s="38"/>
      <c r="PKE119" s="38"/>
      <c r="PKK119" s="36"/>
      <c r="PKL119" s="38"/>
      <c r="PKM119" s="38"/>
      <c r="PKS119" s="36"/>
      <c r="PKT119" s="38"/>
      <c r="PKU119" s="38"/>
      <c r="PLA119" s="36"/>
      <c r="PLB119" s="38"/>
      <c r="PLC119" s="38"/>
      <c r="PLI119" s="36"/>
      <c r="PLJ119" s="38"/>
      <c r="PLK119" s="38"/>
      <c r="PLQ119" s="36"/>
      <c r="PLR119" s="38"/>
      <c r="PLS119" s="38"/>
      <c r="PLY119" s="36"/>
      <c r="PLZ119" s="38"/>
      <c r="PMA119" s="38"/>
      <c r="PMG119" s="36"/>
      <c r="PMH119" s="38"/>
      <c r="PMI119" s="38"/>
      <c r="PMO119" s="36"/>
      <c r="PMP119" s="38"/>
      <c r="PMQ119" s="38"/>
      <c r="PMW119" s="36"/>
      <c r="PMX119" s="38"/>
      <c r="PMY119" s="38"/>
      <c r="PNE119" s="36"/>
      <c r="PNF119" s="38"/>
      <c r="PNG119" s="38"/>
      <c r="PNM119" s="36"/>
      <c r="PNN119" s="38"/>
      <c r="PNO119" s="38"/>
      <c r="PNU119" s="36"/>
      <c r="PNV119" s="38"/>
      <c r="PNW119" s="38"/>
      <c r="POC119" s="36"/>
      <c r="POD119" s="38"/>
      <c r="POE119" s="38"/>
      <c r="POK119" s="36"/>
      <c r="POL119" s="38"/>
      <c r="POM119" s="38"/>
      <c r="POS119" s="36"/>
      <c r="POT119" s="38"/>
      <c r="POU119" s="38"/>
      <c r="PPA119" s="36"/>
      <c r="PPB119" s="38"/>
      <c r="PPC119" s="38"/>
      <c r="PPI119" s="36"/>
      <c r="PPJ119" s="38"/>
      <c r="PPK119" s="38"/>
      <c r="PPQ119" s="36"/>
      <c r="PPR119" s="38"/>
      <c r="PPS119" s="38"/>
      <c r="PPY119" s="36"/>
      <c r="PPZ119" s="38"/>
      <c r="PQA119" s="38"/>
      <c r="PQG119" s="36"/>
      <c r="PQH119" s="38"/>
      <c r="PQI119" s="38"/>
      <c r="PQO119" s="36"/>
      <c r="PQP119" s="38"/>
      <c r="PQQ119" s="38"/>
      <c r="PQW119" s="36"/>
      <c r="PQX119" s="38"/>
      <c r="PQY119" s="38"/>
      <c r="PRE119" s="36"/>
      <c r="PRF119" s="38"/>
      <c r="PRG119" s="38"/>
      <c r="PRM119" s="36"/>
      <c r="PRN119" s="38"/>
      <c r="PRO119" s="38"/>
      <c r="PRU119" s="36"/>
      <c r="PRV119" s="38"/>
      <c r="PRW119" s="38"/>
      <c r="PSC119" s="36"/>
      <c r="PSD119" s="38"/>
      <c r="PSE119" s="38"/>
      <c r="PSK119" s="36"/>
      <c r="PSL119" s="38"/>
      <c r="PSM119" s="38"/>
      <c r="PSS119" s="36"/>
      <c r="PST119" s="38"/>
      <c r="PSU119" s="38"/>
      <c r="PTA119" s="36"/>
      <c r="PTB119" s="38"/>
      <c r="PTC119" s="38"/>
      <c r="PTI119" s="36"/>
      <c r="PTJ119" s="38"/>
      <c r="PTK119" s="38"/>
      <c r="PTQ119" s="36"/>
      <c r="PTR119" s="38"/>
      <c r="PTS119" s="38"/>
      <c r="PTY119" s="36"/>
      <c r="PTZ119" s="38"/>
      <c r="PUA119" s="38"/>
      <c r="PUG119" s="36"/>
      <c r="PUH119" s="38"/>
      <c r="PUI119" s="38"/>
      <c r="PUO119" s="36"/>
      <c r="PUP119" s="38"/>
      <c r="PUQ119" s="38"/>
      <c r="PUW119" s="36"/>
      <c r="PUX119" s="38"/>
      <c r="PUY119" s="38"/>
      <c r="PVE119" s="36"/>
      <c r="PVF119" s="38"/>
      <c r="PVG119" s="38"/>
      <c r="PVM119" s="36"/>
      <c r="PVN119" s="38"/>
      <c r="PVO119" s="38"/>
      <c r="PVU119" s="36"/>
      <c r="PVV119" s="38"/>
      <c r="PVW119" s="38"/>
      <c r="PWC119" s="36"/>
      <c r="PWD119" s="38"/>
      <c r="PWE119" s="38"/>
      <c r="PWK119" s="36"/>
      <c r="PWL119" s="38"/>
      <c r="PWM119" s="38"/>
      <c r="PWS119" s="36"/>
      <c r="PWT119" s="38"/>
      <c r="PWU119" s="38"/>
      <c r="PXA119" s="36"/>
      <c r="PXB119" s="38"/>
      <c r="PXC119" s="38"/>
      <c r="PXI119" s="36"/>
      <c r="PXJ119" s="38"/>
      <c r="PXK119" s="38"/>
      <c r="PXQ119" s="36"/>
      <c r="PXR119" s="38"/>
      <c r="PXS119" s="38"/>
      <c r="PXY119" s="36"/>
      <c r="PXZ119" s="38"/>
      <c r="PYA119" s="38"/>
      <c r="PYG119" s="36"/>
      <c r="PYH119" s="38"/>
      <c r="PYI119" s="38"/>
      <c r="PYO119" s="36"/>
      <c r="PYP119" s="38"/>
      <c r="PYQ119" s="38"/>
      <c r="PYW119" s="36"/>
      <c r="PYX119" s="38"/>
      <c r="PYY119" s="38"/>
      <c r="PZE119" s="36"/>
      <c r="PZF119" s="38"/>
      <c r="PZG119" s="38"/>
      <c r="PZM119" s="36"/>
      <c r="PZN119" s="38"/>
      <c r="PZO119" s="38"/>
      <c r="PZU119" s="36"/>
      <c r="PZV119" s="38"/>
      <c r="PZW119" s="38"/>
      <c r="QAC119" s="36"/>
      <c r="QAD119" s="38"/>
      <c r="QAE119" s="38"/>
      <c r="QAK119" s="36"/>
      <c r="QAL119" s="38"/>
      <c r="QAM119" s="38"/>
      <c r="QAS119" s="36"/>
      <c r="QAT119" s="38"/>
      <c r="QAU119" s="38"/>
      <c r="QBA119" s="36"/>
      <c r="QBB119" s="38"/>
      <c r="QBC119" s="38"/>
      <c r="QBI119" s="36"/>
      <c r="QBJ119" s="38"/>
      <c r="QBK119" s="38"/>
      <c r="QBQ119" s="36"/>
      <c r="QBR119" s="38"/>
      <c r="QBS119" s="38"/>
      <c r="QBY119" s="36"/>
      <c r="QBZ119" s="38"/>
      <c r="QCA119" s="38"/>
      <c r="QCG119" s="36"/>
      <c r="QCH119" s="38"/>
      <c r="QCI119" s="38"/>
      <c r="QCO119" s="36"/>
      <c r="QCP119" s="38"/>
      <c r="QCQ119" s="38"/>
      <c r="QCW119" s="36"/>
      <c r="QCX119" s="38"/>
      <c r="QCY119" s="38"/>
      <c r="QDE119" s="36"/>
      <c r="QDF119" s="38"/>
      <c r="QDG119" s="38"/>
      <c r="QDM119" s="36"/>
      <c r="QDN119" s="38"/>
      <c r="QDO119" s="38"/>
      <c r="QDU119" s="36"/>
      <c r="QDV119" s="38"/>
      <c r="QDW119" s="38"/>
      <c r="QEC119" s="36"/>
      <c r="QED119" s="38"/>
      <c r="QEE119" s="38"/>
      <c r="QEK119" s="36"/>
      <c r="QEL119" s="38"/>
      <c r="QEM119" s="38"/>
      <c r="QES119" s="36"/>
      <c r="QET119" s="38"/>
      <c r="QEU119" s="38"/>
      <c r="QFA119" s="36"/>
      <c r="QFB119" s="38"/>
      <c r="QFC119" s="38"/>
      <c r="QFI119" s="36"/>
      <c r="QFJ119" s="38"/>
      <c r="QFK119" s="38"/>
      <c r="QFQ119" s="36"/>
      <c r="QFR119" s="38"/>
      <c r="QFS119" s="38"/>
      <c r="QFY119" s="36"/>
      <c r="QFZ119" s="38"/>
      <c r="QGA119" s="38"/>
      <c r="QGG119" s="36"/>
      <c r="QGH119" s="38"/>
      <c r="QGI119" s="38"/>
      <c r="QGO119" s="36"/>
      <c r="QGP119" s="38"/>
      <c r="QGQ119" s="38"/>
      <c r="QGW119" s="36"/>
      <c r="QGX119" s="38"/>
      <c r="QGY119" s="38"/>
      <c r="QHE119" s="36"/>
      <c r="QHF119" s="38"/>
      <c r="QHG119" s="38"/>
      <c r="QHM119" s="36"/>
      <c r="QHN119" s="38"/>
      <c r="QHO119" s="38"/>
      <c r="QHU119" s="36"/>
      <c r="QHV119" s="38"/>
      <c r="QHW119" s="38"/>
      <c r="QIC119" s="36"/>
      <c r="QID119" s="38"/>
      <c r="QIE119" s="38"/>
      <c r="QIK119" s="36"/>
      <c r="QIL119" s="38"/>
      <c r="QIM119" s="38"/>
      <c r="QIS119" s="36"/>
      <c r="QIT119" s="38"/>
      <c r="QIU119" s="38"/>
      <c r="QJA119" s="36"/>
      <c r="QJB119" s="38"/>
      <c r="QJC119" s="38"/>
      <c r="QJI119" s="36"/>
      <c r="QJJ119" s="38"/>
      <c r="QJK119" s="38"/>
      <c r="QJQ119" s="36"/>
      <c r="QJR119" s="38"/>
      <c r="QJS119" s="38"/>
      <c r="QJY119" s="36"/>
      <c r="QJZ119" s="38"/>
      <c r="QKA119" s="38"/>
      <c r="QKG119" s="36"/>
      <c r="QKH119" s="38"/>
      <c r="QKI119" s="38"/>
      <c r="QKO119" s="36"/>
      <c r="QKP119" s="38"/>
      <c r="QKQ119" s="38"/>
      <c r="QKW119" s="36"/>
      <c r="QKX119" s="38"/>
      <c r="QKY119" s="38"/>
      <c r="QLE119" s="36"/>
      <c r="QLF119" s="38"/>
      <c r="QLG119" s="38"/>
      <c r="QLM119" s="36"/>
      <c r="QLN119" s="38"/>
      <c r="QLO119" s="38"/>
      <c r="QLU119" s="36"/>
      <c r="QLV119" s="38"/>
      <c r="QLW119" s="38"/>
      <c r="QMC119" s="36"/>
      <c r="QMD119" s="38"/>
      <c r="QME119" s="38"/>
      <c r="QMK119" s="36"/>
      <c r="QML119" s="38"/>
      <c r="QMM119" s="38"/>
      <c r="QMS119" s="36"/>
      <c r="QMT119" s="38"/>
      <c r="QMU119" s="38"/>
      <c r="QNA119" s="36"/>
      <c r="QNB119" s="38"/>
      <c r="QNC119" s="38"/>
      <c r="QNI119" s="36"/>
      <c r="QNJ119" s="38"/>
      <c r="QNK119" s="38"/>
      <c r="QNQ119" s="36"/>
      <c r="QNR119" s="38"/>
      <c r="QNS119" s="38"/>
      <c r="QNY119" s="36"/>
      <c r="QNZ119" s="38"/>
      <c r="QOA119" s="38"/>
      <c r="QOG119" s="36"/>
      <c r="QOH119" s="38"/>
      <c r="QOI119" s="38"/>
      <c r="QOO119" s="36"/>
      <c r="QOP119" s="38"/>
      <c r="QOQ119" s="38"/>
      <c r="QOW119" s="36"/>
      <c r="QOX119" s="38"/>
      <c r="QOY119" s="38"/>
      <c r="QPE119" s="36"/>
      <c r="QPF119" s="38"/>
      <c r="QPG119" s="38"/>
      <c r="QPM119" s="36"/>
      <c r="QPN119" s="38"/>
      <c r="QPO119" s="38"/>
      <c r="QPU119" s="36"/>
      <c r="QPV119" s="38"/>
      <c r="QPW119" s="38"/>
      <c r="QQC119" s="36"/>
      <c r="QQD119" s="38"/>
      <c r="QQE119" s="38"/>
      <c r="QQK119" s="36"/>
      <c r="QQL119" s="38"/>
      <c r="QQM119" s="38"/>
      <c r="QQS119" s="36"/>
      <c r="QQT119" s="38"/>
      <c r="QQU119" s="38"/>
      <c r="QRA119" s="36"/>
      <c r="QRB119" s="38"/>
      <c r="QRC119" s="38"/>
      <c r="QRI119" s="36"/>
      <c r="QRJ119" s="38"/>
      <c r="QRK119" s="38"/>
      <c r="QRQ119" s="36"/>
      <c r="QRR119" s="38"/>
      <c r="QRS119" s="38"/>
      <c r="QRY119" s="36"/>
      <c r="QRZ119" s="38"/>
      <c r="QSA119" s="38"/>
      <c r="QSG119" s="36"/>
      <c r="QSH119" s="38"/>
      <c r="QSI119" s="38"/>
      <c r="QSO119" s="36"/>
      <c r="QSP119" s="38"/>
      <c r="QSQ119" s="38"/>
      <c r="QSW119" s="36"/>
      <c r="QSX119" s="38"/>
      <c r="QSY119" s="38"/>
      <c r="QTE119" s="36"/>
      <c r="QTF119" s="38"/>
      <c r="QTG119" s="38"/>
      <c r="QTM119" s="36"/>
      <c r="QTN119" s="38"/>
      <c r="QTO119" s="38"/>
      <c r="QTU119" s="36"/>
      <c r="QTV119" s="38"/>
      <c r="QTW119" s="38"/>
      <c r="QUC119" s="36"/>
      <c r="QUD119" s="38"/>
      <c r="QUE119" s="38"/>
      <c r="QUK119" s="36"/>
      <c r="QUL119" s="38"/>
      <c r="QUM119" s="38"/>
      <c r="QUS119" s="36"/>
      <c r="QUT119" s="38"/>
      <c r="QUU119" s="38"/>
      <c r="QVA119" s="36"/>
      <c r="QVB119" s="38"/>
      <c r="QVC119" s="38"/>
      <c r="QVI119" s="36"/>
      <c r="QVJ119" s="38"/>
      <c r="QVK119" s="38"/>
      <c r="QVQ119" s="36"/>
      <c r="QVR119" s="38"/>
      <c r="QVS119" s="38"/>
      <c r="QVY119" s="36"/>
      <c r="QVZ119" s="38"/>
      <c r="QWA119" s="38"/>
      <c r="QWG119" s="36"/>
      <c r="QWH119" s="38"/>
      <c r="QWI119" s="38"/>
      <c r="QWO119" s="36"/>
      <c r="QWP119" s="38"/>
      <c r="QWQ119" s="38"/>
      <c r="QWW119" s="36"/>
      <c r="QWX119" s="38"/>
      <c r="QWY119" s="38"/>
      <c r="QXE119" s="36"/>
      <c r="QXF119" s="38"/>
      <c r="QXG119" s="38"/>
      <c r="QXM119" s="36"/>
      <c r="QXN119" s="38"/>
      <c r="QXO119" s="38"/>
      <c r="QXU119" s="36"/>
      <c r="QXV119" s="38"/>
      <c r="QXW119" s="38"/>
      <c r="QYC119" s="36"/>
      <c r="QYD119" s="38"/>
      <c r="QYE119" s="38"/>
      <c r="QYK119" s="36"/>
      <c r="QYL119" s="38"/>
      <c r="QYM119" s="38"/>
      <c r="QYS119" s="36"/>
      <c r="QYT119" s="38"/>
      <c r="QYU119" s="38"/>
      <c r="QZA119" s="36"/>
      <c r="QZB119" s="38"/>
      <c r="QZC119" s="38"/>
      <c r="QZI119" s="36"/>
      <c r="QZJ119" s="38"/>
      <c r="QZK119" s="38"/>
      <c r="QZQ119" s="36"/>
      <c r="QZR119" s="38"/>
      <c r="QZS119" s="38"/>
      <c r="QZY119" s="36"/>
      <c r="QZZ119" s="38"/>
      <c r="RAA119" s="38"/>
      <c r="RAG119" s="36"/>
      <c r="RAH119" s="38"/>
      <c r="RAI119" s="38"/>
      <c r="RAO119" s="36"/>
      <c r="RAP119" s="38"/>
      <c r="RAQ119" s="38"/>
      <c r="RAW119" s="36"/>
      <c r="RAX119" s="38"/>
      <c r="RAY119" s="38"/>
      <c r="RBE119" s="36"/>
      <c r="RBF119" s="38"/>
      <c r="RBG119" s="38"/>
      <c r="RBM119" s="36"/>
      <c r="RBN119" s="38"/>
      <c r="RBO119" s="38"/>
      <c r="RBU119" s="36"/>
      <c r="RBV119" s="38"/>
      <c r="RBW119" s="38"/>
      <c r="RCC119" s="36"/>
      <c r="RCD119" s="38"/>
      <c r="RCE119" s="38"/>
      <c r="RCK119" s="36"/>
      <c r="RCL119" s="38"/>
      <c r="RCM119" s="38"/>
      <c r="RCS119" s="36"/>
      <c r="RCT119" s="38"/>
      <c r="RCU119" s="38"/>
      <c r="RDA119" s="36"/>
      <c r="RDB119" s="38"/>
      <c r="RDC119" s="38"/>
      <c r="RDI119" s="36"/>
      <c r="RDJ119" s="38"/>
      <c r="RDK119" s="38"/>
      <c r="RDQ119" s="36"/>
      <c r="RDR119" s="38"/>
      <c r="RDS119" s="38"/>
      <c r="RDY119" s="36"/>
      <c r="RDZ119" s="38"/>
      <c r="REA119" s="38"/>
      <c r="REG119" s="36"/>
      <c r="REH119" s="38"/>
      <c r="REI119" s="38"/>
      <c r="REO119" s="36"/>
      <c r="REP119" s="38"/>
      <c r="REQ119" s="38"/>
      <c r="REW119" s="36"/>
      <c r="REX119" s="38"/>
      <c r="REY119" s="38"/>
      <c r="RFE119" s="36"/>
      <c r="RFF119" s="38"/>
      <c r="RFG119" s="38"/>
      <c r="RFM119" s="36"/>
      <c r="RFN119" s="38"/>
      <c r="RFO119" s="38"/>
      <c r="RFU119" s="36"/>
      <c r="RFV119" s="38"/>
      <c r="RFW119" s="38"/>
      <c r="RGC119" s="36"/>
      <c r="RGD119" s="38"/>
      <c r="RGE119" s="38"/>
      <c r="RGK119" s="36"/>
      <c r="RGL119" s="38"/>
      <c r="RGM119" s="38"/>
      <c r="RGS119" s="36"/>
      <c r="RGT119" s="38"/>
      <c r="RGU119" s="38"/>
      <c r="RHA119" s="36"/>
      <c r="RHB119" s="38"/>
      <c r="RHC119" s="38"/>
      <c r="RHI119" s="36"/>
      <c r="RHJ119" s="38"/>
      <c r="RHK119" s="38"/>
      <c r="RHQ119" s="36"/>
      <c r="RHR119" s="38"/>
      <c r="RHS119" s="38"/>
      <c r="RHY119" s="36"/>
      <c r="RHZ119" s="38"/>
      <c r="RIA119" s="38"/>
      <c r="RIG119" s="36"/>
      <c r="RIH119" s="38"/>
      <c r="RII119" s="38"/>
      <c r="RIO119" s="36"/>
      <c r="RIP119" s="38"/>
      <c r="RIQ119" s="38"/>
      <c r="RIW119" s="36"/>
      <c r="RIX119" s="38"/>
      <c r="RIY119" s="38"/>
      <c r="RJE119" s="36"/>
      <c r="RJF119" s="38"/>
      <c r="RJG119" s="38"/>
      <c r="RJM119" s="36"/>
      <c r="RJN119" s="38"/>
      <c r="RJO119" s="38"/>
      <c r="RJU119" s="36"/>
      <c r="RJV119" s="38"/>
      <c r="RJW119" s="38"/>
      <c r="RKC119" s="36"/>
      <c r="RKD119" s="38"/>
      <c r="RKE119" s="38"/>
      <c r="RKK119" s="36"/>
      <c r="RKL119" s="38"/>
      <c r="RKM119" s="38"/>
      <c r="RKS119" s="36"/>
      <c r="RKT119" s="38"/>
      <c r="RKU119" s="38"/>
      <c r="RLA119" s="36"/>
      <c r="RLB119" s="38"/>
      <c r="RLC119" s="38"/>
      <c r="RLI119" s="36"/>
      <c r="RLJ119" s="38"/>
      <c r="RLK119" s="38"/>
      <c r="RLQ119" s="36"/>
      <c r="RLR119" s="38"/>
      <c r="RLS119" s="38"/>
      <c r="RLY119" s="36"/>
      <c r="RLZ119" s="38"/>
      <c r="RMA119" s="38"/>
      <c r="RMG119" s="36"/>
      <c r="RMH119" s="38"/>
      <c r="RMI119" s="38"/>
      <c r="RMO119" s="36"/>
      <c r="RMP119" s="38"/>
      <c r="RMQ119" s="38"/>
      <c r="RMW119" s="36"/>
      <c r="RMX119" s="38"/>
      <c r="RMY119" s="38"/>
      <c r="RNE119" s="36"/>
      <c r="RNF119" s="38"/>
      <c r="RNG119" s="38"/>
      <c r="RNM119" s="36"/>
      <c r="RNN119" s="38"/>
      <c r="RNO119" s="38"/>
      <c r="RNU119" s="36"/>
      <c r="RNV119" s="38"/>
      <c r="RNW119" s="38"/>
      <c r="ROC119" s="36"/>
      <c r="ROD119" s="38"/>
      <c r="ROE119" s="38"/>
      <c r="ROK119" s="36"/>
      <c r="ROL119" s="38"/>
      <c r="ROM119" s="38"/>
      <c r="ROS119" s="36"/>
      <c r="ROT119" s="38"/>
      <c r="ROU119" s="38"/>
      <c r="RPA119" s="36"/>
      <c r="RPB119" s="38"/>
      <c r="RPC119" s="38"/>
      <c r="RPI119" s="36"/>
      <c r="RPJ119" s="38"/>
      <c r="RPK119" s="38"/>
      <c r="RPQ119" s="36"/>
      <c r="RPR119" s="38"/>
      <c r="RPS119" s="38"/>
      <c r="RPY119" s="36"/>
      <c r="RPZ119" s="38"/>
      <c r="RQA119" s="38"/>
      <c r="RQG119" s="36"/>
      <c r="RQH119" s="38"/>
      <c r="RQI119" s="38"/>
      <c r="RQO119" s="36"/>
      <c r="RQP119" s="38"/>
      <c r="RQQ119" s="38"/>
      <c r="RQW119" s="36"/>
      <c r="RQX119" s="38"/>
      <c r="RQY119" s="38"/>
      <c r="RRE119" s="36"/>
      <c r="RRF119" s="38"/>
      <c r="RRG119" s="38"/>
      <c r="RRM119" s="36"/>
      <c r="RRN119" s="38"/>
      <c r="RRO119" s="38"/>
      <c r="RRU119" s="36"/>
      <c r="RRV119" s="38"/>
      <c r="RRW119" s="38"/>
      <c r="RSC119" s="36"/>
      <c r="RSD119" s="38"/>
      <c r="RSE119" s="38"/>
      <c r="RSK119" s="36"/>
      <c r="RSL119" s="38"/>
      <c r="RSM119" s="38"/>
      <c r="RSS119" s="36"/>
      <c r="RST119" s="38"/>
      <c r="RSU119" s="38"/>
      <c r="RTA119" s="36"/>
      <c r="RTB119" s="38"/>
      <c r="RTC119" s="38"/>
      <c r="RTI119" s="36"/>
      <c r="RTJ119" s="38"/>
      <c r="RTK119" s="38"/>
      <c r="RTQ119" s="36"/>
      <c r="RTR119" s="38"/>
      <c r="RTS119" s="38"/>
      <c r="RTY119" s="36"/>
      <c r="RTZ119" s="38"/>
      <c r="RUA119" s="38"/>
      <c r="RUG119" s="36"/>
      <c r="RUH119" s="38"/>
      <c r="RUI119" s="38"/>
      <c r="RUO119" s="36"/>
      <c r="RUP119" s="38"/>
      <c r="RUQ119" s="38"/>
      <c r="RUW119" s="36"/>
      <c r="RUX119" s="38"/>
      <c r="RUY119" s="38"/>
      <c r="RVE119" s="36"/>
      <c r="RVF119" s="38"/>
      <c r="RVG119" s="38"/>
      <c r="RVM119" s="36"/>
      <c r="RVN119" s="38"/>
      <c r="RVO119" s="38"/>
      <c r="RVU119" s="36"/>
      <c r="RVV119" s="38"/>
      <c r="RVW119" s="38"/>
      <c r="RWC119" s="36"/>
      <c r="RWD119" s="38"/>
      <c r="RWE119" s="38"/>
      <c r="RWK119" s="36"/>
      <c r="RWL119" s="38"/>
      <c r="RWM119" s="38"/>
      <c r="RWS119" s="36"/>
      <c r="RWT119" s="38"/>
      <c r="RWU119" s="38"/>
      <c r="RXA119" s="36"/>
      <c r="RXB119" s="38"/>
      <c r="RXC119" s="38"/>
      <c r="RXI119" s="36"/>
      <c r="RXJ119" s="38"/>
      <c r="RXK119" s="38"/>
      <c r="RXQ119" s="36"/>
      <c r="RXR119" s="38"/>
      <c r="RXS119" s="38"/>
      <c r="RXY119" s="36"/>
      <c r="RXZ119" s="38"/>
      <c r="RYA119" s="38"/>
      <c r="RYG119" s="36"/>
      <c r="RYH119" s="38"/>
      <c r="RYI119" s="38"/>
      <c r="RYO119" s="36"/>
      <c r="RYP119" s="38"/>
      <c r="RYQ119" s="38"/>
      <c r="RYW119" s="36"/>
      <c r="RYX119" s="38"/>
      <c r="RYY119" s="38"/>
      <c r="RZE119" s="36"/>
      <c r="RZF119" s="38"/>
      <c r="RZG119" s="38"/>
      <c r="RZM119" s="36"/>
      <c r="RZN119" s="38"/>
      <c r="RZO119" s="38"/>
      <c r="RZU119" s="36"/>
      <c r="RZV119" s="38"/>
      <c r="RZW119" s="38"/>
      <c r="SAC119" s="36"/>
      <c r="SAD119" s="38"/>
      <c r="SAE119" s="38"/>
      <c r="SAK119" s="36"/>
      <c r="SAL119" s="38"/>
      <c r="SAM119" s="38"/>
      <c r="SAS119" s="36"/>
      <c r="SAT119" s="38"/>
      <c r="SAU119" s="38"/>
      <c r="SBA119" s="36"/>
      <c r="SBB119" s="38"/>
      <c r="SBC119" s="38"/>
      <c r="SBI119" s="36"/>
      <c r="SBJ119" s="38"/>
      <c r="SBK119" s="38"/>
      <c r="SBQ119" s="36"/>
      <c r="SBR119" s="38"/>
      <c r="SBS119" s="38"/>
      <c r="SBY119" s="36"/>
      <c r="SBZ119" s="38"/>
      <c r="SCA119" s="38"/>
      <c r="SCG119" s="36"/>
      <c r="SCH119" s="38"/>
      <c r="SCI119" s="38"/>
      <c r="SCO119" s="36"/>
      <c r="SCP119" s="38"/>
      <c r="SCQ119" s="38"/>
      <c r="SCW119" s="36"/>
      <c r="SCX119" s="38"/>
      <c r="SCY119" s="38"/>
      <c r="SDE119" s="36"/>
      <c r="SDF119" s="38"/>
      <c r="SDG119" s="38"/>
      <c r="SDM119" s="36"/>
      <c r="SDN119" s="38"/>
      <c r="SDO119" s="38"/>
      <c r="SDU119" s="36"/>
      <c r="SDV119" s="38"/>
      <c r="SDW119" s="38"/>
      <c r="SEC119" s="36"/>
      <c r="SED119" s="38"/>
      <c r="SEE119" s="38"/>
      <c r="SEK119" s="36"/>
      <c r="SEL119" s="38"/>
      <c r="SEM119" s="38"/>
      <c r="SES119" s="36"/>
      <c r="SET119" s="38"/>
      <c r="SEU119" s="38"/>
      <c r="SFA119" s="36"/>
      <c r="SFB119" s="38"/>
      <c r="SFC119" s="38"/>
      <c r="SFI119" s="36"/>
      <c r="SFJ119" s="38"/>
      <c r="SFK119" s="38"/>
      <c r="SFQ119" s="36"/>
      <c r="SFR119" s="38"/>
      <c r="SFS119" s="38"/>
      <c r="SFY119" s="36"/>
      <c r="SFZ119" s="38"/>
      <c r="SGA119" s="38"/>
      <c r="SGG119" s="36"/>
      <c r="SGH119" s="38"/>
      <c r="SGI119" s="38"/>
      <c r="SGO119" s="36"/>
      <c r="SGP119" s="38"/>
      <c r="SGQ119" s="38"/>
      <c r="SGW119" s="36"/>
      <c r="SGX119" s="38"/>
      <c r="SGY119" s="38"/>
      <c r="SHE119" s="36"/>
      <c r="SHF119" s="38"/>
      <c r="SHG119" s="38"/>
      <c r="SHM119" s="36"/>
      <c r="SHN119" s="38"/>
      <c r="SHO119" s="38"/>
      <c r="SHU119" s="36"/>
      <c r="SHV119" s="38"/>
      <c r="SHW119" s="38"/>
      <c r="SIC119" s="36"/>
      <c r="SID119" s="38"/>
      <c r="SIE119" s="38"/>
      <c r="SIK119" s="36"/>
      <c r="SIL119" s="38"/>
      <c r="SIM119" s="38"/>
      <c r="SIS119" s="36"/>
      <c r="SIT119" s="38"/>
      <c r="SIU119" s="38"/>
      <c r="SJA119" s="36"/>
      <c r="SJB119" s="38"/>
      <c r="SJC119" s="38"/>
      <c r="SJI119" s="36"/>
      <c r="SJJ119" s="38"/>
      <c r="SJK119" s="38"/>
      <c r="SJQ119" s="36"/>
      <c r="SJR119" s="38"/>
      <c r="SJS119" s="38"/>
      <c r="SJY119" s="36"/>
      <c r="SJZ119" s="38"/>
      <c r="SKA119" s="38"/>
      <c r="SKG119" s="36"/>
      <c r="SKH119" s="38"/>
      <c r="SKI119" s="38"/>
      <c r="SKO119" s="36"/>
      <c r="SKP119" s="38"/>
      <c r="SKQ119" s="38"/>
      <c r="SKW119" s="36"/>
      <c r="SKX119" s="38"/>
      <c r="SKY119" s="38"/>
      <c r="SLE119" s="36"/>
      <c r="SLF119" s="38"/>
      <c r="SLG119" s="38"/>
      <c r="SLM119" s="36"/>
      <c r="SLN119" s="38"/>
      <c r="SLO119" s="38"/>
      <c r="SLU119" s="36"/>
      <c r="SLV119" s="38"/>
      <c r="SLW119" s="38"/>
      <c r="SMC119" s="36"/>
      <c r="SMD119" s="38"/>
      <c r="SME119" s="38"/>
      <c r="SMK119" s="36"/>
      <c r="SML119" s="38"/>
      <c r="SMM119" s="38"/>
      <c r="SMS119" s="36"/>
      <c r="SMT119" s="38"/>
      <c r="SMU119" s="38"/>
      <c r="SNA119" s="36"/>
      <c r="SNB119" s="38"/>
      <c r="SNC119" s="38"/>
      <c r="SNI119" s="36"/>
      <c r="SNJ119" s="38"/>
      <c r="SNK119" s="38"/>
      <c r="SNQ119" s="36"/>
      <c r="SNR119" s="38"/>
      <c r="SNS119" s="38"/>
      <c r="SNY119" s="36"/>
      <c r="SNZ119" s="38"/>
      <c r="SOA119" s="38"/>
      <c r="SOG119" s="36"/>
      <c r="SOH119" s="38"/>
      <c r="SOI119" s="38"/>
      <c r="SOO119" s="36"/>
      <c r="SOP119" s="38"/>
      <c r="SOQ119" s="38"/>
      <c r="SOW119" s="36"/>
      <c r="SOX119" s="38"/>
      <c r="SOY119" s="38"/>
      <c r="SPE119" s="36"/>
      <c r="SPF119" s="38"/>
      <c r="SPG119" s="38"/>
      <c r="SPM119" s="36"/>
      <c r="SPN119" s="38"/>
      <c r="SPO119" s="38"/>
      <c r="SPU119" s="36"/>
      <c r="SPV119" s="38"/>
      <c r="SPW119" s="38"/>
      <c r="SQC119" s="36"/>
      <c r="SQD119" s="38"/>
      <c r="SQE119" s="38"/>
      <c r="SQK119" s="36"/>
      <c r="SQL119" s="38"/>
      <c r="SQM119" s="38"/>
      <c r="SQS119" s="36"/>
      <c r="SQT119" s="38"/>
      <c r="SQU119" s="38"/>
      <c r="SRA119" s="36"/>
      <c r="SRB119" s="38"/>
      <c r="SRC119" s="38"/>
      <c r="SRI119" s="36"/>
      <c r="SRJ119" s="38"/>
      <c r="SRK119" s="38"/>
      <c r="SRQ119" s="36"/>
      <c r="SRR119" s="38"/>
      <c r="SRS119" s="38"/>
      <c r="SRY119" s="36"/>
      <c r="SRZ119" s="38"/>
      <c r="SSA119" s="38"/>
      <c r="SSG119" s="36"/>
      <c r="SSH119" s="38"/>
      <c r="SSI119" s="38"/>
      <c r="SSO119" s="36"/>
      <c r="SSP119" s="38"/>
      <c r="SSQ119" s="38"/>
      <c r="SSW119" s="36"/>
      <c r="SSX119" s="38"/>
      <c r="SSY119" s="38"/>
      <c r="STE119" s="36"/>
      <c r="STF119" s="38"/>
      <c r="STG119" s="38"/>
      <c r="STM119" s="36"/>
      <c r="STN119" s="38"/>
      <c r="STO119" s="38"/>
      <c r="STU119" s="36"/>
      <c r="STV119" s="38"/>
      <c r="STW119" s="38"/>
      <c r="SUC119" s="36"/>
      <c r="SUD119" s="38"/>
      <c r="SUE119" s="38"/>
      <c r="SUK119" s="36"/>
      <c r="SUL119" s="38"/>
      <c r="SUM119" s="38"/>
      <c r="SUS119" s="36"/>
      <c r="SUT119" s="38"/>
      <c r="SUU119" s="38"/>
      <c r="SVA119" s="36"/>
      <c r="SVB119" s="38"/>
      <c r="SVC119" s="38"/>
      <c r="SVI119" s="36"/>
      <c r="SVJ119" s="38"/>
      <c r="SVK119" s="38"/>
      <c r="SVQ119" s="36"/>
      <c r="SVR119" s="38"/>
      <c r="SVS119" s="38"/>
      <c r="SVY119" s="36"/>
      <c r="SVZ119" s="38"/>
      <c r="SWA119" s="38"/>
      <c r="SWG119" s="36"/>
      <c r="SWH119" s="38"/>
      <c r="SWI119" s="38"/>
      <c r="SWO119" s="36"/>
      <c r="SWP119" s="38"/>
      <c r="SWQ119" s="38"/>
      <c r="SWW119" s="36"/>
      <c r="SWX119" s="38"/>
      <c r="SWY119" s="38"/>
      <c r="SXE119" s="36"/>
      <c r="SXF119" s="38"/>
      <c r="SXG119" s="38"/>
      <c r="SXM119" s="36"/>
      <c r="SXN119" s="38"/>
      <c r="SXO119" s="38"/>
      <c r="SXU119" s="36"/>
      <c r="SXV119" s="38"/>
      <c r="SXW119" s="38"/>
      <c r="SYC119" s="36"/>
      <c r="SYD119" s="38"/>
      <c r="SYE119" s="38"/>
      <c r="SYK119" s="36"/>
      <c r="SYL119" s="38"/>
      <c r="SYM119" s="38"/>
      <c r="SYS119" s="36"/>
      <c r="SYT119" s="38"/>
      <c r="SYU119" s="38"/>
      <c r="SZA119" s="36"/>
      <c r="SZB119" s="38"/>
      <c r="SZC119" s="38"/>
      <c r="SZI119" s="36"/>
      <c r="SZJ119" s="38"/>
      <c r="SZK119" s="38"/>
      <c r="SZQ119" s="36"/>
      <c r="SZR119" s="38"/>
      <c r="SZS119" s="38"/>
      <c r="SZY119" s="36"/>
      <c r="SZZ119" s="38"/>
      <c r="TAA119" s="38"/>
      <c r="TAG119" s="36"/>
      <c r="TAH119" s="38"/>
      <c r="TAI119" s="38"/>
      <c r="TAO119" s="36"/>
      <c r="TAP119" s="38"/>
      <c r="TAQ119" s="38"/>
      <c r="TAW119" s="36"/>
      <c r="TAX119" s="38"/>
      <c r="TAY119" s="38"/>
      <c r="TBE119" s="36"/>
      <c r="TBF119" s="38"/>
      <c r="TBG119" s="38"/>
      <c r="TBM119" s="36"/>
      <c r="TBN119" s="38"/>
      <c r="TBO119" s="38"/>
      <c r="TBU119" s="36"/>
      <c r="TBV119" s="38"/>
      <c r="TBW119" s="38"/>
      <c r="TCC119" s="36"/>
      <c r="TCD119" s="38"/>
      <c r="TCE119" s="38"/>
      <c r="TCK119" s="36"/>
      <c r="TCL119" s="38"/>
      <c r="TCM119" s="38"/>
      <c r="TCS119" s="36"/>
      <c r="TCT119" s="38"/>
      <c r="TCU119" s="38"/>
      <c r="TDA119" s="36"/>
      <c r="TDB119" s="38"/>
      <c r="TDC119" s="38"/>
      <c r="TDI119" s="36"/>
      <c r="TDJ119" s="38"/>
      <c r="TDK119" s="38"/>
      <c r="TDQ119" s="36"/>
      <c r="TDR119" s="38"/>
      <c r="TDS119" s="38"/>
      <c r="TDY119" s="36"/>
      <c r="TDZ119" s="38"/>
      <c r="TEA119" s="38"/>
      <c r="TEG119" s="36"/>
      <c r="TEH119" s="38"/>
      <c r="TEI119" s="38"/>
      <c r="TEO119" s="36"/>
      <c r="TEP119" s="38"/>
      <c r="TEQ119" s="38"/>
      <c r="TEW119" s="36"/>
      <c r="TEX119" s="38"/>
      <c r="TEY119" s="38"/>
      <c r="TFE119" s="36"/>
      <c r="TFF119" s="38"/>
      <c r="TFG119" s="38"/>
      <c r="TFM119" s="36"/>
      <c r="TFN119" s="38"/>
      <c r="TFO119" s="38"/>
      <c r="TFU119" s="36"/>
      <c r="TFV119" s="38"/>
      <c r="TFW119" s="38"/>
      <c r="TGC119" s="36"/>
      <c r="TGD119" s="38"/>
      <c r="TGE119" s="38"/>
      <c r="TGK119" s="36"/>
      <c r="TGL119" s="38"/>
      <c r="TGM119" s="38"/>
      <c r="TGS119" s="36"/>
      <c r="TGT119" s="38"/>
      <c r="TGU119" s="38"/>
      <c r="THA119" s="36"/>
      <c r="THB119" s="38"/>
      <c r="THC119" s="38"/>
      <c r="THI119" s="36"/>
      <c r="THJ119" s="38"/>
      <c r="THK119" s="38"/>
      <c r="THQ119" s="36"/>
      <c r="THR119" s="38"/>
      <c r="THS119" s="38"/>
      <c r="THY119" s="36"/>
      <c r="THZ119" s="38"/>
      <c r="TIA119" s="38"/>
      <c r="TIG119" s="36"/>
      <c r="TIH119" s="38"/>
      <c r="TII119" s="38"/>
      <c r="TIO119" s="36"/>
      <c r="TIP119" s="38"/>
      <c r="TIQ119" s="38"/>
      <c r="TIW119" s="36"/>
      <c r="TIX119" s="38"/>
      <c r="TIY119" s="38"/>
      <c r="TJE119" s="36"/>
      <c r="TJF119" s="38"/>
      <c r="TJG119" s="38"/>
      <c r="TJM119" s="36"/>
      <c r="TJN119" s="38"/>
      <c r="TJO119" s="38"/>
      <c r="TJU119" s="36"/>
      <c r="TJV119" s="38"/>
      <c r="TJW119" s="38"/>
      <c r="TKC119" s="36"/>
      <c r="TKD119" s="38"/>
      <c r="TKE119" s="38"/>
      <c r="TKK119" s="36"/>
      <c r="TKL119" s="38"/>
      <c r="TKM119" s="38"/>
      <c r="TKS119" s="36"/>
      <c r="TKT119" s="38"/>
      <c r="TKU119" s="38"/>
      <c r="TLA119" s="36"/>
      <c r="TLB119" s="38"/>
      <c r="TLC119" s="38"/>
      <c r="TLI119" s="36"/>
      <c r="TLJ119" s="38"/>
      <c r="TLK119" s="38"/>
      <c r="TLQ119" s="36"/>
      <c r="TLR119" s="38"/>
      <c r="TLS119" s="38"/>
      <c r="TLY119" s="36"/>
      <c r="TLZ119" s="38"/>
      <c r="TMA119" s="38"/>
      <c r="TMG119" s="36"/>
      <c r="TMH119" s="38"/>
      <c r="TMI119" s="38"/>
      <c r="TMO119" s="36"/>
      <c r="TMP119" s="38"/>
      <c r="TMQ119" s="38"/>
      <c r="TMW119" s="36"/>
      <c r="TMX119" s="38"/>
      <c r="TMY119" s="38"/>
      <c r="TNE119" s="36"/>
      <c r="TNF119" s="38"/>
      <c r="TNG119" s="38"/>
      <c r="TNM119" s="36"/>
      <c r="TNN119" s="38"/>
      <c r="TNO119" s="38"/>
      <c r="TNU119" s="36"/>
      <c r="TNV119" s="38"/>
      <c r="TNW119" s="38"/>
      <c r="TOC119" s="36"/>
      <c r="TOD119" s="38"/>
      <c r="TOE119" s="38"/>
      <c r="TOK119" s="36"/>
      <c r="TOL119" s="38"/>
      <c r="TOM119" s="38"/>
      <c r="TOS119" s="36"/>
      <c r="TOT119" s="38"/>
      <c r="TOU119" s="38"/>
      <c r="TPA119" s="36"/>
      <c r="TPB119" s="38"/>
      <c r="TPC119" s="38"/>
      <c r="TPI119" s="36"/>
      <c r="TPJ119" s="38"/>
      <c r="TPK119" s="38"/>
      <c r="TPQ119" s="36"/>
      <c r="TPR119" s="38"/>
      <c r="TPS119" s="38"/>
      <c r="TPY119" s="36"/>
      <c r="TPZ119" s="38"/>
      <c r="TQA119" s="38"/>
      <c r="TQG119" s="36"/>
      <c r="TQH119" s="38"/>
      <c r="TQI119" s="38"/>
      <c r="TQO119" s="36"/>
      <c r="TQP119" s="38"/>
      <c r="TQQ119" s="38"/>
      <c r="TQW119" s="36"/>
      <c r="TQX119" s="38"/>
      <c r="TQY119" s="38"/>
      <c r="TRE119" s="36"/>
      <c r="TRF119" s="38"/>
      <c r="TRG119" s="38"/>
      <c r="TRM119" s="36"/>
      <c r="TRN119" s="38"/>
      <c r="TRO119" s="38"/>
      <c r="TRU119" s="36"/>
      <c r="TRV119" s="38"/>
      <c r="TRW119" s="38"/>
      <c r="TSC119" s="36"/>
      <c r="TSD119" s="38"/>
      <c r="TSE119" s="38"/>
      <c r="TSK119" s="36"/>
      <c r="TSL119" s="38"/>
      <c r="TSM119" s="38"/>
      <c r="TSS119" s="36"/>
      <c r="TST119" s="38"/>
      <c r="TSU119" s="38"/>
      <c r="TTA119" s="36"/>
      <c r="TTB119" s="38"/>
      <c r="TTC119" s="38"/>
      <c r="TTI119" s="36"/>
      <c r="TTJ119" s="38"/>
      <c r="TTK119" s="38"/>
      <c r="TTQ119" s="36"/>
      <c r="TTR119" s="38"/>
      <c r="TTS119" s="38"/>
      <c r="TTY119" s="36"/>
      <c r="TTZ119" s="38"/>
      <c r="TUA119" s="38"/>
      <c r="TUG119" s="36"/>
      <c r="TUH119" s="38"/>
      <c r="TUI119" s="38"/>
      <c r="TUO119" s="36"/>
      <c r="TUP119" s="38"/>
      <c r="TUQ119" s="38"/>
      <c r="TUW119" s="36"/>
      <c r="TUX119" s="38"/>
      <c r="TUY119" s="38"/>
      <c r="TVE119" s="36"/>
      <c r="TVF119" s="38"/>
      <c r="TVG119" s="38"/>
      <c r="TVM119" s="36"/>
      <c r="TVN119" s="38"/>
      <c r="TVO119" s="38"/>
      <c r="TVU119" s="36"/>
      <c r="TVV119" s="38"/>
      <c r="TVW119" s="38"/>
      <c r="TWC119" s="36"/>
      <c r="TWD119" s="38"/>
      <c r="TWE119" s="38"/>
      <c r="TWK119" s="36"/>
      <c r="TWL119" s="38"/>
      <c r="TWM119" s="38"/>
      <c r="TWS119" s="36"/>
      <c r="TWT119" s="38"/>
      <c r="TWU119" s="38"/>
      <c r="TXA119" s="36"/>
      <c r="TXB119" s="38"/>
      <c r="TXC119" s="38"/>
      <c r="TXI119" s="36"/>
      <c r="TXJ119" s="38"/>
      <c r="TXK119" s="38"/>
      <c r="TXQ119" s="36"/>
      <c r="TXR119" s="38"/>
      <c r="TXS119" s="38"/>
      <c r="TXY119" s="36"/>
      <c r="TXZ119" s="38"/>
      <c r="TYA119" s="38"/>
      <c r="TYG119" s="36"/>
      <c r="TYH119" s="38"/>
      <c r="TYI119" s="38"/>
      <c r="TYO119" s="36"/>
      <c r="TYP119" s="38"/>
      <c r="TYQ119" s="38"/>
      <c r="TYW119" s="36"/>
      <c r="TYX119" s="38"/>
      <c r="TYY119" s="38"/>
      <c r="TZE119" s="36"/>
      <c r="TZF119" s="38"/>
      <c r="TZG119" s="38"/>
      <c r="TZM119" s="36"/>
      <c r="TZN119" s="38"/>
      <c r="TZO119" s="38"/>
      <c r="TZU119" s="36"/>
      <c r="TZV119" s="38"/>
      <c r="TZW119" s="38"/>
      <c r="UAC119" s="36"/>
      <c r="UAD119" s="38"/>
      <c r="UAE119" s="38"/>
      <c r="UAK119" s="36"/>
      <c r="UAL119" s="38"/>
      <c r="UAM119" s="38"/>
      <c r="UAS119" s="36"/>
      <c r="UAT119" s="38"/>
      <c r="UAU119" s="38"/>
      <c r="UBA119" s="36"/>
      <c r="UBB119" s="38"/>
      <c r="UBC119" s="38"/>
      <c r="UBI119" s="36"/>
      <c r="UBJ119" s="38"/>
      <c r="UBK119" s="38"/>
      <c r="UBQ119" s="36"/>
      <c r="UBR119" s="38"/>
      <c r="UBS119" s="38"/>
      <c r="UBY119" s="36"/>
      <c r="UBZ119" s="38"/>
      <c r="UCA119" s="38"/>
      <c r="UCG119" s="36"/>
      <c r="UCH119" s="38"/>
      <c r="UCI119" s="38"/>
      <c r="UCO119" s="36"/>
      <c r="UCP119" s="38"/>
      <c r="UCQ119" s="38"/>
      <c r="UCW119" s="36"/>
      <c r="UCX119" s="38"/>
      <c r="UCY119" s="38"/>
      <c r="UDE119" s="36"/>
      <c r="UDF119" s="38"/>
      <c r="UDG119" s="38"/>
      <c r="UDM119" s="36"/>
      <c r="UDN119" s="38"/>
      <c r="UDO119" s="38"/>
      <c r="UDU119" s="36"/>
      <c r="UDV119" s="38"/>
      <c r="UDW119" s="38"/>
      <c r="UEC119" s="36"/>
      <c r="UED119" s="38"/>
      <c r="UEE119" s="38"/>
      <c r="UEK119" s="36"/>
      <c r="UEL119" s="38"/>
      <c r="UEM119" s="38"/>
      <c r="UES119" s="36"/>
      <c r="UET119" s="38"/>
      <c r="UEU119" s="38"/>
      <c r="UFA119" s="36"/>
      <c r="UFB119" s="38"/>
      <c r="UFC119" s="38"/>
      <c r="UFI119" s="36"/>
      <c r="UFJ119" s="38"/>
      <c r="UFK119" s="38"/>
      <c r="UFQ119" s="36"/>
      <c r="UFR119" s="38"/>
      <c r="UFS119" s="38"/>
      <c r="UFY119" s="36"/>
      <c r="UFZ119" s="38"/>
      <c r="UGA119" s="38"/>
      <c r="UGG119" s="36"/>
      <c r="UGH119" s="38"/>
      <c r="UGI119" s="38"/>
      <c r="UGO119" s="36"/>
      <c r="UGP119" s="38"/>
      <c r="UGQ119" s="38"/>
      <c r="UGW119" s="36"/>
      <c r="UGX119" s="38"/>
      <c r="UGY119" s="38"/>
      <c r="UHE119" s="36"/>
      <c r="UHF119" s="38"/>
      <c r="UHG119" s="38"/>
      <c r="UHM119" s="36"/>
      <c r="UHN119" s="38"/>
      <c r="UHO119" s="38"/>
      <c r="UHU119" s="36"/>
      <c r="UHV119" s="38"/>
      <c r="UHW119" s="38"/>
      <c r="UIC119" s="36"/>
      <c r="UID119" s="38"/>
      <c r="UIE119" s="38"/>
      <c r="UIK119" s="36"/>
      <c r="UIL119" s="38"/>
      <c r="UIM119" s="38"/>
      <c r="UIS119" s="36"/>
      <c r="UIT119" s="38"/>
      <c r="UIU119" s="38"/>
      <c r="UJA119" s="36"/>
      <c r="UJB119" s="38"/>
      <c r="UJC119" s="38"/>
      <c r="UJI119" s="36"/>
      <c r="UJJ119" s="38"/>
      <c r="UJK119" s="38"/>
      <c r="UJQ119" s="36"/>
      <c r="UJR119" s="38"/>
      <c r="UJS119" s="38"/>
      <c r="UJY119" s="36"/>
      <c r="UJZ119" s="38"/>
      <c r="UKA119" s="38"/>
      <c r="UKG119" s="36"/>
      <c r="UKH119" s="38"/>
      <c r="UKI119" s="38"/>
      <c r="UKO119" s="36"/>
      <c r="UKP119" s="38"/>
      <c r="UKQ119" s="38"/>
      <c r="UKW119" s="36"/>
      <c r="UKX119" s="38"/>
      <c r="UKY119" s="38"/>
      <c r="ULE119" s="36"/>
      <c r="ULF119" s="38"/>
      <c r="ULG119" s="38"/>
      <c r="ULM119" s="36"/>
      <c r="ULN119" s="38"/>
      <c r="ULO119" s="38"/>
      <c r="ULU119" s="36"/>
      <c r="ULV119" s="38"/>
      <c r="ULW119" s="38"/>
      <c r="UMC119" s="36"/>
      <c r="UMD119" s="38"/>
      <c r="UME119" s="38"/>
      <c r="UMK119" s="36"/>
      <c r="UML119" s="38"/>
      <c r="UMM119" s="38"/>
      <c r="UMS119" s="36"/>
      <c r="UMT119" s="38"/>
      <c r="UMU119" s="38"/>
      <c r="UNA119" s="36"/>
      <c r="UNB119" s="38"/>
      <c r="UNC119" s="38"/>
      <c r="UNI119" s="36"/>
      <c r="UNJ119" s="38"/>
      <c r="UNK119" s="38"/>
      <c r="UNQ119" s="36"/>
      <c r="UNR119" s="38"/>
      <c r="UNS119" s="38"/>
      <c r="UNY119" s="36"/>
      <c r="UNZ119" s="38"/>
      <c r="UOA119" s="38"/>
      <c r="UOG119" s="36"/>
      <c r="UOH119" s="38"/>
      <c r="UOI119" s="38"/>
      <c r="UOO119" s="36"/>
      <c r="UOP119" s="38"/>
      <c r="UOQ119" s="38"/>
      <c r="UOW119" s="36"/>
      <c r="UOX119" s="38"/>
      <c r="UOY119" s="38"/>
      <c r="UPE119" s="36"/>
      <c r="UPF119" s="38"/>
      <c r="UPG119" s="38"/>
      <c r="UPM119" s="36"/>
      <c r="UPN119" s="38"/>
      <c r="UPO119" s="38"/>
      <c r="UPU119" s="36"/>
      <c r="UPV119" s="38"/>
      <c r="UPW119" s="38"/>
      <c r="UQC119" s="36"/>
      <c r="UQD119" s="38"/>
      <c r="UQE119" s="38"/>
      <c r="UQK119" s="36"/>
      <c r="UQL119" s="38"/>
      <c r="UQM119" s="38"/>
      <c r="UQS119" s="36"/>
      <c r="UQT119" s="38"/>
      <c r="UQU119" s="38"/>
      <c r="URA119" s="36"/>
      <c r="URB119" s="38"/>
      <c r="URC119" s="38"/>
      <c r="URI119" s="36"/>
      <c r="URJ119" s="38"/>
      <c r="URK119" s="38"/>
      <c r="URQ119" s="36"/>
      <c r="URR119" s="38"/>
      <c r="URS119" s="38"/>
      <c r="URY119" s="36"/>
      <c r="URZ119" s="38"/>
      <c r="USA119" s="38"/>
      <c r="USG119" s="36"/>
      <c r="USH119" s="38"/>
      <c r="USI119" s="38"/>
      <c r="USO119" s="36"/>
      <c r="USP119" s="38"/>
      <c r="USQ119" s="38"/>
      <c r="USW119" s="36"/>
      <c r="USX119" s="38"/>
      <c r="USY119" s="38"/>
      <c r="UTE119" s="36"/>
      <c r="UTF119" s="38"/>
      <c r="UTG119" s="38"/>
      <c r="UTM119" s="36"/>
      <c r="UTN119" s="38"/>
      <c r="UTO119" s="38"/>
      <c r="UTU119" s="36"/>
      <c r="UTV119" s="38"/>
      <c r="UTW119" s="38"/>
      <c r="UUC119" s="36"/>
      <c r="UUD119" s="38"/>
      <c r="UUE119" s="38"/>
      <c r="UUK119" s="36"/>
      <c r="UUL119" s="38"/>
      <c r="UUM119" s="38"/>
      <c r="UUS119" s="36"/>
      <c r="UUT119" s="38"/>
      <c r="UUU119" s="38"/>
      <c r="UVA119" s="36"/>
      <c r="UVB119" s="38"/>
      <c r="UVC119" s="38"/>
      <c r="UVI119" s="36"/>
      <c r="UVJ119" s="38"/>
      <c r="UVK119" s="38"/>
      <c r="UVQ119" s="36"/>
      <c r="UVR119" s="38"/>
      <c r="UVS119" s="38"/>
      <c r="UVY119" s="36"/>
      <c r="UVZ119" s="38"/>
      <c r="UWA119" s="38"/>
      <c r="UWG119" s="36"/>
      <c r="UWH119" s="38"/>
      <c r="UWI119" s="38"/>
      <c r="UWO119" s="36"/>
      <c r="UWP119" s="38"/>
      <c r="UWQ119" s="38"/>
      <c r="UWW119" s="36"/>
      <c r="UWX119" s="38"/>
      <c r="UWY119" s="38"/>
      <c r="UXE119" s="36"/>
      <c r="UXF119" s="38"/>
      <c r="UXG119" s="38"/>
      <c r="UXM119" s="36"/>
      <c r="UXN119" s="38"/>
      <c r="UXO119" s="38"/>
      <c r="UXU119" s="36"/>
      <c r="UXV119" s="38"/>
      <c r="UXW119" s="38"/>
      <c r="UYC119" s="36"/>
      <c r="UYD119" s="38"/>
      <c r="UYE119" s="38"/>
      <c r="UYK119" s="36"/>
      <c r="UYL119" s="38"/>
      <c r="UYM119" s="38"/>
      <c r="UYS119" s="36"/>
      <c r="UYT119" s="38"/>
      <c r="UYU119" s="38"/>
      <c r="UZA119" s="36"/>
      <c r="UZB119" s="38"/>
      <c r="UZC119" s="38"/>
      <c r="UZI119" s="36"/>
      <c r="UZJ119" s="38"/>
      <c r="UZK119" s="38"/>
      <c r="UZQ119" s="36"/>
      <c r="UZR119" s="38"/>
      <c r="UZS119" s="38"/>
      <c r="UZY119" s="36"/>
      <c r="UZZ119" s="38"/>
      <c r="VAA119" s="38"/>
      <c r="VAG119" s="36"/>
      <c r="VAH119" s="38"/>
      <c r="VAI119" s="38"/>
      <c r="VAO119" s="36"/>
      <c r="VAP119" s="38"/>
      <c r="VAQ119" s="38"/>
      <c r="VAW119" s="36"/>
      <c r="VAX119" s="38"/>
      <c r="VAY119" s="38"/>
      <c r="VBE119" s="36"/>
      <c r="VBF119" s="38"/>
      <c r="VBG119" s="38"/>
      <c r="VBM119" s="36"/>
      <c r="VBN119" s="38"/>
      <c r="VBO119" s="38"/>
      <c r="VBU119" s="36"/>
      <c r="VBV119" s="38"/>
      <c r="VBW119" s="38"/>
      <c r="VCC119" s="36"/>
      <c r="VCD119" s="38"/>
      <c r="VCE119" s="38"/>
      <c r="VCK119" s="36"/>
      <c r="VCL119" s="38"/>
      <c r="VCM119" s="38"/>
      <c r="VCS119" s="36"/>
      <c r="VCT119" s="38"/>
      <c r="VCU119" s="38"/>
      <c r="VDA119" s="36"/>
      <c r="VDB119" s="38"/>
      <c r="VDC119" s="38"/>
      <c r="VDI119" s="36"/>
      <c r="VDJ119" s="38"/>
      <c r="VDK119" s="38"/>
      <c r="VDQ119" s="36"/>
      <c r="VDR119" s="38"/>
      <c r="VDS119" s="38"/>
      <c r="VDY119" s="36"/>
      <c r="VDZ119" s="38"/>
      <c r="VEA119" s="38"/>
      <c r="VEG119" s="36"/>
      <c r="VEH119" s="38"/>
      <c r="VEI119" s="38"/>
      <c r="VEO119" s="36"/>
      <c r="VEP119" s="38"/>
      <c r="VEQ119" s="38"/>
      <c r="VEW119" s="36"/>
      <c r="VEX119" s="38"/>
      <c r="VEY119" s="38"/>
      <c r="VFE119" s="36"/>
      <c r="VFF119" s="38"/>
      <c r="VFG119" s="38"/>
      <c r="VFM119" s="36"/>
      <c r="VFN119" s="38"/>
      <c r="VFO119" s="38"/>
      <c r="VFU119" s="36"/>
      <c r="VFV119" s="38"/>
      <c r="VFW119" s="38"/>
      <c r="VGC119" s="36"/>
      <c r="VGD119" s="38"/>
      <c r="VGE119" s="38"/>
      <c r="VGK119" s="36"/>
      <c r="VGL119" s="38"/>
      <c r="VGM119" s="38"/>
      <c r="VGS119" s="36"/>
      <c r="VGT119" s="38"/>
      <c r="VGU119" s="38"/>
      <c r="VHA119" s="36"/>
      <c r="VHB119" s="38"/>
      <c r="VHC119" s="38"/>
      <c r="VHI119" s="36"/>
      <c r="VHJ119" s="38"/>
      <c r="VHK119" s="38"/>
      <c r="VHQ119" s="36"/>
      <c r="VHR119" s="38"/>
      <c r="VHS119" s="38"/>
      <c r="VHY119" s="36"/>
      <c r="VHZ119" s="38"/>
      <c r="VIA119" s="38"/>
      <c r="VIG119" s="36"/>
      <c r="VIH119" s="38"/>
      <c r="VII119" s="38"/>
      <c r="VIO119" s="36"/>
      <c r="VIP119" s="38"/>
      <c r="VIQ119" s="38"/>
      <c r="VIW119" s="36"/>
      <c r="VIX119" s="38"/>
      <c r="VIY119" s="38"/>
      <c r="VJE119" s="36"/>
      <c r="VJF119" s="38"/>
      <c r="VJG119" s="38"/>
      <c r="VJM119" s="36"/>
      <c r="VJN119" s="38"/>
      <c r="VJO119" s="38"/>
      <c r="VJU119" s="36"/>
      <c r="VJV119" s="38"/>
      <c r="VJW119" s="38"/>
      <c r="VKC119" s="36"/>
      <c r="VKD119" s="38"/>
      <c r="VKE119" s="38"/>
      <c r="VKK119" s="36"/>
      <c r="VKL119" s="38"/>
      <c r="VKM119" s="38"/>
      <c r="VKS119" s="36"/>
      <c r="VKT119" s="38"/>
      <c r="VKU119" s="38"/>
      <c r="VLA119" s="36"/>
      <c r="VLB119" s="38"/>
      <c r="VLC119" s="38"/>
      <c r="VLI119" s="36"/>
      <c r="VLJ119" s="38"/>
      <c r="VLK119" s="38"/>
      <c r="VLQ119" s="36"/>
      <c r="VLR119" s="38"/>
      <c r="VLS119" s="38"/>
      <c r="VLY119" s="36"/>
      <c r="VLZ119" s="38"/>
      <c r="VMA119" s="38"/>
      <c r="VMG119" s="36"/>
      <c r="VMH119" s="38"/>
      <c r="VMI119" s="38"/>
      <c r="VMO119" s="36"/>
      <c r="VMP119" s="38"/>
      <c r="VMQ119" s="38"/>
      <c r="VMW119" s="36"/>
      <c r="VMX119" s="38"/>
      <c r="VMY119" s="38"/>
      <c r="VNE119" s="36"/>
      <c r="VNF119" s="38"/>
      <c r="VNG119" s="38"/>
      <c r="VNM119" s="36"/>
      <c r="VNN119" s="38"/>
      <c r="VNO119" s="38"/>
      <c r="VNU119" s="36"/>
      <c r="VNV119" s="38"/>
      <c r="VNW119" s="38"/>
      <c r="VOC119" s="36"/>
      <c r="VOD119" s="38"/>
      <c r="VOE119" s="38"/>
      <c r="VOK119" s="36"/>
      <c r="VOL119" s="38"/>
      <c r="VOM119" s="38"/>
      <c r="VOS119" s="36"/>
      <c r="VOT119" s="38"/>
      <c r="VOU119" s="38"/>
      <c r="VPA119" s="36"/>
      <c r="VPB119" s="38"/>
      <c r="VPC119" s="38"/>
      <c r="VPI119" s="36"/>
      <c r="VPJ119" s="38"/>
      <c r="VPK119" s="38"/>
      <c r="VPQ119" s="36"/>
      <c r="VPR119" s="38"/>
      <c r="VPS119" s="38"/>
      <c r="VPY119" s="36"/>
      <c r="VPZ119" s="38"/>
      <c r="VQA119" s="38"/>
      <c r="VQG119" s="36"/>
      <c r="VQH119" s="38"/>
      <c r="VQI119" s="38"/>
      <c r="VQO119" s="36"/>
      <c r="VQP119" s="38"/>
      <c r="VQQ119" s="38"/>
      <c r="VQW119" s="36"/>
      <c r="VQX119" s="38"/>
      <c r="VQY119" s="38"/>
      <c r="VRE119" s="36"/>
      <c r="VRF119" s="38"/>
      <c r="VRG119" s="38"/>
      <c r="VRM119" s="36"/>
      <c r="VRN119" s="38"/>
      <c r="VRO119" s="38"/>
      <c r="VRU119" s="36"/>
      <c r="VRV119" s="38"/>
      <c r="VRW119" s="38"/>
      <c r="VSC119" s="36"/>
      <c r="VSD119" s="38"/>
      <c r="VSE119" s="38"/>
      <c r="VSK119" s="36"/>
      <c r="VSL119" s="38"/>
      <c r="VSM119" s="38"/>
      <c r="VSS119" s="36"/>
      <c r="VST119" s="38"/>
      <c r="VSU119" s="38"/>
      <c r="VTA119" s="36"/>
      <c r="VTB119" s="38"/>
      <c r="VTC119" s="38"/>
      <c r="VTI119" s="36"/>
      <c r="VTJ119" s="38"/>
      <c r="VTK119" s="38"/>
      <c r="VTQ119" s="36"/>
      <c r="VTR119" s="38"/>
      <c r="VTS119" s="38"/>
      <c r="VTY119" s="36"/>
      <c r="VTZ119" s="38"/>
      <c r="VUA119" s="38"/>
      <c r="VUG119" s="36"/>
      <c r="VUH119" s="38"/>
      <c r="VUI119" s="38"/>
      <c r="VUO119" s="36"/>
      <c r="VUP119" s="38"/>
      <c r="VUQ119" s="38"/>
      <c r="VUW119" s="36"/>
      <c r="VUX119" s="38"/>
      <c r="VUY119" s="38"/>
      <c r="VVE119" s="36"/>
      <c r="VVF119" s="38"/>
      <c r="VVG119" s="38"/>
      <c r="VVM119" s="36"/>
      <c r="VVN119" s="38"/>
      <c r="VVO119" s="38"/>
      <c r="VVU119" s="36"/>
      <c r="VVV119" s="38"/>
      <c r="VVW119" s="38"/>
      <c r="VWC119" s="36"/>
      <c r="VWD119" s="38"/>
      <c r="VWE119" s="38"/>
      <c r="VWK119" s="36"/>
      <c r="VWL119" s="38"/>
      <c r="VWM119" s="38"/>
      <c r="VWS119" s="36"/>
      <c r="VWT119" s="38"/>
      <c r="VWU119" s="38"/>
      <c r="VXA119" s="36"/>
      <c r="VXB119" s="38"/>
      <c r="VXC119" s="38"/>
      <c r="VXI119" s="36"/>
      <c r="VXJ119" s="38"/>
      <c r="VXK119" s="38"/>
      <c r="VXQ119" s="36"/>
      <c r="VXR119" s="38"/>
      <c r="VXS119" s="38"/>
      <c r="VXY119" s="36"/>
      <c r="VXZ119" s="38"/>
      <c r="VYA119" s="38"/>
      <c r="VYG119" s="36"/>
      <c r="VYH119" s="38"/>
      <c r="VYI119" s="38"/>
      <c r="VYO119" s="36"/>
      <c r="VYP119" s="38"/>
      <c r="VYQ119" s="38"/>
      <c r="VYW119" s="36"/>
      <c r="VYX119" s="38"/>
      <c r="VYY119" s="38"/>
      <c r="VZE119" s="36"/>
      <c r="VZF119" s="38"/>
      <c r="VZG119" s="38"/>
      <c r="VZM119" s="36"/>
      <c r="VZN119" s="38"/>
      <c r="VZO119" s="38"/>
      <c r="VZU119" s="36"/>
      <c r="VZV119" s="38"/>
      <c r="VZW119" s="38"/>
      <c r="WAC119" s="36"/>
      <c r="WAD119" s="38"/>
      <c r="WAE119" s="38"/>
      <c r="WAK119" s="36"/>
      <c r="WAL119" s="38"/>
      <c r="WAM119" s="38"/>
      <c r="WAS119" s="36"/>
      <c r="WAT119" s="38"/>
      <c r="WAU119" s="38"/>
      <c r="WBA119" s="36"/>
      <c r="WBB119" s="38"/>
      <c r="WBC119" s="38"/>
      <c r="WBI119" s="36"/>
      <c r="WBJ119" s="38"/>
      <c r="WBK119" s="38"/>
      <c r="WBQ119" s="36"/>
      <c r="WBR119" s="38"/>
      <c r="WBS119" s="38"/>
      <c r="WBY119" s="36"/>
      <c r="WBZ119" s="38"/>
      <c r="WCA119" s="38"/>
      <c r="WCG119" s="36"/>
      <c r="WCH119" s="38"/>
      <c r="WCI119" s="38"/>
      <c r="WCO119" s="36"/>
      <c r="WCP119" s="38"/>
      <c r="WCQ119" s="38"/>
      <c r="WCW119" s="36"/>
      <c r="WCX119" s="38"/>
      <c r="WCY119" s="38"/>
      <c r="WDE119" s="36"/>
      <c r="WDF119" s="38"/>
      <c r="WDG119" s="38"/>
      <c r="WDM119" s="36"/>
      <c r="WDN119" s="38"/>
      <c r="WDO119" s="38"/>
      <c r="WDU119" s="36"/>
      <c r="WDV119" s="38"/>
      <c r="WDW119" s="38"/>
      <c r="WEC119" s="36"/>
      <c r="WED119" s="38"/>
      <c r="WEE119" s="38"/>
      <c r="WEK119" s="36"/>
      <c r="WEL119" s="38"/>
      <c r="WEM119" s="38"/>
      <c r="WES119" s="36"/>
      <c r="WET119" s="38"/>
      <c r="WEU119" s="38"/>
      <c r="WFA119" s="36"/>
      <c r="WFB119" s="38"/>
      <c r="WFC119" s="38"/>
      <c r="WFI119" s="36"/>
      <c r="WFJ119" s="38"/>
      <c r="WFK119" s="38"/>
      <c r="WFQ119" s="36"/>
      <c r="WFR119" s="38"/>
      <c r="WFS119" s="38"/>
      <c r="WFY119" s="36"/>
      <c r="WFZ119" s="38"/>
      <c r="WGA119" s="38"/>
      <c r="WGG119" s="36"/>
      <c r="WGH119" s="38"/>
      <c r="WGI119" s="38"/>
      <c r="WGO119" s="36"/>
      <c r="WGP119" s="38"/>
      <c r="WGQ119" s="38"/>
      <c r="WGW119" s="36"/>
      <c r="WGX119" s="38"/>
      <c r="WGY119" s="38"/>
      <c r="WHE119" s="36"/>
      <c r="WHF119" s="38"/>
      <c r="WHG119" s="38"/>
      <c r="WHM119" s="36"/>
      <c r="WHN119" s="38"/>
      <c r="WHO119" s="38"/>
      <c r="WHU119" s="36"/>
      <c r="WHV119" s="38"/>
      <c r="WHW119" s="38"/>
      <c r="WIC119" s="36"/>
      <c r="WID119" s="38"/>
      <c r="WIE119" s="38"/>
      <c r="WIK119" s="36"/>
      <c r="WIL119" s="38"/>
      <c r="WIM119" s="38"/>
      <c r="WIS119" s="36"/>
      <c r="WIT119" s="38"/>
      <c r="WIU119" s="38"/>
      <c r="WJA119" s="36"/>
      <c r="WJB119" s="38"/>
      <c r="WJC119" s="38"/>
      <c r="WJI119" s="36"/>
      <c r="WJJ119" s="38"/>
      <c r="WJK119" s="38"/>
      <c r="WJQ119" s="36"/>
      <c r="WJR119" s="38"/>
      <c r="WJS119" s="38"/>
      <c r="WJY119" s="36"/>
      <c r="WJZ119" s="38"/>
      <c r="WKA119" s="38"/>
      <c r="WKG119" s="36"/>
      <c r="WKH119" s="38"/>
      <c r="WKI119" s="38"/>
      <c r="WKO119" s="36"/>
      <c r="WKP119" s="38"/>
      <c r="WKQ119" s="38"/>
      <c r="WKW119" s="36"/>
      <c r="WKX119" s="38"/>
      <c r="WKY119" s="38"/>
      <c r="WLE119" s="36"/>
      <c r="WLF119" s="38"/>
      <c r="WLG119" s="38"/>
      <c r="WLM119" s="36"/>
      <c r="WLN119" s="38"/>
      <c r="WLO119" s="38"/>
      <c r="WLU119" s="36"/>
      <c r="WLV119" s="38"/>
      <c r="WLW119" s="38"/>
      <c r="WMC119" s="36"/>
      <c r="WMD119" s="38"/>
      <c r="WME119" s="38"/>
      <c r="WMK119" s="36"/>
      <c r="WML119" s="38"/>
      <c r="WMM119" s="38"/>
      <c r="WMS119" s="36"/>
      <c r="WMT119" s="38"/>
      <c r="WMU119" s="38"/>
      <c r="WNA119" s="36"/>
      <c r="WNB119" s="38"/>
      <c r="WNC119" s="38"/>
      <c r="WNI119" s="36"/>
      <c r="WNJ119" s="38"/>
      <c r="WNK119" s="38"/>
      <c r="WNQ119" s="36"/>
      <c r="WNR119" s="38"/>
      <c r="WNS119" s="38"/>
      <c r="WNY119" s="36"/>
      <c r="WNZ119" s="38"/>
      <c r="WOA119" s="38"/>
      <c r="WOG119" s="36"/>
      <c r="WOH119" s="38"/>
      <c r="WOI119" s="38"/>
      <c r="WOO119" s="36"/>
      <c r="WOP119" s="38"/>
      <c r="WOQ119" s="38"/>
      <c r="WOW119" s="36"/>
      <c r="WOX119" s="38"/>
      <c r="WOY119" s="38"/>
      <c r="WPE119" s="36"/>
      <c r="WPF119" s="38"/>
      <c r="WPG119" s="38"/>
      <c r="WPM119" s="36"/>
      <c r="WPN119" s="38"/>
      <c r="WPO119" s="38"/>
      <c r="WPU119" s="36"/>
      <c r="WPV119" s="38"/>
      <c r="WPW119" s="38"/>
      <c r="WQC119" s="36"/>
      <c r="WQD119" s="38"/>
      <c r="WQE119" s="38"/>
      <c r="WQK119" s="36"/>
      <c r="WQL119" s="38"/>
      <c r="WQM119" s="38"/>
      <c r="WQS119" s="36"/>
      <c r="WQT119" s="38"/>
      <c r="WQU119" s="38"/>
      <c r="WRA119" s="36"/>
      <c r="WRB119" s="38"/>
      <c r="WRC119" s="38"/>
      <c r="WRI119" s="36"/>
      <c r="WRJ119" s="38"/>
      <c r="WRK119" s="38"/>
      <c r="WRQ119" s="36"/>
      <c r="WRR119" s="38"/>
      <c r="WRS119" s="38"/>
      <c r="WRY119" s="36"/>
      <c r="WRZ119" s="38"/>
      <c r="WSA119" s="38"/>
      <c r="WSG119" s="36"/>
      <c r="WSH119" s="38"/>
      <c r="WSI119" s="38"/>
      <c r="WSO119" s="36"/>
      <c r="WSP119" s="38"/>
      <c r="WSQ119" s="38"/>
      <c r="WSW119" s="36"/>
      <c r="WSX119" s="38"/>
      <c r="WSY119" s="38"/>
      <c r="WTE119" s="36"/>
      <c r="WTF119" s="38"/>
      <c r="WTG119" s="38"/>
      <c r="WTM119" s="36"/>
      <c r="WTN119" s="38"/>
      <c r="WTO119" s="38"/>
      <c r="WTU119" s="36"/>
      <c r="WTV119" s="38"/>
      <c r="WTW119" s="38"/>
      <c r="WUC119" s="36"/>
      <c r="WUD119" s="38"/>
      <c r="WUE119" s="38"/>
      <c r="WUK119" s="36"/>
      <c r="WUL119" s="38"/>
      <c r="WUM119" s="38"/>
      <c r="WUS119" s="36"/>
      <c r="WUT119" s="38"/>
      <c r="WUU119" s="38"/>
      <c r="WVA119" s="36"/>
      <c r="WVB119" s="38"/>
      <c r="WVC119" s="38"/>
      <c r="WVI119" s="36"/>
      <c r="WVJ119" s="38"/>
      <c r="WVK119" s="38"/>
      <c r="WVQ119" s="36"/>
      <c r="WVR119" s="38"/>
      <c r="WVS119" s="38"/>
      <c r="WVY119" s="36"/>
      <c r="WVZ119" s="38"/>
      <c r="WWA119" s="38"/>
      <c r="WWG119" s="36"/>
      <c r="WWH119" s="38"/>
      <c r="WWI119" s="38"/>
      <c r="WWO119" s="36"/>
      <c r="WWP119" s="38"/>
      <c r="WWQ119" s="38"/>
      <c r="WWW119" s="36"/>
      <c r="WWX119" s="38"/>
      <c r="WWY119" s="38"/>
      <c r="WXE119" s="36"/>
      <c r="WXF119" s="38"/>
      <c r="WXG119" s="38"/>
      <c r="WXM119" s="36"/>
      <c r="WXN119" s="38"/>
      <c r="WXO119" s="38"/>
      <c r="WXU119" s="36"/>
      <c r="WXV119" s="38"/>
      <c r="WXW119" s="38"/>
      <c r="WYC119" s="36"/>
      <c r="WYD119" s="38"/>
      <c r="WYE119" s="38"/>
      <c r="WYK119" s="36"/>
      <c r="WYL119" s="38"/>
      <c r="WYM119" s="38"/>
      <c r="WYS119" s="36"/>
      <c r="WYT119" s="38"/>
      <c r="WYU119" s="38"/>
      <c r="WZA119" s="36"/>
      <c r="WZB119" s="38"/>
      <c r="WZC119" s="38"/>
      <c r="WZI119" s="36"/>
      <c r="WZJ119" s="38"/>
      <c r="WZK119" s="38"/>
      <c r="WZQ119" s="36"/>
      <c r="WZR119" s="38"/>
      <c r="WZS119" s="38"/>
      <c r="WZY119" s="36"/>
      <c r="WZZ119" s="38"/>
      <c r="XAA119" s="38"/>
      <c r="XAG119" s="36"/>
      <c r="XAH119" s="38"/>
      <c r="XAI119" s="38"/>
      <c r="XAO119" s="36"/>
      <c r="XAP119" s="38"/>
      <c r="XAQ119" s="38"/>
      <c r="XAW119" s="36"/>
      <c r="XAX119" s="38"/>
      <c r="XAY119" s="38"/>
      <c r="XBE119" s="36"/>
      <c r="XBF119" s="38"/>
      <c r="XBG119" s="38"/>
      <c r="XBM119" s="36"/>
      <c r="XBN119" s="38"/>
      <c r="XBO119" s="38"/>
      <c r="XBU119" s="36"/>
      <c r="XBV119" s="38"/>
      <c r="XBW119" s="38"/>
      <c r="XCC119" s="36"/>
      <c r="XCD119" s="38"/>
      <c r="XCE119" s="38"/>
      <c r="XCK119" s="36"/>
      <c r="XCL119" s="38"/>
      <c r="XCM119" s="38"/>
      <c r="XCS119" s="36"/>
      <c r="XCT119" s="38"/>
      <c r="XCU119" s="38"/>
      <c r="XDA119" s="36"/>
      <c r="XDB119" s="38"/>
      <c r="XDC119" s="38"/>
      <c r="XDI119" s="36"/>
      <c r="XDJ119" s="38"/>
      <c r="XDK119" s="38"/>
      <c r="XDQ119" s="36"/>
      <c r="XDR119" s="38"/>
      <c r="XDS119" s="38"/>
      <c r="XDY119" s="36"/>
      <c r="XDZ119" s="38"/>
      <c r="XEA119" s="38"/>
      <c r="XEG119" s="36"/>
      <c r="XEH119" s="38"/>
      <c r="XEI119" s="38"/>
      <c r="XEO119" s="36"/>
      <c r="XEP119" s="38"/>
      <c r="XEQ119" s="38"/>
      <c r="XEW119" s="36"/>
      <c r="XEX119" s="38"/>
      <c r="XEY119" s="38"/>
    </row>
    <row r="120" spans="1:1019 1025:2043 2049:3067 3073:4091 4097:5115 5121:6139 6145:7163 7169:8187 8193:9211 9217:10235 10241:11259 11265:12283 12289:13307 13313:14331 14337:15355 15361:16379" s="24" customFormat="1" ht="19.5" customHeight="1">
      <c r="A120" s="83"/>
      <c r="B120" s="38"/>
      <c r="C120" s="38"/>
      <c r="I120" s="36"/>
      <c r="J120" s="38"/>
      <c r="K120" s="38"/>
      <c r="Q120" s="36"/>
      <c r="R120" s="38"/>
      <c r="S120" s="38"/>
      <c r="Y120" s="36"/>
      <c r="Z120" s="38"/>
      <c r="AA120" s="38"/>
      <c r="AG120" s="36"/>
      <c r="AH120" s="38"/>
      <c r="AI120" s="38"/>
      <c r="AO120" s="36"/>
      <c r="AP120" s="38"/>
      <c r="AQ120" s="38"/>
      <c r="AW120" s="36"/>
      <c r="AX120" s="38"/>
      <c r="AY120" s="38"/>
      <c r="BE120" s="36"/>
      <c r="BF120" s="38"/>
      <c r="BG120" s="38"/>
      <c r="BM120" s="36"/>
      <c r="BN120" s="38"/>
      <c r="BO120" s="38"/>
      <c r="BU120" s="36"/>
      <c r="BV120" s="38"/>
      <c r="BW120" s="38"/>
      <c r="CC120" s="36"/>
      <c r="CD120" s="38"/>
      <c r="CE120" s="38"/>
      <c r="CK120" s="36"/>
      <c r="CL120" s="38"/>
      <c r="CM120" s="38"/>
      <c r="CS120" s="36"/>
      <c r="CT120" s="38"/>
      <c r="CU120" s="38"/>
      <c r="DA120" s="36"/>
      <c r="DB120" s="38"/>
      <c r="DC120" s="38"/>
      <c r="DI120" s="36"/>
      <c r="DJ120" s="38"/>
      <c r="DK120" s="38"/>
      <c r="DQ120" s="36"/>
      <c r="DR120" s="38"/>
      <c r="DS120" s="38"/>
      <c r="DY120" s="36"/>
      <c r="DZ120" s="38"/>
      <c r="EA120" s="38"/>
      <c r="EG120" s="36"/>
      <c r="EH120" s="38"/>
      <c r="EI120" s="38"/>
      <c r="EO120" s="36"/>
      <c r="EP120" s="38"/>
      <c r="EQ120" s="38"/>
      <c r="EW120" s="36"/>
      <c r="EX120" s="38"/>
      <c r="EY120" s="38"/>
      <c r="FE120" s="36"/>
      <c r="FF120" s="38"/>
      <c r="FG120" s="38"/>
      <c r="FM120" s="36"/>
      <c r="FN120" s="38"/>
      <c r="FO120" s="38"/>
      <c r="FU120" s="36"/>
      <c r="FV120" s="38"/>
      <c r="FW120" s="38"/>
      <c r="GC120" s="36"/>
      <c r="GD120" s="38"/>
      <c r="GE120" s="38"/>
      <c r="GK120" s="36"/>
      <c r="GL120" s="38"/>
      <c r="GM120" s="38"/>
      <c r="GS120" s="36"/>
      <c r="GT120" s="38"/>
      <c r="GU120" s="38"/>
      <c r="HA120" s="36"/>
      <c r="HB120" s="38"/>
      <c r="HC120" s="38"/>
      <c r="HI120" s="36"/>
      <c r="HJ120" s="38"/>
      <c r="HK120" s="38"/>
      <c r="HQ120" s="36"/>
      <c r="HR120" s="38"/>
      <c r="HS120" s="38"/>
      <c r="HY120" s="36"/>
      <c r="HZ120" s="38"/>
      <c r="IA120" s="38"/>
      <c r="IG120" s="36"/>
      <c r="IH120" s="38"/>
      <c r="II120" s="38"/>
      <c r="IO120" s="36"/>
      <c r="IP120" s="38"/>
      <c r="IQ120" s="38"/>
      <c r="IW120" s="36"/>
      <c r="IX120" s="38"/>
      <c r="IY120" s="38"/>
      <c r="JE120" s="36"/>
      <c r="JF120" s="38"/>
      <c r="JG120" s="38"/>
      <c r="JM120" s="36"/>
      <c r="JN120" s="38"/>
      <c r="JO120" s="38"/>
      <c r="JU120" s="36"/>
      <c r="JV120" s="38"/>
      <c r="JW120" s="38"/>
      <c r="KC120" s="36"/>
      <c r="KD120" s="38"/>
      <c r="KE120" s="38"/>
      <c r="KK120" s="36"/>
      <c r="KL120" s="38"/>
      <c r="KM120" s="38"/>
      <c r="KS120" s="36"/>
      <c r="KT120" s="38"/>
      <c r="KU120" s="38"/>
      <c r="LA120" s="36"/>
      <c r="LB120" s="38"/>
      <c r="LC120" s="38"/>
      <c r="LI120" s="36"/>
      <c r="LJ120" s="38"/>
      <c r="LK120" s="38"/>
      <c r="LQ120" s="36"/>
      <c r="LR120" s="38"/>
      <c r="LS120" s="38"/>
      <c r="LY120" s="36"/>
      <c r="LZ120" s="38"/>
      <c r="MA120" s="38"/>
      <c r="MG120" s="36"/>
      <c r="MH120" s="38"/>
      <c r="MI120" s="38"/>
      <c r="MO120" s="36"/>
      <c r="MP120" s="38"/>
      <c r="MQ120" s="38"/>
      <c r="MW120" s="36"/>
      <c r="MX120" s="38"/>
      <c r="MY120" s="38"/>
      <c r="NE120" s="36"/>
      <c r="NF120" s="38"/>
      <c r="NG120" s="38"/>
      <c r="NM120" s="36"/>
      <c r="NN120" s="38"/>
      <c r="NO120" s="38"/>
      <c r="NU120" s="36"/>
      <c r="NV120" s="38"/>
      <c r="NW120" s="38"/>
      <c r="OC120" s="36"/>
      <c r="OD120" s="38"/>
      <c r="OE120" s="38"/>
      <c r="OK120" s="36"/>
      <c r="OL120" s="38"/>
      <c r="OM120" s="38"/>
      <c r="OS120" s="36"/>
      <c r="OT120" s="38"/>
      <c r="OU120" s="38"/>
      <c r="PA120" s="36"/>
      <c r="PB120" s="38"/>
      <c r="PC120" s="38"/>
      <c r="PI120" s="36"/>
      <c r="PJ120" s="38"/>
      <c r="PK120" s="38"/>
      <c r="PQ120" s="36"/>
      <c r="PR120" s="38"/>
      <c r="PS120" s="38"/>
      <c r="PY120" s="36"/>
      <c r="PZ120" s="38"/>
      <c r="QA120" s="38"/>
      <c r="QG120" s="36"/>
      <c r="QH120" s="38"/>
      <c r="QI120" s="38"/>
      <c r="QO120" s="36"/>
      <c r="QP120" s="38"/>
      <c r="QQ120" s="38"/>
      <c r="QW120" s="36"/>
      <c r="QX120" s="38"/>
      <c r="QY120" s="38"/>
      <c r="RE120" s="36"/>
      <c r="RF120" s="38"/>
      <c r="RG120" s="38"/>
      <c r="RM120" s="36"/>
      <c r="RN120" s="38"/>
      <c r="RO120" s="38"/>
      <c r="RU120" s="36"/>
      <c r="RV120" s="38"/>
      <c r="RW120" s="38"/>
      <c r="SC120" s="36"/>
      <c r="SD120" s="38"/>
      <c r="SE120" s="38"/>
      <c r="SK120" s="36"/>
      <c r="SL120" s="38"/>
      <c r="SM120" s="38"/>
      <c r="SS120" s="36"/>
      <c r="ST120" s="38"/>
      <c r="SU120" s="38"/>
      <c r="TA120" s="36"/>
      <c r="TB120" s="38"/>
      <c r="TC120" s="38"/>
      <c r="TI120" s="36"/>
      <c r="TJ120" s="38"/>
      <c r="TK120" s="38"/>
      <c r="TQ120" s="36"/>
      <c r="TR120" s="38"/>
      <c r="TS120" s="38"/>
      <c r="TY120" s="36"/>
      <c r="TZ120" s="38"/>
      <c r="UA120" s="38"/>
      <c r="UG120" s="36"/>
      <c r="UH120" s="38"/>
      <c r="UI120" s="38"/>
      <c r="UO120" s="36"/>
      <c r="UP120" s="38"/>
      <c r="UQ120" s="38"/>
      <c r="UW120" s="36"/>
      <c r="UX120" s="38"/>
      <c r="UY120" s="38"/>
      <c r="VE120" s="36"/>
      <c r="VF120" s="38"/>
      <c r="VG120" s="38"/>
      <c r="VM120" s="36"/>
      <c r="VN120" s="38"/>
      <c r="VO120" s="38"/>
      <c r="VU120" s="36"/>
      <c r="VV120" s="38"/>
      <c r="VW120" s="38"/>
      <c r="WC120" s="36"/>
      <c r="WD120" s="38"/>
      <c r="WE120" s="38"/>
      <c r="WK120" s="36"/>
      <c r="WL120" s="38"/>
      <c r="WM120" s="38"/>
      <c r="WS120" s="36"/>
      <c r="WT120" s="38"/>
      <c r="WU120" s="38"/>
      <c r="XA120" s="36"/>
      <c r="XB120" s="38"/>
      <c r="XC120" s="38"/>
      <c r="XI120" s="36"/>
      <c r="XJ120" s="38"/>
      <c r="XK120" s="38"/>
      <c r="XQ120" s="36"/>
      <c r="XR120" s="38"/>
      <c r="XS120" s="38"/>
      <c r="XY120" s="36"/>
      <c r="XZ120" s="38"/>
      <c r="YA120" s="38"/>
      <c r="YG120" s="36"/>
      <c r="YH120" s="38"/>
      <c r="YI120" s="38"/>
      <c r="YO120" s="36"/>
      <c r="YP120" s="38"/>
      <c r="YQ120" s="38"/>
      <c r="YW120" s="36"/>
      <c r="YX120" s="38"/>
      <c r="YY120" s="38"/>
      <c r="ZE120" s="36"/>
      <c r="ZF120" s="38"/>
      <c r="ZG120" s="38"/>
      <c r="ZM120" s="36"/>
      <c r="ZN120" s="38"/>
      <c r="ZO120" s="38"/>
      <c r="ZU120" s="36"/>
      <c r="ZV120" s="38"/>
      <c r="ZW120" s="38"/>
      <c r="AAC120" s="36"/>
      <c r="AAD120" s="38"/>
      <c r="AAE120" s="38"/>
      <c r="AAK120" s="36"/>
      <c r="AAL120" s="38"/>
      <c r="AAM120" s="38"/>
      <c r="AAS120" s="36"/>
      <c r="AAT120" s="38"/>
      <c r="AAU120" s="38"/>
      <c r="ABA120" s="36"/>
      <c r="ABB120" s="38"/>
      <c r="ABC120" s="38"/>
      <c r="ABI120" s="36"/>
      <c r="ABJ120" s="38"/>
      <c r="ABK120" s="38"/>
      <c r="ABQ120" s="36"/>
      <c r="ABR120" s="38"/>
      <c r="ABS120" s="38"/>
      <c r="ABY120" s="36"/>
      <c r="ABZ120" s="38"/>
      <c r="ACA120" s="38"/>
      <c r="ACG120" s="36"/>
      <c r="ACH120" s="38"/>
      <c r="ACI120" s="38"/>
      <c r="ACO120" s="36"/>
      <c r="ACP120" s="38"/>
      <c r="ACQ120" s="38"/>
      <c r="ACW120" s="36"/>
      <c r="ACX120" s="38"/>
      <c r="ACY120" s="38"/>
      <c r="ADE120" s="36"/>
      <c r="ADF120" s="38"/>
      <c r="ADG120" s="38"/>
      <c r="ADM120" s="36"/>
      <c r="ADN120" s="38"/>
      <c r="ADO120" s="38"/>
      <c r="ADU120" s="36"/>
      <c r="ADV120" s="38"/>
      <c r="ADW120" s="38"/>
      <c r="AEC120" s="36"/>
      <c r="AED120" s="38"/>
      <c r="AEE120" s="38"/>
      <c r="AEK120" s="36"/>
      <c r="AEL120" s="38"/>
      <c r="AEM120" s="38"/>
      <c r="AES120" s="36"/>
      <c r="AET120" s="38"/>
      <c r="AEU120" s="38"/>
      <c r="AFA120" s="36"/>
      <c r="AFB120" s="38"/>
      <c r="AFC120" s="38"/>
      <c r="AFI120" s="36"/>
      <c r="AFJ120" s="38"/>
      <c r="AFK120" s="38"/>
      <c r="AFQ120" s="36"/>
      <c r="AFR120" s="38"/>
      <c r="AFS120" s="38"/>
      <c r="AFY120" s="36"/>
      <c r="AFZ120" s="38"/>
      <c r="AGA120" s="38"/>
      <c r="AGG120" s="36"/>
      <c r="AGH120" s="38"/>
      <c r="AGI120" s="38"/>
      <c r="AGO120" s="36"/>
      <c r="AGP120" s="38"/>
      <c r="AGQ120" s="38"/>
      <c r="AGW120" s="36"/>
      <c r="AGX120" s="38"/>
      <c r="AGY120" s="38"/>
      <c r="AHE120" s="36"/>
      <c r="AHF120" s="38"/>
      <c r="AHG120" s="38"/>
      <c r="AHM120" s="36"/>
      <c r="AHN120" s="38"/>
      <c r="AHO120" s="38"/>
      <c r="AHU120" s="36"/>
      <c r="AHV120" s="38"/>
      <c r="AHW120" s="38"/>
      <c r="AIC120" s="36"/>
      <c r="AID120" s="38"/>
      <c r="AIE120" s="38"/>
      <c r="AIK120" s="36"/>
      <c r="AIL120" s="38"/>
      <c r="AIM120" s="38"/>
      <c r="AIS120" s="36"/>
      <c r="AIT120" s="38"/>
      <c r="AIU120" s="38"/>
      <c r="AJA120" s="36"/>
      <c r="AJB120" s="38"/>
      <c r="AJC120" s="38"/>
      <c r="AJI120" s="36"/>
      <c r="AJJ120" s="38"/>
      <c r="AJK120" s="38"/>
      <c r="AJQ120" s="36"/>
      <c r="AJR120" s="38"/>
      <c r="AJS120" s="38"/>
      <c r="AJY120" s="36"/>
      <c r="AJZ120" s="38"/>
      <c r="AKA120" s="38"/>
      <c r="AKG120" s="36"/>
      <c r="AKH120" s="38"/>
      <c r="AKI120" s="38"/>
      <c r="AKO120" s="36"/>
      <c r="AKP120" s="38"/>
      <c r="AKQ120" s="38"/>
      <c r="AKW120" s="36"/>
      <c r="AKX120" s="38"/>
      <c r="AKY120" s="38"/>
      <c r="ALE120" s="36"/>
      <c r="ALF120" s="38"/>
      <c r="ALG120" s="38"/>
      <c r="ALM120" s="36"/>
      <c r="ALN120" s="38"/>
      <c r="ALO120" s="38"/>
      <c r="ALU120" s="36"/>
      <c r="ALV120" s="38"/>
      <c r="ALW120" s="38"/>
      <c r="AMC120" s="36"/>
      <c r="AMD120" s="38"/>
      <c r="AME120" s="38"/>
      <c r="AMK120" s="36"/>
      <c r="AML120" s="38"/>
      <c r="AMM120" s="38"/>
      <c r="AMS120" s="36"/>
      <c r="AMT120" s="38"/>
      <c r="AMU120" s="38"/>
      <c r="ANA120" s="36"/>
      <c r="ANB120" s="38"/>
      <c r="ANC120" s="38"/>
      <c r="ANI120" s="36"/>
      <c r="ANJ120" s="38"/>
      <c r="ANK120" s="38"/>
      <c r="ANQ120" s="36"/>
      <c r="ANR120" s="38"/>
      <c r="ANS120" s="38"/>
      <c r="ANY120" s="36"/>
      <c r="ANZ120" s="38"/>
      <c r="AOA120" s="38"/>
      <c r="AOG120" s="36"/>
      <c r="AOH120" s="38"/>
      <c r="AOI120" s="38"/>
      <c r="AOO120" s="36"/>
      <c r="AOP120" s="38"/>
      <c r="AOQ120" s="38"/>
      <c r="AOW120" s="36"/>
      <c r="AOX120" s="38"/>
      <c r="AOY120" s="38"/>
      <c r="APE120" s="36"/>
      <c r="APF120" s="38"/>
      <c r="APG120" s="38"/>
      <c r="APM120" s="36"/>
      <c r="APN120" s="38"/>
      <c r="APO120" s="38"/>
      <c r="APU120" s="36"/>
      <c r="APV120" s="38"/>
      <c r="APW120" s="38"/>
      <c r="AQC120" s="36"/>
      <c r="AQD120" s="38"/>
      <c r="AQE120" s="38"/>
      <c r="AQK120" s="36"/>
      <c r="AQL120" s="38"/>
      <c r="AQM120" s="38"/>
      <c r="AQS120" s="36"/>
      <c r="AQT120" s="38"/>
      <c r="AQU120" s="38"/>
      <c r="ARA120" s="36"/>
      <c r="ARB120" s="38"/>
      <c r="ARC120" s="38"/>
      <c r="ARI120" s="36"/>
      <c r="ARJ120" s="38"/>
      <c r="ARK120" s="38"/>
      <c r="ARQ120" s="36"/>
      <c r="ARR120" s="38"/>
      <c r="ARS120" s="38"/>
      <c r="ARY120" s="36"/>
      <c r="ARZ120" s="38"/>
      <c r="ASA120" s="38"/>
      <c r="ASG120" s="36"/>
      <c r="ASH120" s="38"/>
      <c r="ASI120" s="38"/>
      <c r="ASO120" s="36"/>
      <c r="ASP120" s="38"/>
      <c r="ASQ120" s="38"/>
      <c r="ASW120" s="36"/>
      <c r="ASX120" s="38"/>
      <c r="ASY120" s="38"/>
      <c r="ATE120" s="36"/>
      <c r="ATF120" s="38"/>
      <c r="ATG120" s="38"/>
      <c r="ATM120" s="36"/>
      <c r="ATN120" s="38"/>
      <c r="ATO120" s="38"/>
      <c r="ATU120" s="36"/>
      <c r="ATV120" s="38"/>
      <c r="ATW120" s="38"/>
      <c r="AUC120" s="36"/>
      <c r="AUD120" s="38"/>
      <c r="AUE120" s="38"/>
      <c r="AUK120" s="36"/>
      <c r="AUL120" s="38"/>
      <c r="AUM120" s="38"/>
      <c r="AUS120" s="36"/>
      <c r="AUT120" s="38"/>
      <c r="AUU120" s="38"/>
      <c r="AVA120" s="36"/>
      <c r="AVB120" s="38"/>
      <c r="AVC120" s="38"/>
      <c r="AVI120" s="36"/>
      <c r="AVJ120" s="38"/>
      <c r="AVK120" s="38"/>
      <c r="AVQ120" s="36"/>
      <c r="AVR120" s="38"/>
      <c r="AVS120" s="38"/>
      <c r="AVY120" s="36"/>
      <c r="AVZ120" s="38"/>
      <c r="AWA120" s="38"/>
      <c r="AWG120" s="36"/>
      <c r="AWH120" s="38"/>
      <c r="AWI120" s="38"/>
      <c r="AWO120" s="36"/>
      <c r="AWP120" s="38"/>
      <c r="AWQ120" s="38"/>
      <c r="AWW120" s="36"/>
      <c r="AWX120" s="38"/>
      <c r="AWY120" s="38"/>
      <c r="AXE120" s="36"/>
      <c r="AXF120" s="38"/>
      <c r="AXG120" s="38"/>
      <c r="AXM120" s="36"/>
      <c r="AXN120" s="38"/>
      <c r="AXO120" s="38"/>
      <c r="AXU120" s="36"/>
      <c r="AXV120" s="38"/>
      <c r="AXW120" s="38"/>
      <c r="AYC120" s="36"/>
      <c r="AYD120" s="38"/>
      <c r="AYE120" s="38"/>
      <c r="AYK120" s="36"/>
      <c r="AYL120" s="38"/>
      <c r="AYM120" s="38"/>
      <c r="AYS120" s="36"/>
      <c r="AYT120" s="38"/>
      <c r="AYU120" s="38"/>
      <c r="AZA120" s="36"/>
      <c r="AZB120" s="38"/>
      <c r="AZC120" s="38"/>
      <c r="AZI120" s="36"/>
      <c r="AZJ120" s="38"/>
      <c r="AZK120" s="38"/>
      <c r="AZQ120" s="36"/>
      <c r="AZR120" s="38"/>
      <c r="AZS120" s="38"/>
      <c r="AZY120" s="36"/>
      <c r="AZZ120" s="38"/>
      <c r="BAA120" s="38"/>
      <c r="BAG120" s="36"/>
      <c r="BAH120" s="38"/>
      <c r="BAI120" s="38"/>
      <c r="BAO120" s="36"/>
      <c r="BAP120" s="38"/>
      <c r="BAQ120" s="38"/>
      <c r="BAW120" s="36"/>
      <c r="BAX120" s="38"/>
      <c r="BAY120" s="38"/>
      <c r="BBE120" s="36"/>
      <c r="BBF120" s="38"/>
      <c r="BBG120" s="38"/>
      <c r="BBM120" s="36"/>
      <c r="BBN120" s="38"/>
      <c r="BBO120" s="38"/>
      <c r="BBU120" s="36"/>
      <c r="BBV120" s="38"/>
      <c r="BBW120" s="38"/>
      <c r="BCC120" s="36"/>
      <c r="BCD120" s="38"/>
      <c r="BCE120" s="38"/>
      <c r="BCK120" s="36"/>
      <c r="BCL120" s="38"/>
      <c r="BCM120" s="38"/>
      <c r="BCS120" s="36"/>
      <c r="BCT120" s="38"/>
      <c r="BCU120" s="38"/>
      <c r="BDA120" s="36"/>
      <c r="BDB120" s="38"/>
      <c r="BDC120" s="38"/>
      <c r="BDI120" s="36"/>
      <c r="BDJ120" s="38"/>
      <c r="BDK120" s="38"/>
      <c r="BDQ120" s="36"/>
      <c r="BDR120" s="38"/>
      <c r="BDS120" s="38"/>
      <c r="BDY120" s="36"/>
      <c r="BDZ120" s="38"/>
      <c r="BEA120" s="38"/>
      <c r="BEG120" s="36"/>
      <c r="BEH120" s="38"/>
      <c r="BEI120" s="38"/>
      <c r="BEO120" s="36"/>
      <c r="BEP120" s="38"/>
      <c r="BEQ120" s="38"/>
      <c r="BEW120" s="36"/>
      <c r="BEX120" s="38"/>
      <c r="BEY120" s="38"/>
      <c r="BFE120" s="36"/>
      <c r="BFF120" s="38"/>
      <c r="BFG120" s="38"/>
      <c r="BFM120" s="36"/>
      <c r="BFN120" s="38"/>
      <c r="BFO120" s="38"/>
      <c r="BFU120" s="36"/>
      <c r="BFV120" s="38"/>
      <c r="BFW120" s="38"/>
      <c r="BGC120" s="36"/>
      <c r="BGD120" s="38"/>
      <c r="BGE120" s="38"/>
      <c r="BGK120" s="36"/>
      <c r="BGL120" s="38"/>
      <c r="BGM120" s="38"/>
      <c r="BGS120" s="36"/>
      <c r="BGT120" s="38"/>
      <c r="BGU120" s="38"/>
      <c r="BHA120" s="36"/>
      <c r="BHB120" s="38"/>
      <c r="BHC120" s="38"/>
      <c r="BHI120" s="36"/>
      <c r="BHJ120" s="38"/>
      <c r="BHK120" s="38"/>
      <c r="BHQ120" s="36"/>
      <c r="BHR120" s="38"/>
      <c r="BHS120" s="38"/>
      <c r="BHY120" s="36"/>
      <c r="BHZ120" s="38"/>
      <c r="BIA120" s="38"/>
      <c r="BIG120" s="36"/>
      <c r="BIH120" s="38"/>
      <c r="BII120" s="38"/>
      <c r="BIO120" s="36"/>
      <c r="BIP120" s="38"/>
      <c r="BIQ120" s="38"/>
      <c r="BIW120" s="36"/>
      <c r="BIX120" s="38"/>
      <c r="BIY120" s="38"/>
      <c r="BJE120" s="36"/>
      <c r="BJF120" s="38"/>
      <c r="BJG120" s="38"/>
      <c r="BJM120" s="36"/>
      <c r="BJN120" s="38"/>
      <c r="BJO120" s="38"/>
      <c r="BJU120" s="36"/>
      <c r="BJV120" s="38"/>
      <c r="BJW120" s="38"/>
      <c r="BKC120" s="36"/>
      <c r="BKD120" s="38"/>
      <c r="BKE120" s="38"/>
      <c r="BKK120" s="36"/>
      <c r="BKL120" s="38"/>
      <c r="BKM120" s="38"/>
      <c r="BKS120" s="36"/>
      <c r="BKT120" s="38"/>
      <c r="BKU120" s="38"/>
      <c r="BLA120" s="36"/>
      <c r="BLB120" s="38"/>
      <c r="BLC120" s="38"/>
      <c r="BLI120" s="36"/>
      <c r="BLJ120" s="38"/>
      <c r="BLK120" s="38"/>
      <c r="BLQ120" s="36"/>
      <c r="BLR120" s="38"/>
      <c r="BLS120" s="38"/>
      <c r="BLY120" s="36"/>
      <c r="BLZ120" s="38"/>
      <c r="BMA120" s="38"/>
      <c r="BMG120" s="36"/>
      <c r="BMH120" s="38"/>
      <c r="BMI120" s="38"/>
      <c r="BMO120" s="36"/>
      <c r="BMP120" s="38"/>
      <c r="BMQ120" s="38"/>
      <c r="BMW120" s="36"/>
      <c r="BMX120" s="38"/>
      <c r="BMY120" s="38"/>
      <c r="BNE120" s="36"/>
      <c r="BNF120" s="38"/>
      <c r="BNG120" s="38"/>
      <c r="BNM120" s="36"/>
      <c r="BNN120" s="38"/>
      <c r="BNO120" s="38"/>
      <c r="BNU120" s="36"/>
      <c r="BNV120" s="38"/>
      <c r="BNW120" s="38"/>
      <c r="BOC120" s="36"/>
      <c r="BOD120" s="38"/>
      <c r="BOE120" s="38"/>
      <c r="BOK120" s="36"/>
      <c r="BOL120" s="38"/>
      <c r="BOM120" s="38"/>
      <c r="BOS120" s="36"/>
      <c r="BOT120" s="38"/>
      <c r="BOU120" s="38"/>
      <c r="BPA120" s="36"/>
      <c r="BPB120" s="38"/>
      <c r="BPC120" s="38"/>
      <c r="BPI120" s="36"/>
      <c r="BPJ120" s="38"/>
      <c r="BPK120" s="38"/>
      <c r="BPQ120" s="36"/>
      <c r="BPR120" s="38"/>
      <c r="BPS120" s="38"/>
      <c r="BPY120" s="36"/>
      <c r="BPZ120" s="38"/>
      <c r="BQA120" s="38"/>
      <c r="BQG120" s="36"/>
      <c r="BQH120" s="38"/>
      <c r="BQI120" s="38"/>
      <c r="BQO120" s="36"/>
      <c r="BQP120" s="38"/>
      <c r="BQQ120" s="38"/>
      <c r="BQW120" s="36"/>
      <c r="BQX120" s="38"/>
      <c r="BQY120" s="38"/>
      <c r="BRE120" s="36"/>
      <c r="BRF120" s="38"/>
      <c r="BRG120" s="38"/>
      <c r="BRM120" s="36"/>
      <c r="BRN120" s="38"/>
      <c r="BRO120" s="38"/>
      <c r="BRU120" s="36"/>
      <c r="BRV120" s="38"/>
      <c r="BRW120" s="38"/>
      <c r="BSC120" s="36"/>
      <c r="BSD120" s="38"/>
      <c r="BSE120" s="38"/>
      <c r="BSK120" s="36"/>
      <c r="BSL120" s="38"/>
      <c r="BSM120" s="38"/>
      <c r="BSS120" s="36"/>
      <c r="BST120" s="38"/>
      <c r="BSU120" s="38"/>
      <c r="BTA120" s="36"/>
      <c r="BTB120" s="38"/>
      <c r="BTC120" s="38"/>
      <c r="BTI120" s="36"/>
      <c r="BTJ120" s="38"/>
      <c r="BTK120" s="38"/>
      <c r="BTQ120" s="36"/>
      <c r="BTR120" s="38"/>
      <c r="BTS120" s="38"/>
      <c r="BTY120" s="36"/>
      <c r="BTZ120" s="38"/>
      <c r="BUA120" s="38"/>
      <c r="BUG120" s="36"/>
      <c r="BUH120" s="38"/>
      <c r="BUI120" s="38"/>
      <c r="BUO120" s="36"/>
      <c r="BUP120" s="38"/>
      <c r="BUQ120" s="38"/>
      <c r="BUW120" s="36"/>
      <c r="BUX120" s="38"/>
      <c r="BUY120" s="38"/>
      <c r="BVE120" s="36"/>
      <c r="BVF120" s="38"/>
      <c r="BVG120" s="38"/>
      <c r="BVM120" s="36"/>
      <c r="BVN120" s="38"/>
      <c r="BVO120" s="38"/>
      <c r="BVU120" s="36"/>
      <c r="BVV120" s="38"/>
      <c r="BVW120" s="38"/>
      <c r="BWC120" s="36"/>
      <c r="BWD120" s="38"/>
      <c r="BWE120" s="38"/>
      <c r="BWK120" s="36"/>
      <c r="BWL120" s="38"/>
      <c r="BWM120" s="38"/>
      <c r="BWS120" s="36"/>
      <c r="BWT120" s="38"/>
      <c r="BWU120" s="38"/>
      <c r="BXA120" s="36"/>
      <c r="BXB120" s="38"/>
      <c r="BXC120" s="38"/>
      <c r="BXI120" s="36"/>
      <c r="BXJ120" s="38"/>
      <c r="BXK120" s="38"/>
      <c r="BXQ120" s="36"/>
      <c r="BXR120" s="38"/>
      <c r="BXS120" s="38"/>
      <c r="BXY120" s="36"/>
      <c r="BXZ120" s="38"/>
      <c r="BYA120" s="38"/>
      <c r="BYG120" s="36"/>
      <c r="BYH120" s="38"/>
      <c r="BYI120" s="38"/>
      <c r="BYO120" s="36"/>
      <c r="BYP120" s="38"/>
      <c r="BYQ120" s="38"/>
      <c r="BYW120" s="36"/>
      <c r="BYX120" s="38"/>
      <c r="BYY120" s="38"/>
      <c r="BZE120" s="36"/>
      <c r="BZF120" s="38"/>
      <c r="BZG120" s="38"/>
      <c r="BZM120" s="36"/>
      <c r="BZN120" s="38"/>
      <c r="BZO120" s="38"/>
      <c r="BZU120" s="36"/>
      <c r="BZV120" s="38"/>
      <c r="BZW120" s="38"/>
      <c r="CAC120" s="36"/>
      <c r="CAD120" s="38"/>
      <c r="CAE120" s="38"/>
      <c r="CAK120" s="36"/>
      <c r="CAL120" s="38"/>
      <c r="CAM120" s="38"/>
      <c r="CAS120" s="36"/>
      <c r="CAT120" s="38"/>
      <c r="CAU120" s="38"/>
      <c r="CBA120" s="36"/>
      <c r="CBB120" s="38"/>
      <c r="CBC120" s="38"/>
      <c r="CBI120" s="36"/>
      <c r="CBJ120" s="38"/>
      <c r="CBK120" s="38"/>
      <c r="CBQ120" s="36"/>
      <c r="CBR120" s="38"/>
      <c r="CBS120" s="38"/>
      <c r="CBY120" s="36"/>
      <c r="CBZ120" s="38"/>
      <c r="CCA120" s="38"/>
      <c r="CCG120" s="36"/>
      <c r="CCH120" s="38"/>
      <c r="CCI120" s="38"/>
      <c r="CCO120" s="36"/>
      <c r="CCP120" s="38"/>
      <c r="CCQ120" s="38"/>
      <c r="CCW120" s="36"/>
      <c r="CCX120" s="38"/>
      <c r="CCY120" s="38"/>
      <c r="CDE120" s="36"/>
      <c r="CDF120" s="38"/>
      <c r="CDG120" s="38"/>
      <c r="CDM120" s="36"/>
      <c r="CDN120" s="38"/>
      <c r="CDO120" s="38"/>
      <c r="CDU120" s="36"/>
      <c r="CDV120" s="38"/>
      <c r="CDW120" s="38"/>
      <c r="CEC120" s="36"/>
      <c r="CED120" s="38"/>
      <c r="CEE120" s="38"/>
      <c r="CEK120" s="36"/>
      <c r="CEL120" s="38"/>
      <c r="CEM120" s="38"/>
      <c r="CES120" s="36"/>
      <c r="CET120" s="38"/>
      <c r="CEU120" s="38"/>
      <c r="CFA120" s="36"/>
      <c r="CFB120" s="38"/>
      <c r="CFC120" s="38"/>
      <c r="CFI120" s="36"/>
      <c r="CFJ120" s="38"/>
      <c r="CFK120" s="38"/>
      <c r="CFQ120" s="36"/>
      <c r="CFR120" s="38"/>
      <c r="CFS120" s="38"/>
      <c r="CFY120" s="36"/>
      <c r="CFZ120" s="38"/>
      <c r="CGA120" s="38"/>
      <c r="CGG120" s="36"/>
      <c r="CGH120" s="38"/>
      <c r="CGI120" s="38"/>
      <c r="CGO120" s="36"/>
      <c r="CGP120" s="38"/>
      <c r="CGQ120" s="38"/>
      <c r="CGW120" s="36"/>
      <c r="CGX120" s="38"/>
      <c r="CGY120" s="38"/>
      <c r="CHE120" s="36"/>
      <c r="CHF120" s="38"/>
      <c r="CHG120" s="38"/>
      <c r="CHM120" s="36"/>
      <c r="CHN120" s="38"/>
      <c r="CHO120" s="38"/>
      <c r="CHU120" s="36"/>
      <c r="CHV120" s="38"/>
      <c r="CHW120" s="38"/>
      <c r="CIC120" s="36"/>
      <c r="CID120" s="38"/>
      <c r="CIE120" s="38"/>
      <c r="CIK120" s="36"/>
      <c r="CIL120" s="38"/>
      <c r="CIM120" s="38"/>
      <c r="CIS120" s="36"/>
      <c r="CIT120" s="38"/>
      <c r="CIU120" s="38"/>
      <c r="CJA120" s="36"/>
      <c r="CJB120" s="38"/>
      <c r="CJC120" s="38"/>
      <c r="CJI120" s="36"/>
      <c r="CJJ120" s="38"/>
      <c r="CJK120" s="38"/>
      <c r="CJQ120" s="36"/>
      <c r="CJR120" s="38"/>
      <c r="CJS120" s="38"/>
      <c r="CJY120" s="36"/>
      <c r="CJZ120" s="38"/>
      <c r="CKA120" s="38"/>
      <c r="CKG120" s="36"/>
      <c r="CKH120" s="38"/>
      <c r="CKI120" s="38"/>
      <c r="CKO120" s="36"/>
      <c r="CKP120" s="38"/>
      <c r="CKQ120" s="38"/>
      <c r="CKW120" s="36"/>
      <c r="CKX120" s="38"/>
      <c r="CKY120" s="38"/>
      <c r="CLE120" s="36"/>
      <c r="CLF120" s="38"/>
      <c r="CLG120" s="38"/>
      <c r="CLM120" s="36"/>
      <c r="CLN120" s="38"/>
      <c r="CLO120" s="38"/>
      <c r="CLU120" s="36"/>
      <c r="CLV120" s="38"/>
      <c r="CLW120" s="38"/>
      <c r="CMC120" s="36"/>
      <c r="CMD120" s="38"/>
      <c r="CME120" s="38"/>
      <c r="CMK120" s="36"/>
      <c r="CML120" s="38"/>
      <c r="CMM120" s="38"/>
      <c r="CMS120" s="36"/>
      <c r="CMT120" s="38"/>
      <c r="CMU120" s="38"/>
      <c r="CNA120" s="36"/>
      <c r="CNB120" s="38"/>
      <c r="CNC120" s="38"/>
      <c r="CNI120" s="36"/>
      <c r="CNJ120" s="38"/>
      <c r="CNK120" s="38"/>
      <c r="CNQ120" s="36"/>
      <c r="CNR120" s="38"/>
      <c r="CNS120" s="38"/>
      <c r="CNY120" s="36"/>
      <c r="CNZ120" s="38"/>
      <c r="COA120" s="38"/>
      <c r="COG120" s="36"/>
      <c r="COH120" s="38"/>
      <c r="COI120" s="38"/>
      <c r="COO120" s="36"/>
      <c r="COP120" s="38"/>
      <c r="COQ120" s="38"/>
      <c r="COW120" s="36"/>
      <c r="COX120" s="38"/>
      <c r="COY120" s="38"/>
      <c r="CPE120" s="36"/>
      <c r="CPF120" s="38"/>
      <c r="CPG120" s="38"/>
      <c r="CPM120" s="36"/>
      <c r="CPN120" s="38"/>
      <c r="CPO120" s="38"/>
      <c r="CPU120" s="36"/>
      <c r="CPV120" s="38"/>
      <c r="CPW120" s="38"/>
      <c r="CQC120" s="36"/>
      <c r="CQD120" s="38"/>
      <c r="CQE120" s="38"/>
      <c r="CQK120" s="36"/>
      <c r="CQL120" s="38"/>
      <c r="CQM120" s="38"/>
      <c r="CQS120" s="36"/>
      <c r="CQT120" s="38"/>
      <c r="CQU120" s="38"/>
      <c r="CRA120" s="36"/>
      <c r="CRB120" s="38"/>
      <c r="CRC120" s="38"/>
      <c r="CRI120" s="36"/>
      <c r="CRJ120" s="38"/>
      <c r="CRK120" s="38"/>
      <c r="CRQ120" s="36"/>
      <c r="CRR120" s="38"/>
      <c r="CRS120" s="38"/>
      <c r="CRY120" s="36"/>
      <c r="CRZ120" s="38"/>
      <c r="CSA120" s="38"/>
      <c r="CSG120" s="36"/>
      <c r="CSH120" s="38"/>
      <c r="CSI120" s="38"/>
      <c r="CSO120" s="36"/>
      <c r="CSP120" s="38"/>
      <c r="CSQ120" s="38"/>
      <c r="CSW120" s="36"/>
      <c r="CSX120" s="38"/>
      <c r="CSY120" s="38"/>
      <c r="CTE120" s="36"/>
      <c r="CTF120" s="38"/>
      <c r="CTG120" s="38"/>
      <c r="CTM120" s="36"/>
      <c r="CTN120" s="38"/>
      <c r="CTO120" s="38"/>
      <c r="CTU120" s="36"/>
      <c r="CTV120" s="38"/>
      <c r="CTW120" s="38"/>
      <c r="CUC120" s="36"/>
      <c r="CUD120" s="38"/>
      <c r="CUE120" s="38"/>
      <c r="CUK120" s="36"/>
      <c r="CUL120" s="38"/>
      <c r="CUM120" s="38"/>
      <c r="CUS120" s="36"/>
      <c r="CUT120" s="38"/>
      <c r="CUU120" s="38"/>
      <c r="CVA120" s="36"/>
      <c r="CVB120" s="38"/>
      <c r="CVC120" s="38"/>
      <c r="CVI120" s="36"/>
      <c r="CVJ120" s="38"/>
      <c r="CVK120" s="38"/>
      <c r="CVQ120" s="36"/>
      <c r="CVR120" s="38"/>
      <c r="CVS120" s="38"/>
      <c r="CVY120" s="36"/>
      <c r="CVZ120" s="38"/>
      <c r="CWA120" s="38"/>
      <c r="CWG120" s="36"/>
      <c r="CWH120" s="38"/>
      <c r="CWI120" s="38"/>
      <c r="CWO120" s="36"/>
      <c r="CWP120" s="38"/>
      <c r="CWQ120" s="38"/>
      <c r="CWW120" s="36"/>
      <c r="CWX120" s="38"/>
      <c r="CWY120" s="38"/>
      <c r="CXE120" s="36"/>
      <c r="CXF120" s="38"/>
      <c r="CXG120" s="38"/>
      <c r="CXM120" s="36"/>
      <c r="CXN120" s="38"/>
      <c r="CXO120" s="38"/>
      <c r="CXU120" s="36"/>
      <c r="CXV120" s="38"/>
      <c r="CXW120" s="38"/>
      <c r="CYC120" s="36"/>
      <c r="CYD120" s="38"/>
      <c r="CYE120" s="38"/>
      <c r="CYK120" s="36"/>
      <c r="CYL120" s="38"/>
      <c r="CYM120" s="38"/>
      <c r="CYS120" s="36"/>
      <c r="CYT120" s="38"/>
      <c r="CYU120" s="38"/>
      <c r="CZA120" s="36"/>
      <c r="CZB120" s="38"/>
      <c r="CZC120" s="38"/>
      <c r="CZI120" s="36"/>
      <c r="CZJ120" s="38"/>
      <c r="CZK120" s="38"/>
      <c r="CZQ120" s="36"/>
      <c r="CZR120" s="38"/>
      <c r="CZS120" s="38"/>
      <c r="CZY120" s="36"/>
      <c r="CZZ120" s="38"/>
      <c r="DAA120" s="38"/>
      <c r="DAG120" s="36"/>
      <c r="DAH120" s="38"/>
      <c r="DAI120" s="38"/>
      <c r="DAO120" s="36"/>
      <c r="DAP120" s="38"/>
      <c r="DAQ120" s="38"/>
      <c r="DAW120" s="36"/>
      <c r="DAX120" s="38"/>
      <c r="DAY120" s="38"/>
      <c r="DBE120" s="36"/>
      <c r="DBF120" s="38"/>
      <c r="DBG120" s="38"/>
      <c r="DBM120" s="36"/>
      <c r="DBN120" s="38"/>
      <c r="DBO120" s="38"/>
      <c r="DBU120" s="36"/>
      <c r="DBV120" s="38"/>
      <c r="DBW120" s="38"/>
      <c r="DCC120" s="36"/>
      <c r="DCD120" s="38"/>
      <c r="DCE120" s="38"/>
      <c r="DCK120" s="36"/>
      <c r="DCL120" s="38"/>
      <c r="DCM120" s="38"/>
      <c r="DCS120" s="36"/>
      <c r="DCT120" s="38"/>
      <c r="DCU120" s="38"/>
      <c r="DDA120" s="36"/>
      <c r="DDB120" s="38"/>
      <c r="DDC120" s="38"/>
      <c r="DDI120" s="36"/>
      <c r="DDJ120" s="38"/>
      <c r="DDK120" s="38"/>
      <c r="DDQ120" s="36"/>
      <c r="DDR120" s="38"/>
      <c r="DDS120" s="38"/>
      <c r="DDY120" s="36"/>
      <c r="DDZ120" s="38"/>
      <c r="DEA120" s="38"/>
      <c r="DEG120" s="36"/>
      <c r="DEH120" s="38"/>
      <c r="DEI120" s="38"/>
      <c r="DEO120" s="36"/>
      <c r="DEP120" s="38"/>
      <c r="DEQ120" s="38"/>
      <c r="DEW120" s="36"/>
      <c r="DEX120" s="38"/>
      <c r="DEY120" s="38"/>
      <c r="DFE120" s="36"/>
      <c r="DFF120" s="38"/>
      <c r="DFG120" s="38"/>
      <c r="DFM120" s="36"/>
      <c r="DFN120" s="38"/>
      <c r="DFO120" s="38"/>
      <c r="DFU120" s="36"/>
      <c r="DFV120" s="38"/>
      <c r="DFW120" s="38"/>
      <c r="DGC120" s="36"/>
      <c r="DGD120" s="38"/>
      <c r="DGE120" s="38"/>
      <c r="DGK120" s="36"/>
      <c r="DGL120" s="38"/>
      <c r="DGM120" s="38"/>
      <c r="DGS120" s="36"/>
      <c r="DGT120" s="38"/>
      <c r="DGU120" s="38"/>
      <c r="DHA120" s="36"/>
      <c r="DHB120" s="38"/>
      <c r="DHC120" s="38"/>
      <c r="DHI120" s="36"/>
      <c r="DHJ120" s="38"/>
      <c r="DHK120" s="38"/>
      <c r="DHQ120" s="36"/>
      <c r="DHR120" s="38"/>
      <c r="DHS120" s="38"/>
      <c r="DHY120" s="36"/>
      <c r="DHZ120" s="38"/>
      <c r="DIA120" s="38"/>
      <c r="DIG120" s="36"/>
      <c r="DIH120" s="38"/>
      <c r="DII120" s="38"/>
      <c r="DIO120" s="36"/>
      <c r="DIP120" s="38"/>
      <c r="DIQ120" s="38"/>
      <c r="DIW120" s="36"/>
      <c r="DIX120" s="38"/>
      <c r="DIY120" s="38"/>
      <c r="DJE120" s="36"/>
      <c r="DJF120" s="38"/>
      <c r="DJG120" s="38"/>
      <c r="DJM120" s="36"/>
      <c r="DJN120" s="38"/>
      <c r="DJO120" s="38"/>
      <c r="DJU120" s="36"/>
      <c r="DJV120" s="38"/>
      <c r="DJW120" s="38"/>
      <c r="DKC120" s="36"/>
      <c r="DKD120" s="38"/>
      <c r="DKE120" s="38"/>
      <c r="DKK120" s="36"/>
      <c r="DKL120" s="38"/>
      <c r="DKM120" s="38"/>
      <c r="DKS120" s="36"/>
      <c r="DKT120" s="38"/>
      <c r="DKU120" s="38"/>
      <c r="DLA120" s="36"/>
      <c r="DLB120" s="38"/>
      <c r="DLC120" s="38"/>
      <c r="DLI120" s="36"/>
      <c r="DLJ120" s="38"/>
      <c r="DLK120" s="38"/>
      <c r="DLQ120" s="36"/>
      <c r="DLR120" s="38"/>
      <c r="DLS120" s="38"/>
      <c r="DLY120" s="36"/>
      <c r="DLZ120" s="38"/>
      <c r="DMA120" s="38"/>
      <c r="DMG120" s="36"/>
      <c r="DMH120" s="38"/>
      <c r="DMI120" s="38"/>
      <c r="DMO120" s="36"/>
      <c r="DMP120" s="38"/>
      <c r="DMQ120" s="38"/>
      <c r="DMW120" s="36"/>
      <c r="DMX120" s="38"/>
      <c r="DMY120" s="38"/>
      <c r="DNE120" s="36"/>
      <c r="DNF120" s="38"/>
      <c r="DNG120" s="38"/>
      <c r="DNM120" s="36"/>
      <c r="DNN120" s="38"/>
      <c r="DNO120" s="38"/>
      <c r="DNU120" s="36"/>
      <c r="DNV120" s="38"/>
      <c r="DNW120" s="38"/>
      <c r="DOC120" s="36"/>
      <c r="DOD120" s="38"/>
      <c r="DOE120" s="38"/>
      <c r="DOK120" s="36"/>
      <c r="DOL120" s="38"/>
      <c r="DOM120" s="38"/>
      <c r="DOS120" s="36"/>
      <c r="DOT120" s="38"/>
      <c r="DOU120" s="38"/>
      <c r="DPA120" s="36"/>
      <c r="DPB120" s="38"/>
      <c r="DPC120" s="38"/>
      <c r="DPI120" s="36"/>
      <c r="DPJ120" s="38"/>
      <c r="DPK120" s="38"/>
      <c r="DPQ120" s="36"/>
      <c r="DPR120" s="38"/>
      <c r="DPS120" s="38"/>
      <c r="DPY120" s="36"/>
      <c r="DPZ120" s="38"/>
      <c r="DQA120" s="38"/>
      <c r="DQG120" s="36"/>
      <c r="DQH120" s="38"/>
      <c r="DQI120" s="38"/>
      <c r="DQO120" s="36"/>
      <c r="DQP120" s="38"/>
      <c r="DQQ120" s="38"/>
      <c r="DQW120" s="36"/>
      <c r="DQX120" s="38"/>
      <c r="DQY120" s="38"/>
      <c r="DRE120" s="36"/>
      <c r="DRF120" s="38"/>
      <c r="DRG120" s="38"/>
      <c r="DRM120" s="36"/>
      <c r="DRN120" s="38"/>
      <c r="DRO120" s="38"/>
      <c r="DRU120" s="36"/>
      <c r="DRV120" s="38"/>
      <c r="DRW120" s="38"/>
      <c r="DSC120" s="36"/>
      <c r="DSD120" s="38"/>
      <c r="DSE120" s="38"/>
      <c r="DSK120" s="36"/>
      <c r="DSL120" s="38"/>
      <c r="DSM120" s="38"/>
      <c r="DSS120" s="36"/>
      <c r="DST120" s="38"/>
      <c r="DSU120" s="38"/>
      <c r="DTA120" s="36"/>
      <c r="DTB120" s="38"/>
      <c r="DTC120" s="38"/>
      <c r="DTI120" s="36"/>
      <c r="DTJ120" s="38"/>
      <c r="DTK120" s="38"/>
      <c r="DTQ120" s="36"/>
      <c r="DTR120" s="38"/>
      <c r="DTS120" s="38"/>
      <c r="DTY120" s="36"/>
      <c r="DTZ120" s="38"/>
      <c r="DUA120" s="38"/>
      <c r="DUG120" s="36"/>
      <c r="DUH120" s="38"/>
      <c r="DUI120" s="38"/>
      <c r="DUO120" s="36"/>
      <c r="DUP120" s="38"/>
      <c r="DUQ120" s="38"/>
      <c r="DUW120" s="36"/>
      <c r="DUX120" s="38"/>
      <c r="DUY120" s="38"/>
      <c r="DVE120" s="36"/>
      <c r="DVF120" s="38"/>
      <c r="DVG120" s="38"/>
      <c r="DVM120" s="36"/>
      <c r="DVN120" s="38"/>
      <c r="DVO120" s="38"/>
      <c r="DVU120" s="36"/>
      <c r="DVV120" s="38"/>
      <c r="DVW120" s="38"/>
      <c r="DWC120" s="36"/>
      <c r="DWD120" s="38"/>
      <c r="DWE120" s="38"/>
      <c r="DWK120" s="36"/>
      <c r="DWL120" s="38"/>
      <c r="DWM120" s="38"/>
      <c r="DWS120" s="36"/>
      <c r="DWT120" s="38"/>
      <c r="DWU120" s="38"/>
      <c r="DXA120" s="36"/>
      <c r="DXB120" s="38"/>
      <c r="DXC120" s="38"/>
      <c r="DXI120" s="36"/>
      <c r="DXJ120" s="38"/>
      <c r="DXK120" s="38"/>
      <c r="DXQ120" s="36"/>
      <c r="DXR120" s="38"/>
      <c r="DXS120" s="38"/>
      <c r="DXY120" s="36"/>
      <c r="DXZ120" s="38"/>
      <c r="DYA120" s="38"/>
      <c r="DYG120" s="36"/>
      <c r="DYH120" s="38"/>
      <c r="DYI120" s="38"/>
      <c r="DYO120" s="36"/>
      <c r="DYP120" s="38"/>
      <c r="DYQ120" s="38"/>
      <c r="DYW120" s="36"/>
      <c r="DYX120" s="38"/>
      <c r="DYY120" s="38"/>
      <c r="DZE120" s="36"/>
      <c r="DZF120" s="38"/>
      <c r="DZG120" s="38"/>
      <c r="DZM120" s="36"/>
      <c r="DZN120" s="38"/>
      <c r="DZO120" s="38"/>
      <c r="DZU120" s="36"/>
      <c r="DZV120" s="38"/>
      <c r="DZW120" s="38"/>
      <c r="EAC120" s="36"/>
      <c r="EAD120" s="38"/>
      <c r="EAE120" s="38"/>
      <c r="EAK120" s="36"/>
      <c r="EAL120" s="38"/>
      <c r="EAM120" s="38"/>
      <c r="EAS120" s="36"/>
      <c r="EAT120" s="38"/>
      <c r="EAU120" s="38"/>
      <c r="EBA120" s="36"/>
      <c r="EBB120" s="38"/>
      <c r="EBC120" s="38"/>
      <c r="EBI120" s="36"/>
      <c r="EBJ120" s="38"/>
      <c r="EBK120" s="38"/>
      <c r="EBQ120" s="36"/>
      <c r="EBR120" s="38"/>
      <c r="EBS120" s="38"/>
      <c r="EBY120" s="36"/>
      <c r="EBZ120" s="38"/>
      <c r="ECA120" s="38"/>
      <c r="ECG120" s="36"/>
      <c r="ECH120" s="38"/>
      <c r="ECI120" s="38"/>
      <c r="ECO120" s="36"/>
      <c r="ECP120" s="38"/>
      <c r="ECQ120" s="38"/>
      <c r="ECW120" s="36"/>
      <c r="ECX120" s="38"/>
      <c r="ECY120" s="38"/>
      <c r="EDE120" s="36"/>
      <c r="EDF120" s="38"/>
      <c r="EDG120" s="38"/>
      <c r="EDM120" s="36"/>
      <c r="EDN120" s="38"/>
      <c r="EDO120" s="38"/>
      <c r="EDU120" s="36"/>
      <c r="EDV120" s="38"/>
      <c r="EDW120" s="38"/>
      <c r="EEC120" s="36"/>
      <c r="EED120" s="38"/>
      <c r="EEE120" s="38"/>
      <c r="EEK120" s="36"/>
      <c r="EEL120" s="38"/>
      <c r="EEM120" s="38"/>
      <c r="EES120" s="36"/>
      <c r="EET120" s="38"/>
      <c r="EEU120" s="38"/>
      <c r="EFA120" s="36"/>
      <c r="EFB120" s="38"/>
      <c r="EFC120" s="38"/>
      <c r="EFI120" s="36"/>
      <c r="EFJ120" s="38"/>
      <c r="EFK120" s="38"/>
      <c r="EFQ120" s="36"/>
      <c r="EFR120" s="38"/>
      <c r="EFS120" s="38"/>
      <c r="EFY120" s="36"/>
      <c r="EFZ120" s="38"/>
      <c r="EGA120" s="38"/>
      <c r="EGG120" s="36"/>
      <c r="EGH120" s="38"/>
      <c r="EGI120" s="38"/>
      <c r="EGO120" s="36"/>
      <c r="EGP120" s="38"/>
      <c r="EGQ120" s="38"/>
      <c r="EGW120" s="36"/>
      <c r="EGX120" s="38"/>
      <c r="EGY120" s="38"/>
      <c r="EHE120" s="36"/>
      <c r="EHF120" s="38"/>
      <c r="EHG120" s="38"/>
      <c r="EHM120" s="36"/>
      <c r="EHN120" s="38"/>
      <c r="EHO120" s="38"/>
      <c r="EHU120" s="36"/>
      <c r="EHV120" s="38"/>
      <c r="EHW120" s="38"/>
      <c r="EIC120" s="36"/>
      <c r="EID120" s="38"/>
      <c r="EIE120" s="38"/>
      <c r="EIK120" s="36"/>
      <c r="EIL120" s="38"/>
      <c r="EIM120" s="38"/>
      <c r="EIS120" s="36"/>
      <c r="EIT120" s="38"/>
      <c r="EIU120" s="38"/>
      <c r="EJA120" s="36"/>
      <c r="EJB120" s="38"/>
      <c r="EJC120" s="38"/>
      <c r="EJI120" s="36"/>
      <c r="EJJ120" s="38"/>
      <c r="EJK120" s="38"/>
      <c r="EJQ120" s="36"/>
      <c r="EJR120" s="38"/>
      <c r="EJS120" s="38"/>
      <c r="EJY120" s="36"/>
      <c r="EJZ120" s="38"/>
      <c r="EKA120" s="38"/>
      <c r="EKG120" s="36"/>
      <c r="EKH120" s="38"/>
      <c r="EKI120" s="38"/>
      <c r="EKO120" s="36"/>
      <c r="EKP120" s="38"/>
      <c r="EKQ120" s="38"/>
      <c r="EKW120" s="36"/>
      <c r="EKX120" s="38"/>
      <c r="EKY120" s="38"/>
      <c r="ELE120" s="36"/>
      <c r="ELF120" s="38"/>
      <c r="ELG120" s="38"/>
      <c r="ELM120" s="36"/>
      <c r="ELN120" s="38"/>
      <c r="ELO120" s="38"/>
      <c r="ELU120" s="36"/>
      <c r="ELV120" s="38"/>
      <c r="ELW120" s="38"/>
      <c r="EMC120" s="36"/>
      <c r="EMD120" s="38"/>
      <c r="EME120" s="38"/>
      <c r="EMK120" s="36"/>
      <c r="EML120" s="38"/>
      <c r="EMM120" s="38"/>
      <c r="EMS120" s="36"/>
      <c r="EMT120" s="38"/>
      <c r="EMU120" s="38"/>
      <c r="ENA120" s="36"/>
      <c r="ENB120" s="38"/>
      <c r="ENC120" s="38"/>
      <c r="ENI120" s="36"/>
      <c r="ENJ120" s="38"/>
      <c r="ENK120" s="38"/>
      <c r="ENQ120" s="36"/>
      <c r="ENR120" s="38"/>
      <c r="ENS120" s="38"/>
      <c r="ENY120" s="36"/>
      <c r="ENZ120" s="38"/>
      <c r="EOA120" s="38"/>
      <c r="EOG120" s="36"/>
      <c r="EOH120" s="38"/>
      <c r="EOI120" s="38"/>
      <c r="EOO120" s="36"/>
      <c r="EOP120" s="38"/>
      <c r="EOQ120" s="38"/>
      <c r="EOW120" s="36"/>
      <c r="EOX120" s="38"/>
      <c r="EOY120" s="38"/>
      <c r="EPE120" s="36"/>
      <c r="EPF120" s="38"/>
      <c r="EPG120" s="38"/>
      <c r="EPM120" s="36"/>
      <c r="EPN120" s="38"/>
      <c r="EPO120" s="38"/>
      <c r="EPU120" s="36"/>
      <c r="EPV120" s="38"/>
      <c r="EPW120" s="38"/>
      <c r="EQC120" s="36"/>
      <c r="EQD120" s="38"/>
      <c r="EQE120" s="38"/>
      <c r="EQK120" s="36"/>
      <c r="EQL120" s="38"/>
      <c r="EQM120" s="38"/>
      <c r="EQS120" s="36"/>
      <c r="EQT120" s="38"/>
      <c r="EQU120" s="38"/>
      <c r="ERA120" s="36"/>
      <c r="ERB120" s="38"/>
      <c r="ERC120" s="38"/>
      <c r="ERI120" s="36"/>
      <c r="ERJ120" s="38"/>
      <c r="ERK120" s="38"/>
      <c r="ERQ120" s="36"/>
      <c r="ERR120" s="38"/>
      <c r="ERS120" s="38"/>
      <c r="ERY120" s="36"/>
      <c r="ERZ120" s="38"/>
      <c r="ESA120" s="38"/>
      <c r="ESG120" s="36"/>
      <c r="ESH120" s="38"/>
      <c r="ESI120" s="38"/>
      <c r="ESO120" s="36"/>
      <c r="ESP120" s="38"/>
      <c r="ESQ120" s="38"/>
      <c r="ESW120" s="36"/>
      <c r="ESX120" s="38"/>
      <c r="ESY120" s="38"/>
      <c r="ETE120" s="36"/>
      <c r="ETF120" s="38"/>
      <c r="ETG120" s="38"/>
      <c r="ETM120" s="36"/>
      <c r="ETN120" s="38"/>
      <c r="ETO120" s="38"/>
      <c r="ETU120" s="36"/>
      <c r="ETV120" s="38"/>
      <c r="ETW120" s="38"/>
      <c r="EUC120" s="36"/>
      <c r="EUD120" s="38"/>
      <c r="EUE120" s="38"/>
      <c r="EUK120" s="36"/>
      <c r="EUL120" s="38"/>
      <c r="EUM120" s="38"/>
      <c r="EUS120" s="36"/>
      <c r="EUT120" s="38"/>
      <c r="EUU120" s="38"/>
      <c r="EVA120" s="36"/>
      <c r="EVB120" s="38"/>
      <c r="EVC120" s="38"/>
      <c r="EVI120" s="36"/>
      <c r="EVJ120" s="38"/>
      <c r="EVK120" s="38"/>
      <c r="EVQ120" s="36"/>
      <c r="EVR120" s="38"/>
      <c r="EVS120" s="38"/>
      <c r="EVY120" s="36"/>
      <c r="EVZ120" s="38"/>
      <c r="EWA120" s="38"/>
      <c r="EWG120" s="36"/>
      <c r="EWH120" s="38"/>
      <c r="EWI120" s="38"/>
      <c r="EWO120" s="36"/>
      <c r="EWP120" s="38"/>
      <c r="EWQ120" s="38"/>
      <c r="EWW120" s="36"/>
      <c r="EWX120" s="38"/>
      <c r="EWY120" s="38"/>
      <c r="EXE120" s="36"/>
      <c r="EXF120" s="38"/>
      <c r="EXG120" s="38"/>
      <c r="EXM120" s="36"/>
      <c r="EXN120" s="38"/>
      <c r="EXO120" s="38"/>
      <c r="EXU120" s="36"/>
      <c r="EXV120" s="38"/>
      <c r="EXW120" s="38"/>
      <c r="EYC120" s="36"/>
      <c r="EYD120" s="38"/>
      <c r="EYE120" s="38"/>
      <c r="EYK120" s="36"/>
      <c r="EYL120" s="38"/>
      <c r="EYM120" s="38"/>
      <c r="EYS120" s="36"/>
      <c r="EYT120" s="38"/>
      <c r="EYU120" s="38"/>
      <c r="EZA120" s="36"/>
      <c r="EZB120" s="38"/>
      <c r="EZC120" s="38"/>
      <c r="EZI120" s="36"/>
      <c r="EZJ120" s="38"/>
      <c r="EZK120" s="38"/>
      <c r="EZQ120" s="36"/>
      <c r="EZR120" s="38"/>
      <c r="EZS120" s="38"/>
      <c r="EZY120" s="36"/>
      <c r="EZZ120" s="38"/>
      <c r="FAA120" s="38"/>
      <c r="FAG120" s="36"/>
      <c r="FAH120" s="38"/>
      <c r="FAI120" s="38"/>
      <c r="FAO120" s="36"/>
      <c r="FAP120" s="38"/>
      <c r="FAQ120" s="38"/>
      <c r="FAW120" s="36"/>
      <c r="FAX120" s="38"/>
      <c r="FAY120" s="38"/>
      <c r="FBE120" s="36"/>
      <c r="FBF120" s="38"/>
      <c r="FBG120" s="38"/>
      <c r="FBM120" s="36"/>
      <c r="FBN120" s="38"/>
      <c r="FBO120" s="38"/>
      <c r="FBU120" s="36"/>
      <c r="FBV120" s="38"/>
      <c r="FBW120" s="38"/>
      <c r="FCC120" s="36"/>
      <c r="FCD120" s="38"/>
      <c r="FCE120" s="38"/>
      <c r="FCK120" s="36"/>
      <c r="FCL120" s="38"/>
      <c r="FCM120" s="38"/>
      <c r="FCS120" s="36"/>
      <c r="FCT120" s="38"/>
      <c r="FCU120" s="38"/>
      <c r="FDA120" s="36"/>
      <c r="FDB120" s="38"/>
      <c r="FDC120" s="38"/>
      <c r="FDI120" s="36"/>
      <c r="FDJ120" s="38"/>
      <c r="FDK120" s="38"/>
      <c r="FDQ120" s="36"/>
      <c r="FDR120" s="38"/>
      <c r="FDS120" s="38"/>
      <c r="FDY120" s="36"/>
      <c r="FDZ120" s="38"/>
      <c r="FEA120" s="38"/>
      <c r="FEG120" s="36"/>
      <c r="FEH120" s="38"/>
      <c r="FEI120" s="38"/>
      <c r="FEO120" s="36"/>
      <c r="FEP120" s="38"/>
      <c r="FEQ120" s="38"/>
      <c r="FEW120" s="36"/>
      <c r="FEX120" s="38"/>
      <c r="FEY120" s="38"/>
      <c r="FFE120" s="36"/>
      <c r="FFF120" s="38"/>
      <c r="FFG120" s="38"/>
      <c r="FFM120" s="36"/>
      <c r="FFN120" s="38"/>
      <c r="FFO120" s="38"/>
      <c r="FFU120" s="36"/>
      <c r="FFV120" s="38"/>
      <c r="FFW120" s="38"/>
      <c r="FGC120" s="36"/>
      <c r="FGD120" s="38"/>
      <c r="FGE120" s="38"/>
      <c r="FGK120" s="36"/>
      <c r="FGL120" s="38"/>
      <c r="FGM120" s="38"/>
      <c r="FGS120" s="36"/>
      <c r="FGT120" s="38"/>
      <c r="FGU120" s="38"/>
      <c r="FHA120" s="36"/>
      <c r="FHB120" s="38"/>
      <c r="FHC120" s="38"/>
      <c r="FHI120" s="36"/>
      <c r="FHJ120" s="38"/>
      <c r="FHK120" s="38"/>
      <c r="FHQ120" s="36"/>
      <c r="FHR120" s="38"/>
      <c r="FHS120" s="38"/>
      <c r="FHY120" s="36"/>
      <c r="FHZ120" s="38"/>
      <c r="FIA120" s="38"/>
      <c r="FIG120" s="36"/>
      <c r="FIH120" s="38"/>
      <c r="FII120" s="38"/>
      <c r="FIO120" s="36"/>
      <c r="FIP120" s="38"/>
      <c r="FIQ120" s="38"/>
      <c r="FIW120" s="36"/>
      <c r="FIX120" s="38"/>
      <c r="FIY120" s="38"/>
      <c r="FJE120" s="36"/>
      <c r="FJF120" s="38"/>
      <c r="FJG120" s="38"/>
      <c r="FJM120" s="36"/>
      <c r="FJN120" s="38"/>
      <c r="FJO120" s="38"/>
      <c r="FJU120" s="36"/>
      <c r="FJV120" s="38"/>
      <c r="FJW120" s="38"/>
      <c r="FKC120" s="36"/>
      <c r="FKD120" s="38"/>
      <c r="FKE120" s="38"/>
      <c r="FKK120" s="36"/>
      <c r="FKL120" s="38"/>
      <c r="FKM120" s="38"/>
      <c r="FKS120" s="36"/>
      <c r="FKT120" s="38"/>
      <c r="FKU120" s="38"/>
      <c r="FLA120" s="36"/>
      <c r="FLB120" s="38"/>
      <c r="FLC120" s="38"/>
      <c r="FLI120" s="36"/>
      <c r="FLJ120" s="38"/>
      <c r="FLK120" s="38"/>
      <c r="FLQ120" s="36"/>
      <c r="FLR120" s="38"/>
      <c r="FLS120" s="38"/>
      <c r="FLY120" s="36"/>
      <c r="FLZ120" s="38"/>
      <c r="FMA120" s="38"/>
      <c r="FMG120" s="36"/>
      <c r="FMH120" s="38"/>
      <c r="FMI120" s="38"/>
      <c r="FMO120" s="36"/>
      <c r="FMP120" s="38"/>
      <c r="FMQ120" s="38"/>
      <c r="FMW120" s="36"/>
      <c r="FMX120" s="38"/>
      <c r="FMY120" s="38"/>
      <c r="FNE120" s="36"/>
      <c r="FNF120" s="38"/>
      <c r="FNG120" s="38"/>
      <c r="FNM120" s="36"/>
      <c r="FNN120" s="38"/>
      <c r="FNO120" s="38"/>
      <c r="FNU120" s="36"/>
      <c r="FNV120" s="38"/>
      <c r="FNW120" s="38"/>
      <c r="FOC120" s="36"/>
      <c r="FOD120" s="38"/>
      <c r="FOE120" s="38"/>
      <c r="FOK120" s="36"/>
      <c r="FOL120" s="38"/>
      <c r="FOM120" s="38"/>
      <c r="FOS120" s="36"/>
      <c r="FOT120" s="38"/>
      <c r="FOU120" s="38"/>
      <c r="FPA120" s="36"/>
      <c r="FPB120" s="38"/>
      <c r="FPC120" s="38"/>
      <c r="FPI120" s="36"/>
      <c r="FPJ120" s="38"/>
      <c r="FPK120" s="38"/>
      <c r="FPQ120" s="36"/>
      <c r="FPR120" s="38"/>
      <c r="FPS120" s="38"/>
      <c r="FPY120" s="36"/>
      <c r="FPZ120" s="38"/>
      <c r="FQA120" s="38"/>
      <c r="FQG120" s="36"/>
      <c r="FQH120" s="38"/>
      <c r="FQI120" s="38"/>
      <c r="FQO120" s="36"/>
      <c r="FQP120" s="38"/>
      <c r="FQQ120" s="38"/>
      <c r="FQW120" s="36"/>
      <c r="FQX120" s="38"/>
      <c r="FQY120" s="38"/>
      <c r="FRE120" s="36"/>
      <c r="FRF120" s="38"/>
      <c r="FRG120" s="38"/>
      <c r="FRM120" s="36"/>
      <c r="FRN120" s="38"/>
      <c r="FRO120" s="38"/>
      <c r="FRU120" s="36"/>
      <c r="FRV120" s="38"/>
      <c r="FRW120" s="38"/>
      <c r="FSC120" s="36"/>
      <c r="FSD120" s="38"/>
      <c r="FSE120" s="38"/>
      <c r="FSK120" s="36"/>
      <c r="FSL120" s="38"/>
      <c r="FSM120" s="38"/>
      <c r="FSS120" s="36"/>
      <c r="FST120" s="38"/>
      <c r="FSU120" s="38"/>
      <c r="FTA120" s="36"/>
      <c r="FTB120" s="38"/>
      <c r="FTC120" s="38"/>
      <c r="FTI120" s="36"/>
      <c r="FTJ120" s="38"/>
      <c r="FTK120" s="38"/>
      <c r="FTQ120" s="36"/>
      <c r="FTR120" s="38"/>
      <c r="FTS120" s="38"/>
      <c r="FTY120" s="36"/>
      <c r="FTZ120" s="38"/>
      <c r="FUA120" s="38"/>
      <c r="FUG120" s="36"/>
      <c r="FUH120" s="38"/>
      <c r="FUI120" s="38"/>
      <c r="FUO120" s="36"/>
      <c r="FUP120" s="38"/>
      <c r="FUQ120" s="38"/>
      <c r="FUW120" s="36"/>
      <c r="FUX120" s="38"/>
      <c r="FUY120" s="38"/>
      <c r="FVE120" s="36"/>
      <c r="FVF120" s="38"/>
      <c r="FVG120" s="38"/>
      <c r="FVM120" s="36"/>
      <c r="FVN120" s="38"/>
      <c r="FVO120" s="38"/>
      <c r="FVU120" s="36"/>
      <c r="FVV120" s="38"/>
      <c r="FVW120" s="38"/>
      <c r="FWC120" s="36"/>
      <c r="FWD120" s="38"/>
      <c r="FWE120" s="38"/>
      <c r="FWK120" s="36"/>
      <c r="FWL120" s="38"/>
      <c r="FWM120" s="38"/>
      <c r="FWS120" s="36"/>
      <c r="FWT120" s="38"/>
      <c r="FWU120" s="38"/>
      <c r="FXA120" s="36"/>
      <c r="FXB120" s="38"/>
      <c r="FXC120" s="38"/>
      <c r="FXI120" s="36"/>
      <c r="FXJ120" s="38"/>
      <c r="FXK120" s="38"/>
      <c r="FXQ120" s="36"/>
      <c r="FXR120" s="38"/>
      <c r="FXS120" s="38"/>
      <c r="FXY120" s="36"/>
      <c r="FXZ120" s="38"/>
      <c r="FYA120" s="38"/>
      <c r="FYG120" s="36"/>
      <c r="FYH120" s="38"/>
      <c r="FYI120" s="38"/>
      <c r="FYO120" s="36"/>
      <c r="FYP120" s="38"/>
      <c r="FYQ120" s="38"/>
      <c r="FYW120" s="36"/>
      <c r="FYX120" s="38"/>
      <c r="FYY120" s="38"/>
      <c r="FZE120" s="36"/>
      <c r="FZF120" s="38"/>
      <c r="FZG120" s="38"/>
      <c r="FZM120" s="36"/>
      <c r="FZN120" s="38"/>
      <c r="FZO120" s="38"/>
      <c r="FZU120" s="36"/>
      <c r="FZV120" s="38"/>
      <c r="FZW120" s="38"/>
      <c r="GAC120" s="36"/>
      <c r="GAD120" s="38"/>
      <c r="GAE120" s="38"/>
      <c r="GAK120" s="36"/>
      <c r="GAL120" s="38"/>
      <c r="GAM120" s="38"/>
      <c r="GAS120" s="36"/>
      <c r="GAT120" s="38"/>
      <c r="GAU120" s="38"/>
      <c r="GBA120" s="36"/>
      <c r="GBB120" s="38"/>
      <c r="GBC120" s="38"/>
      <c r="GBI120" s="36"/>
      <c r="GBJ120" s="38"/>
      <c r="GBK120" s="38"/>
      <c r="GBQ120" s="36"/>
      <c r="GBR120" s="38"/>
      <c r="GBS120" s="38"/>
      <c r="GBY120" s="36"/>
      <c r="GBZ120" s="38"/>
      <c r="GCA120" s="38"/>
      <c r="GCG120" s="36"/>
      <c r="GCH120" s="38"/>
      <c r="GCI120" s="38"/>
      <c r="GCO120" s="36"/>
      <c r="GCP120" s="38"/>
      <c r="GCQ120" s="38"/>
      <c r="GCW120" s="36"/>
      <c r="GCX120" s="38"/>
      <c r="GCY120" s="38"/>
      <c r="GDE120" s="36"/>
      <c r="GDF120" s="38"/>
      <c r="GDG120" s="38"/>
      <c r="GDM120" s="36"/>
      <c r="GDN120" s="38"/>
      <c r="GDO120" s="38"/>
      <c r="GDU120" s="36"/>
      <c r="GDV120" s="38"/>
      <c r="GDW120" s="38"/>
      <c r="GEC120" s="36"/>
      <c r="GED120" s="38"/>
      <c r="GEE120" s="38"/>
      <c r="GEK120" s="36"/>
      <c r="GEL120" s="38"/>
      <c r="GEM120" s="38"/>
      <c r="GES120" s="36"/>
      <c r="GET120" s="38"/>
      <c r="GEU120" s="38"/>
      <c r="GFA120" s="36"/>
      <c r="GFB120" s="38"/>
      <c r="GFC120" s="38"/>
      <c r="GFI120" s="36"/>
      <c r="GFJ120" s="38"/>
      <c r="GFK120" s="38"/>
      <c r="GFQ120" s="36"/>
      <c r="GFR120" s="38"/>
      <c r="GFS120" s="38"/>
      <c r="GFY120" s="36"/>
      <c r="GFZ120" s="38"/>
      <c r="GGA120" s="38"/>
      <c r="GGG120" s="36"/>
      <c r="GGH120" s="38"/>
      <c r="GGI120" s="38"/>
      <c r="GGO120" s="36"/>
      <c r="GGP120" s="38"/>
      <c r="GGQ120" s="38"/>
      <c r="GGW120" s="36"/>
      <c r="GGX120" s="38"/>
      <c r="GGY120" s="38"/>
      <c r="GHE120" s="36"/>
      <c r="GHF120" s="38"/>
      <c r="GHG120" s="38"/>
      <c r="GHM120" s="36"/>
      <c r="GHN120" s="38"/>
      <c r="GHO120" s="38"/>
      <c r="GHU120" s="36"/>
      <c r="GHV120" s="38"/>
      <c r="GHW120" s="38"/>
      <c r="GIC120" s="36"/>
      <c r="GID120" s="38"/>
      <c r="GIE120" s="38"/>
      <c r="GIK120" s="36"/>
      <c r="GIL120" s="38"/>
      <c r="GIM120" s="38"/>
      <c r="GIS120" s="36"/>
      <c r="GIT120" s="38"/>
      <c r="GIU120" s="38"/>
      <c r="GJA120" s="36"/>
      <c r="GJB120" s="38"/>
      <c r="GJC120" s="38"/>
      <c r="GJI120" s="36"/>
      <c r="GJJ120" s="38"/>
      <c r="GJK120" s="38"/>
      <c r="GJQ120" s="36"/>
      <c r="GJR120" s="38"/>
      <c r="GJS120" s="38"/>
      <c r="GJY120" s="36"/>
      <c r="GJZ120" s="38"/>
      <c r="GKA120" s="38"/>
      <c r="GKG120" s="36"/>
      <c r="GKH120" s="38"/>
      <c r="GKI120" s="38"/>
      <c r="GKO120" s="36"/>
      <c r="GKP120" s="38"/>
      <c r="GKQ120" s="38"/>
      <c r="GKW120" s="36"/>
      <c r="GKX120" s="38"/>
      <c r="GKY120" s="38"/>
      <c r="GLE120" s="36"/>
      <c r="GLF120" s="38"/>
      <c r="GLG120" s="38"/>
      <c r="GLM120" s="36"/>
      <c r="GLN120" s="38"/>
      <c r="GLO120" s="38"/>
      <c r="GLU120" s="36"/>
      <c r="GLV120" s="38"/>
      <c r="GLW120" s="38"/>
      <c r="GMC120" s="36"/>
      <c r="GMD120" s="38"/>
      <c r="GME120" s="38"/>
      <c r="GMK120" s="36"/>
      <c r="GML120" s="38"/>
      <c r="GMM120" s="38"/>
      <c r="GMS120" s="36"/>
      <c r="GMT120" s="38"/>
      <c r="GMU120" s="38"/>
      <c r="GNA120" s="36"/>
      <c r="GNB120" s="38"/>
      <c r="GNC120" s="38"/>
      <c r="GNI120" s="36"/>
      <c r="GNJ120" s="38"/>
      <c r="GNK120" s="38"/>
      <c r="GNQ120" s="36"/>
      <c r="GNR120" s="38"/>
      <c r="GNS120" s="38"/>
      <c r="GNY120" s="36"/>
      <c r="GNZ120" s="38"/>
      <c r="GOA120" s="38"/>
      <c r="GOG120" s="36"/>
      <c r="GOH120" s="38"/>
      <c r="GOI120" s="38"/>
      <c r="GOO120" s="36"/>
      <c r="GOP120" s="38"/>
      <c r="GOQ120" s="38"/>
      <c r="GOW120" s="36"/>
      <c r="GOX120" s="38"/>
      <c r="GOY120" s="38"/>
      <c r="GPE120" s="36"/>
      <c r="GPF120" s="38"/>
      <c r="GPG120" s="38"/>
      <c r="GPM120" s="36"/>
      <c r="GPN120" s="38"/>
      <c r="GPO120" s="38"/>
      <c r="GPU120" s="36"/>
      <c r="GPV120" s="38"/>
      <c r="GPW120" s="38"/>
      <c r="GQC120" s="36"/>
      <c r="GQD120" s="38"/>
      <c r="GQE120" s="38"/>
      <c r="GQK120" s="36"/>
      <c r="GQL120" s="38"/>
      <c r="GQM120" s="38"/>
      <c r="GQS120" s="36"/>
      <c r="GQT120" s="38"/>
      <c r="GQU120" s="38"/>
      <c r="GRA120" s="36"/>
      <c r="GRB120" s="38"/>
      <c r="GRC120" s="38"/>
      <c r="GRI120" s="36"/>
      <c r="GRJ120" s="38"/>
      <c r="GRK120" s="38"/>
      <c r="GRQ120" s="36"/>
      <c r="GRR120" s="38"/>
      <c r="GRS120" s="38"/>
      <c r="GRY120" s="36"/>
      <c r="GRZ120" s="38"/>
      <c r="GSA120" s="38"/>
      <c r="GSG120" s="36"/>
      <c r="GSH120" s="38"/>
      <c r="GSI120" s="38"/>
      <c r="GSO120" s="36"/>
      <c r="GSP120" s="38"/>
      <c r="GSQ120" s="38"/>
      <c r="GSW120" s="36"/>
      <c r="GSX120" s="38"/>
      <c r="GSY120" s="38"/>
      <c r="GTE120" s="36"/>
      <c r="GTF120" s="38"/>
      <c r="GTG120" s="38"/>
      <c r="GTM120" s="36"/>
      <c r="GTN120" s="38"/>
      <c r="GTO120" s="38"/>
      <c r="GTU120" s="36"/>
      <c r="GTV120" s="38"/>
      <c r="GTW120" s="38"/>
      <c r="GUC120" s="36"/>
      <c r="GUD120" s="38"/>
      <c r="GUE120" s="38"/>
      <c r="GUK120" s="36"/>
      <c r="GUL120" s="38"/>
      <c r="GUM120" s="38"/>
      <c r="GUS120" s="36"/>
      <c r="GUT120" s="38"/>
      <c r="GUU120" s="38"/>
      <c r="GVA120" s="36"/>
      <c r="GVB120" s="38"/>
      <c r="GVC120" s="38"/>
      <c r="GVI120" s="36"/>
      <c r="GVJ120" s="38"/>
      <c r="GVK120" s="38"/>
      <c r="GVQ120" s="36"/>
      <c r="GVR120" s="38"/>
      <c r="GVS120" s="38"/>
      <c r="GVY120" s="36"/>
      <c r="GVZ120" s="38"/>
      <c r="GWA120" s="38"/>
      <c r="GWG120" s="36"/>
      <c r="GWH120" s="38"/>
      <c r="GWI120" s="38"/>
      <c r="GWO120" s="36"/>
      <c r="GWP120" s="38"/>
      <c r="GWQ120" s="38"/>
      <c r="GWW120" s="36"/>
      <c r="GWX120" s="38"/>
      <c r="GWY120" s="38"/>
      <c r="GXE120" s="36"/>
      <c r="GXF120" s="38"/>
      <c r="GXG120" s="38"/>
      <c r="GXM120" s="36"/>
      <c r="GXN120" s="38"/>
      <c r="GXO120" s="38"/>
      <c r="GXU120" s="36"/>
      <c r="GXV120" s="38"/>
      <c r="GXW120" s="38"/>
      <c r="GYC120" s="36"/>
      <c r="GYD120" s="38"/>
      <c r="GYE120" s="38"/>
      <c r="GYK120" s="36"/>
      <c r="GYL120" s="38"/>
      <c r="GYM120" s="38"/>
      <c r="GYS120" s="36"/>
      <c r="GYT120" s="38"/>
      <c r="GYU120" s="38"/>
      <c r="GZA120" s="36"/>
      <c r="GZB120" s="38"/>
      <c r="GZC120" s="38"/>
      <c r="GZI120" s="36"/>
      <c r="GZJ120" s="38"/>
      <c r="GZK120" s="38"/>
      <c r="GZQ120" s="36"/>
      <c r="GZR120" s="38"/>
      <c r="GZS120" s="38"/>
      <c r="GZY120" s="36"/>
      <c r="GZZ120" s="38"/>
      <c r="HAA120" s="38"/>
      <c r="HAG120" s="36"/>
      <c r="HAH120" s="38"/>
      <c r="HAI120" s="38"/>
      <c r="HAO120" s="36"/>
      <c r="HAP120" s="38"/>
      <c r="HAQ120" s="38"/>
      <c r="HAW120" s="36"/>
      <c r="HAX120" s="38"/>
      <c r="HAY120" s="38"/>
      <c r="HBE120" s="36"/>
      <c r="HBF120" s="38"/>
      <c r="HBG120" s="38"/>
      <c r="HBM120" s="36"/>
      <c r="HBN120" s="38"/>
      <c r="HBO120" s="38"/>
      <c r="HBU120" s="36"/>
      <c r="HBV120" s="38"/>
      <c r="HBW120" s="38"/>
      <c r="HCC120" s="36"/>
      <c r="HCD120" s="38"/>
      <c r="HCE120" s="38"/>
      <c r="HCK120" s="36"/>
      <c r="HCL120" s="38"/>
      <c r="HCM120" s="38"/>
      <c r="HCS120" s="36"/>
      <c r="HCT120" s="38"/>
      <c r="HCU120" s="38"/>
      <c r="HDA120" s="36"/>
      <c r="HDB120" s="38"/>
      <c r="HDC120" s="38"/>
      <c r="HDI120" s="36"/>
      <c r="HDJ120" s="38"/>
      <c r="HDK120" s="38"/>
      <c r="HDQ120" s="36"/>
      <c r="HDR120" s="38"/>
      <c r="HDS120" s="38"/>
      <c r="HDY120" s="36"/>
      <c r="HDZ120" s="38"/>
      <c r="HEA120" s="38"/>
      <c r="HEG120" s="36"/>
      <c r="HEH120" s="38"/>
      <c r="HEI120" s="38"/>
      <c r="HEO120" s="36"/>
      <c r="HEP120" s="38"/>
      <c r="HEQ120" s="38"/>
      <c r="HEW120" s="36"/>
      <c r="HEX120" s="38"/>
      <c r="HEY120" s="38"/>
      <c r="HFE120" s="36"/>
      <c r="HFF120" s="38"/>
      <c r="HFG120" s="38"/>
      <c r="HFM120" s="36"/>
      <c r="HFN120" s="38"/>
      <c r="HFO120" s="38"/>
      <c r="HFU120" s="36"/>
      <c r="HFV120" s="38"/>
      <c r="HFW120" s="38"/>
      <c r="HGC120" s="36"/>
      <c r="HGD120" s="38"/>
      <c r="HGE120" s="38"/>
      <c r="HGK120" s="36"/>
      <c r="HGL120" s="38"/>
      <c r="HGM120" s="38"/>
      <c r="HGS120" s="36"/>
      <c r="HGT120" s="38"/>
      <c r="HGU120" s="38"/>
      <c r="HHA120" s="36"/>
      <c r="HHB120" s="38"/>
      <c r="HHC120" s="38"/>
      <c r="HHI120" s="36"/>
      <c r="HHJ120" s="38"/>
      <c r="HHK120" s="38"/>
      <c r="HHQ120" s="36"/>
      <c r="HHR120" s="38"/>
      <c r="HHS120" s="38"/>
      <c r="HHY120" s="36"/>
      <c r="HHZ120" s="38"/>
      <c r="HIA120" s="38"/>
      <c r="HIG120" s="36"/>
      <c r="HIH120" s="38"/>
      <c r="HII120" s="38"/>
      <c r="HIO120" s="36"/>
      <c r="HIP120" s="38"/>
      <c r="HIQ120" s="38"/>
      <c r="HIW120" s="36"/>
      <c r="HIX120" s="38"/>
      <c r="HIY120" s="38"/>
      <c r="HJE120" s="36"/>
      <c r="HJF120" s="38"/>
      <c r="HJG120" s="38"/>
      <c r="HJM120" s="36"/>
      <c r="HJN120" s="38"/>
      <c r="HJO120" s="38"/>
      <c r="HJU120" s="36"/>
      <c r="HJV120" s="38"/>
      <c r="HJW120" s="38"/>
      <c r="HKC120" s="36"/>
      <c r="HKD120" s="38"/>
      <c r="HKE120" s="38"/>
      <c r="HKK120" s="36"/>
      <c r="HKL120" s="38"/>
      <c r="HKM120" s="38"/>
      <c r="HKS120" s="36"/>
      <c r="HKT120" s="38"/>
      <c r="HKU120" s="38"/>
      <c r="HLA120" s="36"/>
      <c r="HLB120" s="38"/>
      <c r="HLC120" s="38"/>
      <c r="HLI120" s="36"/>
      <c r="HLJ120" s="38"/>
      <c r="HLK120" s="38"/>
      <c r="HLQ120" s="36"/>
      <c r="HLR120" s="38"/>
      <c r="HLS120" s="38"/>
      <c r="HLY120" s="36"/>
      <c r="HLZ120" s="38"/>
      <c r="HMA120" s="38"/>
      <c r="HMG120" s="36"/>
      <c r="HMH120" s="38"/>
      <c r="HMI120" s="38"/>
      <c r="HMO120" s="36"/>
      <c r="HMP120" s="38"/>
      <c r="HMQ120" s="38"/>
      <c r="HMW120" s="36"/>
      <c r="HMX120" s="38"/>
      <c r="HMY120" s="38"/>
      <c r="HNE120" s="36"/>
      <c r="HNF120" s="38"/>
      <c r="HNG120" s="38"/>
      <c r="HNM120" s="36"/>
      <c r="HNN120" s="38"/>
      <c r="HNO120" s="38"/>
      <c r="HNU120" s="36"/>
      <c r="HNV120" s="38"/>
      <c r="HNW120" s="38"/>
      <c r="HOC120" s="36"/>
      <c r="HOD120" s="38"/>
      <c r="HOE120" s="38"/>
      <c r="HOK120" s="36"/>
      <c r="HOL120" s="38"/>
      <c r="HOM120" s="38"/>
      <c r="HOS120" s="36"/>
      <c r="HOT120" s="38"/>
      <c r="HOU120" s="38"/>
      <c r="HPA120" s="36"/>
      <c r="HPB120" s="38"/>
      <c r="HPC120" s="38"/>
      <c r="HPI120" s="36"/>
      <c r="HPJ120" s="38"/>
      <c r="HPK120" s="38"/>
      <c r="HPQ120" s="36"/>
      <c r="HPR120" s="38"/>
      <c r="HPS120" s="38"/>
      <c r="HPY120" s="36"/>
      <c r="HPZ120" s="38"/>
      <c r="HQA120" s="38"/>
      <c r="HQG120" s="36"/>
      <c r="HQH120" s="38"/>
      <c r="HQI120" s="38"/>
      <c r="HQO120" s="36"/>
      <c r="HQP120" s="38"/>
      <c r="HQQ120" s="38"/>
      <c r="HQW120" s="36"/>
      <c r="HQX120" s="38"/>
      <c r="HQY120" s="38"/>
      <c r="HRE120" s="36"/>
      <c r="HRF120" s="38"/>
      <c r="HRG120" s="38"/>
      <c r="HRM120" s="36"/>
      <c r="HRN120" s="38"/>
      <c r="HRO120" s="38"/>
      <c r="HRU120" s="36"/>
      <c r="HRV120" s="38"/>
      <c r="HRW120" s="38"/>
      <c r="HSC120" s="36"/>
      <c r="HSD120" s="38"/>
      <c r="HSE120" s="38"/>
      <c r="HSK120" s="36"/>
      <c r="HSL120" s="38"/>
      <c r="HSM120" s="38"/>
      <c r="HSS120" s="36"/>
      <c r="HST120" s="38"/>
      <c r="HSU120" s="38"/>
      <c r="HTA120" s="36"/>
      <c r="HTB120" s="38"/>
      <c r="HTC120" s="38"/>
      <c r="HTI120" s="36"/>
      <c r="HTJ120" s="38"/>
      <c r="HTK120" s="38"/>
      <c r="HTQ120" s="36"/>
      <c r="HTR120" s="38"/>
      <c r="HTS120" s="38"/>
      <c r="HTY120" s="36"/>
      <c r="HTZ120" s="38"/>
      <c r="HUA120" s="38"/>
      <c r="HUG120" s="36"/>
      <c r="HUH120" s="38"/>
      <c r="HUI120" s="38"/>
      <c r="HUO120" s="36"/>
      <c r="HUP120" s="38"/>
      <c r="HUQ120" s="38"/>
      <c r="HUW120" s="36"/>
      <c r="HUX120" s="38"/>
      <c r="HUY120" s="38"/>
      <c r="HVE120" s="36"/>
      <c r="HVF120" s="38"/>
      <c r="HVG120" s="38"/>
      <c r="HVM120" s="36"/>
      <c r="HVN120" s="38"/>
      <c r="HVO120" s="38"/>
      <c r="HVU120" s="36"/>
      <c r="HVV120" s="38"/>
      <c r="HVW120" s="38"/>
      <c r="HWC120" s="36"/>
      <c r="HWD120" s="38"/>
      <c r="HWE120" s="38"/>
      <c r="HWK120" s="36"/>
      <c r="HWL120" s="38"/>
      <c r="HWM120" s="38"/>
      <c r="HWS120" s="36"/>
      <c r="HWT120" s="38"/>
      <c r="HWU120" s="38"/>
      <c r="HXA120" s="36"/>
      <c r="HXB120" s="38"/>
      <c r="HXC120" s="38"/>
      <c r="HXI120" s="36"/>
      <c r="HXJ120" s="38"/>
      <c r="HXK120" s="38"/>
      <c r="HXQ120" s="36"/>
      <c r="HXR120" s="38"/>
      <c r="HXS120" s="38"/>
      <c r="HXY120" s="36"/>
      <c r="HXZ120" s="38"/>
      <c r="HYA120" s="38"/>
      <c r="HYG120" s="36"/>
      <c r="HYH120" s="38"/>
      <c r="HYI120" s="38"/>
      <c r="HYO120" s="36"/>
      <c r="HYP120" s="38"/>
      <c r="HYQ120" s="38"/>
      <c r="HYW120" s="36"/>
      <c r="HYX120" s="38"/>
      <c r="HYY120" s="38"/>
      <c r="HZE120" s="36"/>
      <c r="HZF120" s="38"/>
      <c r="HZG120" s="38"/>
      <c r="HZM120" s="36"/>
      <c r="HZN120" s="38"/>
      <c r="HZO120" s="38"/>
      <c r="HZU120" s="36"/>
      <c r="HZV120" s="38"/>
      <c r="HZW120" s="38"/>
      <c r="IAC120" s="36"/>
      <c r="IAD120" s="38"/>
      <c r="IAE120" s="38"/>
      <c r="IAK120" s="36"/>
      <c r="IAL120" s="38"/>
      <c r="IAM120" s="38"/>
      <c r="IAS120" s="36"/>
      <c r="IAT120" s="38"/>
      <c r="IAU120" s="38"/>
      <c r="IBA120" s="36"/>
      <c r="IBB120" s="38"/>
      <c r="IBC120" s="38"/>
      <c r="IBI120" s="36"/>
      <c r="IBJ120" s="38"/>
      <c r="IBK120" s="38"/>
      <c r="IBQ120" s="36"/>
      <c r="IBR120" s="38"/>
      <c r="IBS120" s="38"/>
      <c r="IBY120" s="36"/>
      <c r="IBZ120" s="38"/>
      <c r="ICA120" s="38"/>
      <c r="ICG120" s="36"/>
      <c r="ICH120" s="38"/>
      <c r="ICI120" s="38"/>
      <c r="ICO120" s="36"/>
      <c r="ICP120" s="38"/>
      <c r="ICQ120" s="38"/>
      <c r="ICW120" s="36"/>
      <c r="ICX120" s="38"/>
      <c r="ICY120" s="38"/>
      <c r="IDE120" s="36"/>
      <c r="IDF120" s="38"/>
      <c r="IDG120" s="38"/>
      <c r="IDM120" s="36"/>
      <c r="IDN120" s="38"/>
      <c r="IDO120" s="38"/>
      <c r="IDU120" s="36"/>
      <c r="IDV120" s="38"/>
      <c r="IDW120" s="38"/>
      <c r="IEC120" s="36"/>
      <c r="IED120" s="38"/>
      <c r="IEE120" s="38"/>
      <c r="IEK120" s="36"/>
      <c r="IEL120" s="38"/>
      <c r="IEM120" s="38"/>
      <c r="IES120" s="36"/>
      <c r="IET120" s="38"/>
      <c r="IEU120" s="38"/>
      <c r="IFA120" s="36"/>
      <c r="IFB120" s="38"/>
      <c r="IFC120" s="38"/>
      <c r="IFI120" s="36"/>
      <c r="IFJ120" s="38"/>
      <c r="IFK120" s="38"/>
      <c r="IFQ120" s="36"/>
      <c r="IFR120" s="38"/>
      <c r="IFS120" s="38"/>
      <c r="IFY120" s="36"/>
      <c r="IFZ120" s="38"/>
      <c r="IGA120" s="38"/>
      <c r="IGG120" s="36"/>
      <c r="IGH120" s="38"/>
      <c r="IGI120" s="38"/>
      <c r="IGO120" s="36"/>
      <c r="IGP120" s="38"/>
      <c r="IGQ120" s="38"/>
      <c r="IGW120" s="36"/>
      <c r="IGX120" s="38"/>
      <c r="IGY120" s="38"/>
      <c r="IHE120" s="36"/>
      <c r="IHF120" s="38"/>
      <c r="IHG120" s="38"/>
      <c r="IHM120" s="36"/>
      <c r="IHN120" s="38"/>
      <c r="IHO120" s="38"/>
      <c r="IHU120" s="36"/>
      <c r="IHV120" s="38"/>
      <c r="IHW120" s="38"/>
      <c r="IIC120" s="36"/>
      <c r="IID120" s="38"/>
      <c r="IIE120" s="38"/>
      <c r="IIK120" s="36"/>
      <c r="IIL120" s="38"/>
      <c r="IIM120" s="38"/>
      <c r="IIS120" s="36"/>
      <c r="IIT120" s="38"/>
      <c r="IIU120" s="38"/>
      <c r="IJA120" s="36"/>
      <c r="IJB120" s="38"/>
      <c r="IJC120" s="38"/>
      <c r="IJI120" s="36"/>
      <c r="IJJ120" s="38"/>
      <c r="IJK120" s="38"/>
      <c r="IJQ120" s="36"/>
      <c r="IJR120" s="38"/>
      <c r="IJS120" s="38"/>
      <c r="IJY120" s="36"/>
      <c r="IJZ120" s="38"/>
      <c r="IKA120" s="38"/>
      <c r="IKG120" s="36"/>
      <c r="IKH120" s="38"/>
      <c r="IKI120" s="38"/>
      <c r="IKO120" s="36"/>
      <c r="IKP120" s="38"/>
      <c r="IKQ120" s="38"/>
      <c r="IKW120" s="36"/>
      <c r="IKX120" s="38"/>
      <c r="IKY120" s="38"/>
      <c r="ILE120" s="36"/>
      <c r="ILF120" s="38"/>
      <c r="ILG120" s="38"/>
      <c r="ILM120" s="36"/>
      <c r="ILN120" s="38"/>
      <c r="ILO120" s="38"/>
      <c r="ILU120" s="36"/>
      <c r="ILV120" s="38"/>
      <c r="ILW120" s="38"/>
      <c r="IMC120" s="36"/>
      <c r="IMD120" s="38"/>
      <c r="IME120" s="38"/>
      <c r="IMK120" s="36"/>
      <c r="IML120" s="38"/>
      <c r="IMM120" s="38"/>
      <c r="IMS120" s="36"/>
      <c r="IMT120" s="38"/>
      <c r="IMU120" s="38"/>
      <c r="INA120" s="36"/>
      <c r="INB120" s="38"/>
      <c r="INC120" s="38"/>
      <c r="INI120" s="36"/>
      <c r="INJ120" s="38"/>
      <c r="INK120" s="38"/>
      <c r="INQ120" s="36"/>
      <c r="INR120" s="38"/>
      <c r="INS120" s="38"/>
      <c r="INY120" s="36"/>
      <c r="INZ120" s="38"/>
      <c r="IOA120" s="38"/>
      <c r="IOG120" s="36"/>
      <c r="IOH120" s="38"/>
      <c r="IOI120" s="38"/>
      <c r="IOO120" s="36"/>
      <c r="IOP120" s="38"/>
      <c r="IOQ120" s="38"/>
      <c r="IOW120" s="36"/>
      <c r="IOX120" s="38"/>
      <c r="IOY120" s="38"/>
      <c r="IPE120" s="36"/>
      <c r="IPF120" s="38"/>
      <c r="IPG120" s="38"/>
      <c r="IPM120" s="36"/>
      <c r="IPN120" s="38"/>
      <c r="IPO120" s="38"/>
      <c r="IPU120" s="36"/>
      <c r="IPV120" s="38"/>
      <c r="IPW120" s="38"/>
      <c r="IQC120" s="36"/>
      <c r="IQD120" s="38"/>
      <c r="IQE120" s="38"/>
      <c r="IQK120" s="36"/>
      <c r="IQL120" s="38"/>
      <c r="IQM120" s="38"/>
      <c r="IQS120" s="36"/>
      <c r="IQT120" s="38"/>
      <c r="IQU120" s="38"/>
      <c r="IRA120" s="36"/>
      <c r="IRB120" s="38"/>
      <c r="IRC120" s="38"/>
      <c r="IRI120" s="36"/>
      <c r="IRJ120" s="38"/>
      <c r="IRK120" s="38"/>
      <c r="IRQ120" s="36"/>
      <c r="IRR120" s="38"/>
      <c r="IRS120" s="38"/>
      <c r="IRY120" s="36"/>
      <c r="IRZ120" s="38"/>
      <c r="ISA120" s="38"/>
      <c r="ISG120" s="36"/>
      <c r="ISH120" s="38"/>
      <c r="ISI120" s="38"/>
      <c r="ISO120" s="36"/>
      <c r="ISP120" s="38"/>
      <c r="ISQ120" s="38"/>
      <c r="ISW120" s="36"/>
      <c r="ISX120" s="38"/>
      <c r="ISY120" s="38"/>
      <c r="ITE120" s="36"/>
      <c r="ITF120" s="38"/>
      <c r="ITG120" s="38"/>
      <c r="ITM120" s="36"/>
      <c r="ITN120" s="38"/>
      <c r="ITO120" s="38"/>
      <c r="ITU120" s="36"/>
      <c r="ITV120" s="38"/>
      <c r="ITW120" s="38"/>
      <c r="IUC120" s="36"/>
      <c r="IUD120" s="38"/>
      <c r="IUE120" s="38"/>
      <c r="IUK120" s="36"/>
      <c r="IUL120" s="38"/>
      <c r="IUM120" s="38"/>
      <c r="IUS120" s="36"/>
      <c r="IUT120" s="38"/>
      <c r="IUU120" s="38"/>
      <c r="IVA120" s="36"/>
      <c r="IVB120" s="38"/>
      <c r="IVC120" s="38"/>
      <c r="IVI120" s="36"/>
      <c r="IVJ120" s="38"/>
      <c r="IVK120" s="38"/>
      <c r="IVQ120" s="36"/>
      <c r="IVR120" s="38"/>
      <c r="IVS120" s="38"/>
      <c r="IVY120" s="36"/>
      <c r="IVZ120" s="38"/>
      <c r="IWA120" s="38"/>
      <c r="IWG120" s="36"/>
      <c r="IWH120" s="38"/>
      <c r="IWI120" s="38"/>
      <c r="IWO120" s="36"/>
      <c r="IWP120" s="38"/>
      <c r="IWQ120" s="38"/>
      <c r="IWW120" s="36"/>
      <c r="IWX120" s="38"/>
      <c r="IWY120" s="38"/>
      <c r="IXE120" s="36"/>
      <c r="IXF120" s="38"/>
      <c r="IXG120" s="38"/>
      <c r="IXM120" s="36"/>
      <c r="IXN120" s="38"/>
      <c r="IXO120" s="38"/>
      <c r="IXU120" s="36"/>
      <c r="IXV120" s="38"/>
      <c r="IXW120" s="38"/>
      <c r="IYC120" s="36"/>
      <c r="IYD120" s="38"/>
      <c r="IYE120" s="38"/>
      <c r="IYK120" s="36"/>
      <c r="IYL120" s="38"/>
      <c r="IYM120" s="38"/>
      <c r="IYS120" s="36"/>
      <c r="IYT120" s="38"/>
      <c r="IYU120" s="38"/>
      <c r="IZA120" s="36"/>
      <c r="IZB120" s="38"/>
      <c r="IZC120" s="38"/>
      <c r="IZI120" s="36"/>
      <c r="IZJ120" s="38"/>
      <c r="IZK120" s="38"/>
      <c r="IZQ120" s="36"/>
      <c r="IZR120" s="38"/>
      <c r="IZS120" s="38"/>
      <c r="IZY120" s="36"/>
      <c r="IZZ120" s="38"/>
      <c r="JAA120" s="38"/>
      <c r="JAG120" s="36"/>
      <c r="JAH120" s="38"/>
      <c r="JAI120" s="38"/>
      <c r="JAO120" s="36"/>
      <c r="JAP120" s="38"/>
      <c r="JAQ120" s="38"/>
      <c r="JAW120" s="36"/>
      <c r="JAX120" s="38"/>
      <c r="JAY120" s="38"/>
      <c r="JBE120" s="36"/>
      <c r="JBF120" s="38"/>
      <c r="JBG120" s="38"/>
      <c r="JBM120" s="36"/>
      <c r="JBN120" s="38"/>
      <c r="JBO120" s="38"/>
      <c r="JBU120" s="36"/>
      <c r="JBV120" s="38"/>
      <c r="JBW120" s="38"/>
      <c r="JCC120" s="36"/>
      <c r="JCD120" s="38"/>
      <c r="JCE120" s="38"/>
      <c r="JCK120" s="36"/>
      <c r="JCL120" s="38"/>
      <c r="JCM120" s="38"/>
      <c r="JCS120" s="36"/>
      <c r="JCT120" s="38"/>
      <c r="JCU120" s="38"/>
      <c r="JDA120" s="36"/>
      <c r="JDB120" s="38"/>
      <c r="JDC120" s="38"/>
      <c r="JDI120" s="36"/>
      <c r="JDJ120" s="38"/>
      <c r="JDK120" s="38"/>
      <c r="JDQ120" s="36"/>
      <c r="JDR120" s="38"/>
      <c r="JDS120" s="38"/>
      <c r="JDY120" s="36"/>
      <c r="JDZ120" s="38"/>
      <c r="JEA120" s="38"/>
      <c r="JEG120" s="36"/>
      <c r="JEH120" s="38"/>
      <c r="JEI120" s="38"/>
      <c r="JEO120" s="36"/>
      <c r="JEP120" s="38"/>
      <c r="JEQ120" s="38"/>
      <c r="JEW120" s="36"/>
      <c r="JEX120" s="38"/>
      <c r="JEY120" s="38"/>
      <c r="JFE120" s="36"/>
      <c r="JFF120" s="38"/>
      <c r="JFG120" s="38"/>
      <c r="JFM120" s="36"/>
      <c r="JFN120" s="38"/>
      <c r="JFO120" s="38"/>
      <c r="JFU120" s="36"/>
      <c r="JFV120" s="38"/>
      <c r="JFW120" s="38"/>
      <c r="JGC120" s="36"/>
      <c r="JGD120" s="38"/>
      <c r="JGE120" s="38"/>
      <c r="JGK120" s="36"/>
      <c r="JGL120" s="38"/>
      <c r="JGM120" s="38"/>
      <c r="JGS120" s="36"/>
      <c r="JGT120" s="38"/>
      <c r="JGU120" s="38"/>
      <c r="JHA120" s="36"/>
      <c r="JHB120" s="38"/>
      <c r="JHC120" s="38"/>
      <c r="JHI120" s="36"/>
      <c r="JHJ120" s="38"/>
      <c r="JHK120" s="38"/>
      <c r="JHQ120" s="36"/>
      <c r="JHR120" s="38"/>
      <c r="JHS120" s="38"/>
      <c r="JHY120" s="36"/>
      <c r="JHZ120" s="38"/>
      <c r="JIA120" s="38"/>
      <c r="JIG120" s="36"/>
      <c r="JIH120" s="38"/>
      <c r="JII120" s="38"/>
      <c r="JIO120" s="36"/>
      <c r="JIP120" s="38"/>
      <c r="JIQ120" s="38"/>
      <c r="JIW120" s="36"/>
      <c r="JIX120" s="38"/>
      <c r="JIY120" s="38"/>
      <c r="JJE120" s="36"/>
      <c r="JJF120" s="38"/>
      <c r="JJG120" s="38"/>
      <c r="JJM120" s="36"/>
      <c r="JJN120" s="38"/>
      <c r="JJO120" s="38"/>
      <c r="JJU120" s="36"/>
      <c r="JJV120" s="38"/>
      <c r="JJW120" s="38"/>
      <c r="JKC120" s="36"/>
      <c r="JKD120" s="38"/>
      <c r="JKE120" s="38"/>
      <c r="JKK120" s="36"/>
      <c r="JKL120" s="38"/>
      <c r="JKM120" s="38"/>
      <c r="JKS120" s="36"/>
      <c r="JKT120" s="38"/>
      <c r="JKU120" s="38"/>
      <c r="JLA120" s="36"/>
      <c r="JLB120" s="38"/>
      <c r="JLC120" s="38"/>
      <c r="JLI120" s="36"/>
      <c r="JLJ120" s="38"/>
      <c r="JLK120" s="38"/>
      <c r="JLQ120" s="36"/>
      <c r="JLR120" s="38"/>
      <c r="JLS120" s="38"/>
      <c r="JLY120" s="36"/>
      <c r="JLZ120" s="38"/>
      <c r="JMA120" s="38"/>
      <c r="JMG120" s="36"/>
      <c r="JMH120" s="38"/>
      <c r="JMI120" s="38"/>
      <c r="JMO120" s="36"/>
      <c r="JMP120" s="38"/>
      <c r="JMQ120" s="38"/>
      <c r="JMW120" s="36"/>
      <c r="JMX120" s="38"/>
      <c r="JMY120" s="38"/>
      <c r="JNE120" s="36"/>
      <c r="JNF120" s="38"/>
      <c r="JNG120" s="38"/>
      <c r="JNM120" s="36"/>
      <c r="JNN120" s="38"/>
      <c r="JNO120" s="38"/>
      <c r="JNU120" s="36"/>
      <c r="JNV120" s="38"/>
      <c r="JNW120" s="38"/>
      <c r="JOC120" s="36"/>
      <c r="JOD120" s="38"/>
      <c r="JOE120" s="38"/>
      <c r="JOK120" s="36"/>
      <c r="JOL120" s="38"/>
      <c r="JOM120" s="38"/>
      <c r="JOS120" s="36"/>
      <c r="JOT120" s="38"/>
      <c r="JOU120" s="38"/>
      <c r="JPA120" s="36"/>
      <c r="JPB120" s="38"/>
      <c r="JPC120" s="38"/>
      <c r="JPI120" s="36"/>
      <c r="JPJ120" s="38"/>
      <c r="JPK120" s="38"/>
      <c r="JPQ120" s="36"/>
      <c r="JPR120" s="38"/>
      <c r="JPS120" s="38"/>
      <c r="JPY120" s="36"/>
      <c r="JPZ120" s="38"/>
      <c r="JQA120" s="38"/>
      <c r="JQG120" s="36"/>
      <c r="JQH120" s="38"/>
      <c r="JQI120" s="38"/>
      <c r="JQO120" s="36"/>
      <c r="JQP120" s="38"/>
      <c r="JQQ120" s="38"/>
      <c r="JQW120" s="36"/>
      <c r="JQX120" s="38"/>
      <c r="JQY120" s="38"/>
      <c r="JRE120" s="36"/>
      <c r="JRF120" s="38"/>
      <c r="JRG120" s="38"/>
      <c r="JRM120" s="36"/>
      <c r="JRN120" s="38"/>
      <c r="JRO120" s="38"/>
      <c r="JRU120" s="36"/>
      <c r="JRV120" s="38"/>
      <c r="JRW120" s="38"/>
      <c r="JSC120" s="36"/>
      <c r="JSD120" s="38"/>
      <c r="JSE120" s="38"/>
      <c r="JSK120" s="36"/>
      <c r="JSL120" s="38"/>
      <c r="JSM120" s="38"/>
      <c r="JSS120" s="36"/>
      <c r="JST120" s="38"/>
      <c r="JSU120" s="38"/>
      <c r="JTA120" s="36"/>
      <c r="JTB120" s="38"/>
      <c r="JTC120" s="38"/>
      <c r="JTI120" s="36"/>
      <c r="JTJ120" s="38"/>
      <c r="JTK120" s="38"/>
      <c r="JTQ120" s="36"/>
      <c r="JTR120" s="38"/>
      <c r="JTS120" s="38"/>
      <c r="JTY120" s="36"/>
      <c r="JTZ120" s="38"/>
      <c r="JUA120" s="38"/>
      <c r="JUG120" s="36"/>
      <c r="JUH120" s="38"/>
      <c r="JUI120" s="38"/>
      <c r="JUO120" s="36"/>
      <c r="JUP120" s="38"/>
      <c r="JUQ120" s="38"/>
      <c r="JUW120" s="36"/>
      <c r="JUX120" s="38"/>
      <c r="JUY120" s="38"/>
      <c r="JVE120" s="36"/>
      <c r="JVF120" s="38"/>
      <c r="JVG120" s="38"/>
      <c r="JVM120" s="36"/>
      <c r="JVN120" s="38"/>
      <c r="JVO120" s="38"/>
      <c r="JVU120" s="36"/>
      <c r="JVV120" s="38"/>
      <c r="JVW120" s="38"/>
      <c r="JWC120" s="36"/>
      <c r="JWD120" s="38"/>
      <c r="JWE120" s="38"/>
      <c r="JWK120" s="36"/>
      <c r="JWL120" s="38"/>
      <c r="JWM120" s="38"/>
      <c r="JWS120" s="36"/>
      <c r="JWT120" s="38"/>
      <c r="JWU120" s="38"/>
      <c r="JXA120" s="36"/>
      <c r="JXB120" s="38"/>
      <c r="JXC120" s="38"/>
      <c r="JXI120" s="36"/>
      <c r="JXJ120" s="38"/>
      <c r="JXK120" s="38"/>
      <c r="JXQ120" s="36"/>
      <c r="JXR120" s="38"/>
      <c r="JXS120" s="38"/>
      <c r="JXY120" s="36"/>
      <c r="JXZ120" s="38"/>
      <c r="JYA120" s="38"/>
      <c r="JYG120" s="36"/>
      <c r="JYH120" s="38"/>
      <c r="JYI120" s="38"/>
      <c r="JYO120" s="36"/>
      <c r="JYP120" s="38"/>
      <c r="JYQ120" s="38"/>
      <c r="JYW120" s="36"/>
      <c r="JYX120" s="38"/>
      <c r="JYY120" s="38"/>
      <c r="JZE120" s="36"/>
      <c r="JZF120" s="38"/>
      <c r="JZG120" s="38"/>
      <c r="JZM120" s="36"/>
      <c r="JZN120" s="38"/>
      <c r="JZO120" s="38"/>
      <c r="JZU120" s="36"/>
      <c r="JZV120" s="38"/>
      <c r="JZW120" s="38"/>
      <c r="KAC120" s="36"/>
      <c r="KAD120" s="38"/>
      <c r="KAE120" s="38"/>
      <c r="KAK120" s="36"/>
      <c r="KAL120" s="38"/>
      <c r="KAM120" s="38"/>
      <c r="KAS120" s="36"/>
      <c r="KAT120" s="38"/>
      <c r="KAU120" s="38"/>
      <c r="KBA120" s="36"/>
      <c r="KBB120" s="38"/>
      <c r="KBC120" s="38"/>
      <c r="KBI120" s="36"/>
      <c r="KBJ120" s="38"/>
      <c r="KBK120" s="38"/>
      <c r="KBQ120" s="36"/>
      <c r="KBR120" s="38"/>
      <c r="KBS120" s="38"/>
      <c r="KBY120" s="36"/>
      <c r="KBZ120" s="38"/>
      <c r="KCA120" s="38"/>
      <c r="KCG120" s="36"/>
      <c r="KCH120" s="38"/>
      <c r="KCI120" s="38"/>
      <c r="KCO120" s="36"/>
      <c r="KCP120" s="38"/>
      <c r="KCQ120" s="38"/>
      <c r="KCW120" s="36"/>
      <c r="KCX120" s="38"/>
      <c r="KCY120" s="38"/>
      <c r="KDE120" s="36"/>
      <c r="KDF120" s="38"/>
      <c r="KDG120" s="38"/>
      <c r="KDM120" s="36"/>
      <c r="KDN120" s="38"/>
      <c r="KDO120" s="38"/>
      <c r="KDU120" s="36"/>
      <c r="KDV120" s="38"/>
      <c r="KDW120" s="38"/>
      <c r="KEC120" s="36"/>
      <c r="KED120" s="38"/>
      <c r="KEE120" s="38"/>
      <c r="KEK120" s="36"/>
      <c r="KEL120" s="38"/>
      <c r="KEM120" s="38"/>
      <c r="KES120" s="36"/>
      <c r="KET120" s="38"/>
      <c r="KEU120" s="38"/>
      <c r="KFA120" s="36"/>
      <c r="KFB120" s="38"/>
      <c r="KFC120" s="38"/>
      <c r="KFI120" s="36"/>
      <c r="KFJ120" s="38"/>
      <c r="KFK120" s="38"/>
      <c r="KFQ120" s="36"/>
      <c r="KFR120" s="38"/>
      <c r="KFS120" s="38"/>
      <c r="KFY120" s="36"/>
      <c r="KFZ120" s="38"/>
      <c r="KGA120" s="38"/>
      <c r="KGG120" s="36"/>
      <c r="KGH120" s="38"/>
      <c r="KGI120" s="38"/>
      <c r="KGO120" s="36"/>
      <c r="KGP120" s="38"/>
      <c r="KGQ120" s="38"/>
      <c r="KGW120" s="36"/>
      <c r="KGX120" s="38"/>
      <c r="KGY120" s="38"/>
      <c r="KHE120" s="36"/>
      <c r="KHF120" s="38"/>
      <c r="KHG120" s="38"/>
      <c r="KHM120" s="36"/>
      <c r="KHN120" s="38"/>
      <c r="KHO120" s="38"/>
      <c r="KHU120" s="36"/>
      <c r="KHV120" s="38"/>
      <c r="KHW120" s="38"/>
      <c r="KIC120" s="36"/>
      <c r="KID120" s="38"/>
      <c r="KIE120" s="38"/>
      <c r="KIK120" s="36"/>
      <c r="KIL120" s="38"/>
      <c r="KIM120" s="38"/>
      <c r="KIS120" s="36"/>
      <c r="KIT120" s="38"/>
      <c r="KIU120" s="38"/>
      <c r="KJA120" s="36"/>
      <c r="KJB120" s="38"/>
      <c r="KJC120" s="38"/>
      <c r="KJI120" s="36"/>
      <c r="KJJ120" s="38"/>
      <c r="KJK120" s="38"/>
      <c r="KJQ120" s="36"/>
      <c r="KJR120" s="38"/>
      <c r="KJS120" s="38"/>
      <c r="KJY120" s="36"/>
      <c r="KJZ120" s="38"/>
      <c r="KKA120" s="38"/>
      <c r="KKG120" s="36"/>
      <c r="KKH120" s="38"/>
      <c r="KKI120" s="38"/>
      <c r="KKO120" s="36"/>
      <c r="KKP120" s="38"/>
      <c r="KKQ120" s="38"/>
      <c r="KKW120" s="36"/>
      <c r="KKX120" s="38"/>
      <c r="KKY120" s="38"/>
      <c r="KLE120" s="36"/>
      <c r="KLF120" s="38"/>
      <c r="KLG120" s="38"/>
      <c r="KLM120" s="36"/>
      <c r="KLN120" s="38"/>
      <c r="KLO120" s="38"/>
      <c r="KLU120" s="36"/>
      <c r="KLV120" s="38"/>
      <c r="KLW120" s="38"/>
      <c r="KMC120" s="36"/>
      <c r="KMD120" s="38"/>
      <c r="KME120" s="38"/>
      <c r="KMK120" s="36"/>
      <c r="KML120" s="38"/>
      <c r="KMM120" s="38"/>
      <c r="KMS120" s="36"/>
      <c r="KMT120" s="38"/>
      <c r="KMU120" s="38"/>
      <c r="KNA120" s="36"/>
      <c r="KNB120" s="38"/>
      <c r="KNC120" s="38"/>
      <c r="KNI120" s="36"/>
      <c r="KNJ120" s="38"/>
      <c r="KNK120" s="38"/>
      <c r="KNQ120" s="36"/>
      <c r="KNR120" s="38"/>
      <c r="KNS120" s="38"/>
      <c r="KNY120" s="36"/>
      <c r="KNZ120" s="38"/>
      <c r="KOA120" s="38"/>
      <c r="KOG120" s="36"/>
      <c r="KOH120" s="38"/>
      <c r="KOI120" s="38"/>
      <c r="KOO120" s="36"/>
      <c r="KOP120" s="38"/>
      <c r="KOQ120" s="38"/>
      <c r="KOW120" s="36"/>
      <c r="KOX120" s="38"/>
      <c r="KOY120" s="38"/>
      <c r="KPE120" s="36"/>
      <c r="KPF120" s="38"/>
      <c r="KPG120" s="38"/>
      <c r="KPM120" s="36"/>
      <c r="KPN120" s="38"/>
      <c r="KPO120" s="38"/>
      <c r="KPU120" s="36"/>
      <c r="KPV120" s="38"/>
      <c r="KPW120" s="38"/>
      <c r="KQC120" s="36"/>
      <c r="KQD120" s="38"/>
      <c r="KQE120" s="38"/>
      <c r="KQK120" s="36"/>
      <c r="KQL120" s="38"/>
      <c r="KQM120" s="38"/>
      <c r="KQS120" s="36"/>
      <c r="KQT120" s="38"/>
      <c r="KQU120" s="38"/>
      <c r="KRA120" s="36"/>
      <c r="KRB120" s="38"/>
      <c r="KRC120" s="38"/>
      <c r="KRI120" s="36"/>
      <c r="KRJ120" s="38"/>
      <c r="KRK120" s="38"/>
      <c r="KRQ120" s="36"/>
      <c r="KRR120" s="38"/>
      <c r="KRS120" s="38"/>
      <c r="KRY120" s="36"/>
      <c r="KRZ120" s="38"/>
      <c r="KSA120" s="38"/>
      <c r="KSG120" s="36"/>
      <c r="KSH120" s="38"/>
      <c r="KSI120" s="38"/>
      <c r="KSO120" s="36"/>
      <c r="KSP120" s="38"/>
      <c r="KSQ120" s="38"/>
      <c r="KSW120" s="36"/>
      <c r="KSX120" s="38"/>
      <c r="KSY120" s="38"/>
      <c r="KTE120" s="36"/>
      <c r="KTF120" s="38"/>
      <c r="KTG120" s="38"/>
      <c r="KTM120" s="36"/>
      <c r="KTN120" s="38"/>
      <c r="KTO120" s="38"/>
      <c r="KTU120" s="36"/>
      <c r="KTV120" s="38"/>
      <c r="KTW120" s="38"/>
      <c r="KUC120" s="36"/>
      <c r="KUD120" s="38"/>
      <c r="KUE120" s="38"/>
      <c r="KUK120" s="36"/>
      <c r="KUL120" s="38"/>
      <c r="KUM120" s="38"/>
      <c r="KUS120" s="36"/>
      <c r="KUT120" s="38"/>
      <c r="KUU120" s="38"/>
      <c r="KVA120" s="36"/>
      <c r="KVB120" s="38"/>
      <c r="KVC120" s="38"/>
      <c r="KVI120" s="36"/>
      <c r="KVJ120" s="38"/>
      <c r="KVK120" s="38"/>
      <c r="KVQ120" s="36"/>
      <c r="KVR120" s="38"/>
      <c r="KVS120" s="38"/>
      <c r="KVY120" s="36"/>
      <c r="KVZ120" s="38"/>
      <c r="KWA120" s="38"/>
      <c r="KWG120" s="36"/>
      <c r="KWH120" s="38"/>
      <c r="KWI120" s="38"/>
      <c r="KWO120" s="36"/>
      <c r="KWP120" s="38"/>
      <c r="KWQ120" s="38"/>
      <c r="KWW120" s="36"/>
      <c r="KWX120" s="38"/>
      <c r="KWY120" s="38"/>
      <c r="KXE120" s="36"/>
      <c r="KXF120" s="38"/>
      <c r="KXG120" s="38"/>
      <c r="KXM120" s="36"/>
      <c r="KXN120" s="38"/>
      <c r="KXO120" s="38"/>
      <c r="KXU120" s="36"/>
      <c r="KXV120" s="38"/>
      <c r="KXW120" s="38"/>
      <c r="KYC120" s="36"/>
      <c r="KYD120" s="38"/>
      <c r="KYE120" s="38"/>
      <c r="KYK120" s="36"/>
      <c r="KYL120" s="38"/>
      <c r="KYM120" s="38"/>
      <c r="KYS120" s="36"/>
      <c r="KYT120" s="38"/>
      <c r="KYU120" s="38"/>
      <c r="KZA120" s="36"/>
      <c r="KZB120" s="38"/>
      <c r="KZC120" s="38"/>
      <c r="KZI120" s="36"/>
      <c r="KZJ120" s="38"/>
      <c r="KZK120" s="38"/>
      <c r="KZQ120" s="36"/>
      <c r="KZR120" s="38"/>
      <c r="KZS120" s="38"/>
      <c r="KZY120" s="36"/>
      <c r="KZZ120" s="38"/>
      <c r="LAA120" s="38"/>
      <c r="LAG120" s="36"/>
      <c r="LAH120" s="38"/>
      <c r="LAI120" s="38"/>
      <c r="LAO120" s="36"/>
      <c r="LAP120" s="38"/>
      <c r="LAQ120" s="38"/>
      <c r="LAW120" s="36"/>
      <c r="LAX120" s="38"/>
      <c r="LAY120" s="38"/>
      <c r="LBE120" s="36"/>
      <c r="LBF120" s="38"/>
      <c r="LBG120" s="38"/>
      <c r="LBM120" s="36"/>
      <c r="LBN120" s="38"/>
      <c r="LBO120" s="38"/>
      <c r="LBU120" s="36"/>
      <c r="LBV120" s="38"/>
      <c r="LBW120" s="38"/>
      <c r="LCC120" s="36"/>
      <c r="LCD120" s="38"/>
      <c r="LCE120" s="38"/>
      <c r="LCK120" s="36"/>
      <c r="LCL120" s="38"/>
      <c r="LCM120" s="38"/>
      <c r="LCS120" s="36"/>
      <c r="LCT120" s="38"/>
      <c r="LCU120" s="38"/>
      <c r="LDA120" s="36"/>
      <c r="LDB120" s="38"/>
      <c r="LDC120" s="38"/>
      <c r="LDI120" s="36"/>
      <c r="LDJ120" s="38"/>
      <c r="LDK120" s="38"/>
      <c r="LDQ120" s="36"/>
      <c r="LDR120" s="38"/>
      <c r="LDS120" s="38"/>
      <c r="LDY120" s="36"/>
      <c r="LDZ120" s="38"/>
      <c r="LEA120" s="38"/>
      <c r="LEG120" s="36"/>
      <c r="LEH120" s="38"/>
      <c r="LEI120" s="38"/>
      <c r="LEO120" s="36"/>
      <c r="LEP120" s="38"/>
      <c r="LEQ120" s="38"/>
      <c r="LEW120" s="36"/>
      <c r="LEX120" s="38"/>
      <c r="LEY120" s="38"/>
      <c r="LFE120" s="36"/>
      <c r="LFF120" s="38"/>
      <c r="LFG120" s="38"/>
      <c r="LFM120" s="36"/>
      <c r="LFN120" s="38"/>
      <c r="LFO120" s="38"/>
      <c r="LFU120" s="36"/>
      <c r="LFV120" s="38"/>
      <c r="LFW120" s="38"/>
      <c r="LGC120" s="36"/>
      <c r="LGD120" s="38"/>
      <c r="LGE120" s="38"/>
      <c r="LGK120" s="36"/>
      <c r="LGL120" s="38"/>
      <c r="LGM120" s="38"/>
      <c r="LGS120" s="36"/>
      <c r="LGT120" s="38"/>
      <c r="LGU120" s="38"/>
      <c r="LHA120" s="36"/>
      <c r="LHB120" s="38"/>
      <c r="LHC120" s="38"/>
      <c r="LHI120" s="36"/>
      <c r="LHJ120" s="38"/>
      <c r="LHK120" s="38"/>
      <c r="LHQ120" s="36"/>
      <c r="LHR120" s="38"/>
      <c r="LHS120" s="38"/>
      <c r="LHY120" s="36"/>
      <c r="LHZ120" s="38"/>
      <c r="LIA120" s="38"/>
      <c r="LIG120" s="36"/>
      <c r="LIH120" s="38"/>
      <c r="LII120" s="38"/>
      <c r="LIO120" s="36"/>
      <c r="LIP120" s="38"/>
      <c r="LIQ120" s="38"/>
      <c r="LIW120" s="36"/>
      <c r="LIX120" s="38"/>
      <c r="LIY120" s="38"/>
      <c r="LJE120" s="36"/>
      <c r="LJF120" s="38"/>
      <c r="LJG120" s="38"/>
      <c r="LJM120" s="36"/>
      <c r="LJN120" s="38"/>
      <c r="LJO120" s="38"/>
      <c r="LJU120" s="36"/>
      <c r="LJV120" s="38"/>
      <c r="LJW120" s="38"/>
      <c r="LKC120" s="36"/>
      <c r="LKD120" s="38"/>
      <c r="LKE120" s="38"/>
      <c r="LKK120" s="36"/>
      <c r="LKL120" s="38"/>
      <c r="LKM120" s="38"/>
      <c r="LKS120" s="36"/>
      <c r="LKT120" s="38"/>
      <c r="LKU120" s="38"/>
      <c r="LLA120" s="36"/>
      <c r="LLB120" s="38"/>
      <c r="LLC120" s="38"/>
      <c r="LLI120" s="36"/>
      <c r="LLJ120" s="38"/>
      <c r="LLK120" s="38"/>
      <c r="LLQ120" s="36"/>
      <c r="LLR120" s="38"/>
      <c r="LLS120" s="38"/>
      <c r="LLY120" s="36"/>
      <c r="LLZ120" s="38"/>
      <c r="LMA120" s="38"/>
      <c r="LMG120" s="36"/>
      <c r="LMH120" s="38"/>
      <c r="LMI120" s="38"/>
      <c r="LMO120" s="36"/>
      <c r="LMP120" s="38"/>
      <c r="LMQ120" s="38"/>
      <c r="LMW120" s="36"/>
      <c r="LMX120" s="38"/>
      <c r="LMY120" s="38"/>
      <c r="LNE120" s="36"/>
      <c r="LNF120" s="38"/>
      <c r="LNG120" s="38"/>
      <c r="LNM120" s="36"/>
      <c r="LNN120" s="38"/>
      <c r="LNO120" s="38"/>
      <c r="LNU120" s="36"/>
      <c r="LNV120" s="38"/>
      <c r="LNW120" s="38"/>
      <c r="LOC120" s="36"/>
      <c r="LOD120" s="38"/>
      <c r="LOE120" s="38"/>
      <c r="LOK120" s="36"/>
      <c r="LOL120" s="38"/>
      <c r="LOM120" s="38"/>
      <c r="LOS120" s="36"/>
      <c r="LOT120" s="38"/>
      <c r="LOU120" s="38"/>
      <c r="LPA120" s="36"/>
      <c r="LPB120" s="38"/>
      <c r="LPC120" s="38"/>
      <c r="LPI120" s="36"/>
      <c r="LPJ120" s="38"/>
      <c r="LPK120" s="38"/>
      <c r="LPQ120" s="36"/>
      <c r="LPR120" s="38"/>
      <c r="LPS120" s="38"/>
      <c r="LPY120" s="36"/>
      <c r="LPZ120" s="38"/>
      <c r="LQA120" s="38"/>
      <c r="LQG120" s="36"/>
      <c r="LQH120" s="38"/>
      <c r="LQI120" s="38"/>
      <c r="LQO120" s="36"/>
      <c r="LQP120" s="38"/>
      <c r="LQQ120" s="38"/>
      <c r="LQW120" s="36"/>
      <c r="LQX120" s="38"/>
      <c r="LQY120" s="38"/>
      <c r="LRE120" s="36"/>
      <c r="LRF120" s="38"/>
      <c r="LRG120" s="38"/>
      <c r="LRM120" s="36"/>
      <c r="LRN120" s="38"/>
      <c r="LRO120" s="38"/>
      <c r="LRU120" s="36"/>
      <c r="LRV120" s="38"/>
      <c r="LRW120" s="38"/>
      <c r="LSC120" s="36"/>
      <c r="LSD120" s="38"/>
      <c r="LSE120" s="38"/>
      <c r="LSK120" s="36"/>
      <c r="LSL120" s="38"/>
      <c r="LSM120" s="38"/>
      <c r="LSS120" s="36"/>
      <c r="LST120" s="38"/>
      <c r="LSU120" s="38"/>
      <c r="LTA120" s="36"/>
      <c r="LTB120" s="38"/>
      <c r="LTC120" s="38"/>
      <c r="LTI120" s="36"/>
      <c r="LTJ120" s="38"/>
      <c r="LTK120" s="38"/>
      <c r="LTQ120" s="36"/>
      <c r="LTR120" s="38"/>
      <c r="LTS120" s="38"/>
      <c r="LTY120" s="36"/>
      <c r="LTZ120" s="38"/>
      <c r="LUA120" s="38"/>
      <c r="LUG120" s="36"/>
      <c r="LUH120" s="38"/>
      <c r="LUI120" s="38"/>
      <c r="LUO120" s="36"/>
      <c r="LUP120" s="38"/>
      <c r="LUQ120" s="38"/>
      <c r="LUW120" s="36"/>
      <c r="LUX120" s="38"/>
      <c r="LUY120" s="38"/>
      <c r="LVE120" s="36"/>
      <c r="LVF120" s="38"/>
      <c r="LVG120" s="38"/>
      <c r="LVM120" s="36"/>
      <c r="LVN120" s="38"/>
      <c r="LVO120" s="38"/>
      <c r="LVU120" s="36"/>
      <c r="LVV120" s="38"/>
      <c r="LVW120" s="38"/>
      <c r="LWC120" s="36"/>
      <c r="LWD120" s="38"/>
      <c r="LWE120" s="38"/>
      <c r="LWK120" s="36"/>
      <c r="LWL120" s="38"/>
      <c r="LWM120" s="38"/>
      <c r="LWS120" s="36"/>
      <c r="LWT120" s="38"/>
      <c r="LWU120" s="38"/>
      <c r="LXA120" s="36"/>
      <c r="LXB120" s="38"/>
      <c r="LXC120" s="38"/>
      <c r="LXI120" s="36"/>
      <c r="LXJ120" s="38"/>
      <c r="LXK120" s="38"/>
      <c r="LXQ120" s="36"/>
      <c r="LXR120" s="38"/>
      <c r="LXS120" s="38"/>
      <c r="LXY120" s="36"/>
      <c r="LXZ120" s="38"/>
      <c r="LYA120" s="38"/>
      <c r="LYG120" s="36"/>
      <c r="LYH120" s="38"/>
      <c r="LYI120" s="38"/>
      <c r="LYO120" s="36"/>
      <c r="LYP120" s="38"/>
      <c r="LYQ120" s="38"/>
      <c r="LYW120" s="36"/>
      <c r="LYX120" s="38"/>
      <c r="LYY120" s="38"/>
      <c r="LZE120" s="36"/>
      <c r="LZF120" s="38"/>
      <c r="LZG120" s="38"/>
      <c r="LZM120" s="36"/>
      <c r="LZN120" s="38"/>
      <c r="LZO120" s="38"/>
      <c r="LZU120" s="36"/>
      <c r="LZV120" s="38"/>
      <c r="LZW120" s="38"/>
      <c r="MAC120" s="36"/>
      <c r="MAD120" s="38"/>
      <c r="MAE120" s="38"/>
      <c r="MAK120" s="36"/>
      <c r="MAL120" s="38"/>
      <c r="MAM120" s="38"/>
      <c r="MAS120" s="36"/>
      <c r="MAT120" s="38"/>
      <c r="MAU120" s="38"/>
      <c r="MBA120" s="36"/>
      <c r="MBB120" s="38"/>
      <c r="MBC120" s="38"/>
      <c r="MBI120" s="36"/>
      <c r="MBJ120" s="38"/>
      <c r="MBK120" s="38"/>
      <c r="MBQ120" s="36"/>
      <c r="MBR120" s="38"/>
      <c r="MBS120" s="38"/>
      <c r="MBY120" s="36"/>
      <c r="MBZ120" s="38"/>
      <c r="MCA120" s="38"/>
      <c r="MCG120" s="36"/>
      <c r="MCH120" s="38"/>
      <c r="MCI120" s="38"/>
      <c r="MCO120" s="36"/>
      <c r="MCP120" s="38"/>
      <c r="MCQ120" s="38"/>
      <c r="MCW120" s="36"/>
      <c r="MCX120" s="38"/>
      <c r="MCY120" s="38"/>
      <c r="MDE120" s="36"/>
      <c r="MDF120" s="38"/>
      <c r="MDG120" s="38"/>
      <c r="MDM120" s="36"/>
      <c r="MDN120" s="38"/>
      <c r="MDO120" s="38"/>
      <c r="MDU120" s="36"/>
      <c r="MDV120" s="38"/>
      <c r="MDW120" s="38"/>
      <c r="MEC120" s="36"/>
      <c r="MED120" s="38"/>
      <c r="MEE120" s="38"/>
      <c r="MEK120" s="36"/>
      <c r="MEL120" s="38"/>
      <c r="MEM120" s="38"/>
      <c r="MES120" s="36"/>
      <c r="MET120" s="38"/>
      <c r="MEU120" s="38"/>
      <c r="MFA120" s="36"/>
      <c r="MFB120" s="38"/>
      <c r="MFC120" s="38"/>
      <c r="MFI120" s="36"/>
      <c r="MFJ120" s="38"/>
      <c r="MFK120" s="38"/>
      <c r="MFQ120" s="36"/>
      <c r="MFR120" s="38"/>
      <c r="MFS120" s="38"/>
      <c r="MFY120" s="36"/>
      <c r="MFZ120" s="38"/>
      <c r="MGA120" s="38"/>
      <c r="MGG120" s="36"/>
      <c r="MGH120" s="38"/>
      <c r="MGI120" s="38"/>
      <c r="MGO120" s="36"/>
      <c r="MGP120" s="38"/>
      <c r="MGQ120" s="38"/>
      <c r="MGW120" s="36"/>
      <c r="MGX120" s="38"/>
      <c r="MGY120" s="38"/>
      <c r="MHE120" s="36"/>
      <c r="MHF120" s="38"/>
      <c r="MHG120" s="38"/>
      <c r="MHM120" s="36"/>
      <c r="MHN120" s="38"/>
      <c r="MHO120" s="38"/>
      <c r="MHU120" s="36"/>
      <c r="MHV120" s="38"/>
      <c r="MHW120" s="38"/>
      <c r="MIC120" s="36"/>
      <c r="MID120" s="38"/>
      <c r="MIE120" s="38"/>
      <c r="MIK120" s="36"/>
      <c r="MIL120" s="38"/>
      <c r="MIM120" s="38"/>
      <c r="MIS120" s="36"/>
      <c r="MIT120" s="38"/>
      <c r="MIU120" s="38"/>
      <c r="MJA120" s="36"/>
      <c r="MJB120" s="38"/>
      <c r="MJC120" s="38"/>
      <c r="MJI120" s="36"/>
      <c r="MJJ120" s="38"/>
      <c r="MJK120" s="38"/>
      <c r="MJQ120" s="36"/>
      <c r="MJR120" s="38"/>
      <c r="MJS120" s="38"/>
      <c r="MJY120" s="36"/>
      <c r="MJZ120" s="38"/>
      <c r="MKA120" s="38"/>
      <c r="MKG120" s="36"/>
      <c r="MKH120" s="38"/>
      <c r="MKI120" s="38"/>
      <c r="MKO120" s="36"/>
      <c r="MKP120" s="38"/>
      <c r="MKQ120" s="38"/>
      <c r="MKW120" s="36"/>
      <c r="MKX120" s="38"/>
      <c r="MKY120" s="38"/>
      <c r="MLE120" s="36"/>
      <c r="MLF120" s="38"/>
      <c r="MLG120" s="38"/>
      <c r="MLM120" s="36"/>
      <c r="MLN120" s="38"/>
      <c r="MLO120" s="38"/>
      <c r="MLU120" s="36"/>
      <c r="MLV120" s="38"/>
      <c r="MLW120" s="38"/>
      <c r="MMC120" s="36"/>
      <c r="MMD120" s="38"/>
      <c r="MME120" s="38"/>
      <c r="MMK120" s="36"/>
      <c r="MML120" s="38"/>
      <c r="MMM120" s="38"/>
      <c r="MMS120" s="36"/>
      <c r="MMT120" s="38"/>
      <c r="MMU120" s="38"/>
      <c r="MNA120" s="36"/>
      <c r="MNB120" s="38"/>
      <c r="MNC120" s="38"/>
      <c r="MNI120" s="36"/>
      <c r="MNJ120" s="38"/>
      <c r="MNK120" s="38"/>
      <c r="MNQ120" s="36"/>
      <c r="MNR120" s="38"/>
      <c r="MNS120" s="38"/>
      <c r="MNY120" s="36"/>
      <c r="MNZ120" s="38"/>
      <c r="MOA120" s="38"/>
      <c r="MOG120" s="36"/>
      <c r="MOH120" s="38"/>
      <c r="MOI120" s="38"/>
      <c r="MOO120" s="36"/>
      <c r="MOP120" s="38"/>
      <c r="MOQ120" s="38"/>
      <c r="MOW120" s="36"/>
      <c r="MOX120" s="38"/>
      <c r="MOY120" s="38"/>
      <c r="MPE120" s="36"/>
      <c r="MPF120" s="38"/>
      <c r="MPG120" s="38"/>
      <c r="MPM120" s="36"/>
      <c r="MPN120" s="38"/>
      <c r="MPO120" s="38"/>
      <c r="MPU120" s="36"/>
      <c r="MPV120" s="38"/>
      <c r="MPW120" s="38"/>
      <c r="MQC120" s="36"/>
      <c r="MQD120" s="38"/>
      <c r="MQE120" s="38"/>
      <c r="MQK120" s="36"/>
      <c r="MQL120" s="38"/>
      <c r="MQM120" s="38"/>
      <c r="MQS120" s="36"/>
      <c r="MQT120" s="38"/>
      <c r="MQU120" s="38"/>
      <c r="MRA120" s="36"/>
      <c r="MRB120" s="38"/>
      <c r="MRC120" s="38"/>
      <c r="MRI120" s="36"/>
      <c r="MRJ120" s="38"/>
      <c r="MRK120" s="38"/>
      <c r="MRQ120" s="36"/>
      <c r="MRR120" s="38"/>
      <c r="MRS120" s="38"/>
      <c r="MRY120" s="36"/>
      <c r="MRZ120" s="38"/>
      <c r="MSA120" s="38"/>
      <c r="MSG120" s="36"/>
      <c r="MSH120" s="38"/>
      <c r="MSI120" s="38"/>
      <c r="MSO120" s="36"/>
      <c r="MSP120" s="38"/>
      <c r="MSQ120" s="38"/>
      <c r="MSW120" s="36"/>
      <c r="MSX120" s="38"/>
      <c r="MSY120" s="38"/>
      <c r="MTE120" s="36"/>
      <c r="MTF120" s="38"/>
      <c r="MTG120" s="38"/>
      <c r="MTM120" s="36"/>
      <c r="MTN120" s="38"/>
      <c r="MTO120" s="38"/>
      <c r="MTU120" s="36"/>
      <c r="MTV120" s="38"/>
      <c r="MTW120" s="38"/>
      <c r="MUC120" s="36"/>
      <c r="MUD120" s="38"/>
      <c r="MUE120" s="38"/>
      <c r="MUK120" s="36"/>
      <c r="MUL120" s="38"/>
      <c r="MUM120" s="38"/>
      <c r="MUS120" s="36"/>
      <c r="MUT120" s="38"/>
      <c r="MUU120" s="38"/>
      <c r="MVA120" s="36"/>
      <c r="MVB120" s="38"/>
      <c r="MVC120" s="38"/>
      <c r="MVI120" s="36"/>
      <c r="MVJ120" s="38"/>
      <c r="MVK120" s="38"/>
      <c r="MVQ120" s="36"/>
      <c r="MVR120" s="38"/>
      <c r="MVS120" s="38"/>
      <c r="MVY120" s="36"/>
      <c r="MVZ120" s="38"/>
      <c r="MWA120" s="38"/>
      <c r="MWG120" s="36"/>
      <c r="MWH120" s="38"/>
      <c r="MWI120" s="38"/>
      <c r="MWO120" s="36"/>
      <c r="MWP120" s="38"/>
      <c r="MWQ120" s="38"/>
      <c r="MWW120" s="36"/>
      <c r="MWX120" s="38"/>
      <c r="MWY120" s="38"/>
      <c r="MXE120" s="36"/>
      <c r="MXF120" s="38"/>
      <c r="MXG120" s="38"/>
      <c r="MXM120" s="36"/>
      <c r="MXN120" s="38"/>
      <c r="MXO120" s="38"/>
      <c r="MXU120" s="36"/>
      <c r="MXV120" s="38"/>
      <c r="MXW120" s="38"/>
      <c r="MYC120" s="36"/>
      <c r="MYD120" s="38"/>
      <c r="MYE120" s="38"/>
      <c r="MYK120" s="36"/>
      <c r="MYL120" s="38"/>
      <c r="MYM120" s="38"/>
      <c r="MYS120" s="36"/>
      <c r="MYT120" s="38"/>
      <c r="MYU120" s="38"/>
      <c r="MZA120" s="36"/>
      <c r="MZB120" s="38"/>
      <c r="MZC120" s="38"/>
      <c r="MZI120" s="36"/>
      <c r="MZJ120" s="38"/>
      <c r="MZK120" s="38"/>
      <c r="MZQ120" s="36"/>
      <c r="MZR120" s="38"/>
      <c r="MZS120" s="38"/>
      <c r="MZY120" s="36"/>
      <c r="MZZ120" s="38"/>
      <c r="NAA120" s="38"/>
      <c r="NAG120" s="36"/>
      <c r="NAH120" s="38"/>
      <c r="NAI120" s="38"/>
      <c r="NAO120" s="36"/>
      <c r="NAP120" s="38"/>
      <c r="NAQ120" s="38"/>
      <c r="NAW120" s="36"/>
      <c r="NAX120" s="38"/>
      <c r="NAY120" s="38"/>
      <c r="NBE120" s="36"/>
      <c r="NBF120" s="38"/>
      <c r="NBG120" s="38"/>
      <c r="NBM120" s="36"/>
      <c r="NBN120" s="38"/>
      <c r="NBO120" s="38"/>
      <c r="NBU120" s="36"/>
      <c r="NBV120" s="38"/>
      <c r="NBW120" s="38"/>
      <c r="NCC120" s="36"/>
      <c r="NCD120" s="38"/>
      <c r="NCE120" s="38"/>
      <c r="NCK120" s="36"/>
      <c r="NCL120" s="38"/>
      <c r="NCM120" s="38"/>
      <c r="NCS120" s="36"/>
      <c r="NCT120" s="38"/>
      <c r="NCU120" s="38"/>
      <c r="NDA120" s="36"/>
      <c r="NDB120" s="38"/>
      <c r="NDC120" s="38"/>
      <c r="NDI120" s="36"/>
      <c r="NDJ120" s="38"/>
      <c r="NDK120" s="38"/>
      <c r="NDQ120" s="36"/>
      <c r="NDR120" s="38"/>
      <c r="NDS120" s="38"/>
      <c r="NDY120" s="36"/>
      <c r="NDZ120" s="38"/>
      <c r="NEA120" s="38"/>
      <c r="NEG120" s="36"/>
      <c r="NEH120" s="38"/>
      <c r="NEI120" s="38"/>
      <c r="NEO120" s="36"/>
      <c r="NEP120" s="38"/>
      <c r="NEQ120" s="38"/>
      <c r="NEW120" s="36"/>
      <c r="NEX120" s="38"/>
      <c r="NEY120" s="38"/>
      <c r="NFE120" s="36"/>
      <c r="NFF120" s="38"/>
      <c r="NFG120" s="38"/>
      <c r="NFM120" s="36"/>
      <c r="NFN120" s="38"/>
      <c r="NFO120" s="38"/>
      <c r="NFU120" s="36"/>
      <c r="NFV120" s="38"/>
      <c r="NFW120" s="38"/>
      <c r="NGC120" s="36"/>
      <c r="NGD120" s="38"/>
      <c r="NGE120" s="38"/>
      <c r="NGK120" s="36"/>
      <c r="NGL120" s="38"/>
      <c r="NGM120" s="38"/>
      <c r="NGS120" s="36"/>
      <c r="NGT120" s="38"/>
      <c r="NGU120" s="38"/>
      <c r="NHA120" s="36"/>
      <c r="NHB120" s="38"/>
      <c r="NHC120" s="38"/>
      <c r="NHI120" s="36"/>
      <c r="NHJ120" s="38"/>
      <c r="NHK120" s="38"/>
      <c r="NHQ120" s="36"/>
      <c r="NHR120" s="38"/>
      <c r="NHS120" s="38"/>
      <c r="NHY120" s="36"/>
      <c r="NHZ120" s="38"/>
      <c r="NIA120" s="38"/>
      <c r="NIG120" s="36"/>
      <c r="NIH120" s="38"/>
      <c r="NII120" s="38"/>
      <c r="NIO120" s="36"/>
      <c r="NIP120" s="38"/>
      <c r="NIQ120" s="38"/>
      <c r="NIW120" s="36"/>
      <c r="NIX120" s="38"/>
      <c r="NIY120" s="38"/>
      <c r="NJE120" s="36"/>
      <c r="NJF120" s="38"/>
      <c r="NJG120" s="38"/>
      <c r="NJM120" s="36"/>
      <c r="NJN120" s="38"/>
      <c r="NJO120" s="38"/>
      <c r="NJU120" s="36"/>
      <c r="NJV120" s="38"/>
      <c r="NJW120" s="38"/>
      <c r="NKC120" s="36"/>
      <c r="NKD120" s="38"/>
      <c r="NKE120" s="38"/>
      <c r="NKK120" s="36"/>
      <c r="NKL120" s="38"/>
      <c r="NKM120" s="38"/>
      <c r="NKS120" s="36"/>
      <c r="NKT120" s="38"/>
      <c r="NKU120" s="38"/>
      <c r="NLA120" s="36"/>
      <c r="NLB120" s="38"/>
      <c r="NLC120" s="38"/>
      <c r="NLI120" s="36"/>
      <c r="NLJ120" s="38"/>
      <c r="NLK120" s="38"/>
      <c r="NLQ120" s="36"/>
      <c r="NLR120" s="38"/>
      <c r="NLS120" s="38"/>
      <c r="NLY120" s="36"/>
      <c r="NLZ120" s="38"/>
      <c r="NMA120" s="38"/>
      <c r="NMG120" s="36"/>
      <c r="NMH120" s="38"/>
      <c r="NMI120" s="38"/>
      <c r="NMO120" s="36"/>
      <c r="NMP120" s="38"/>
      <c r="NMQ120" s="38"/>
      <c r="NMW120" s="36"/>
      <c r="NMX120" s="38"/>
      <c r="NMY120" s="38"/>
      <c r="NNE120" s="36"/>
      <c r="NNF120" s="38"/>
      <c r="NNG120" s="38"/>
      <c r="NNM120" s="36"/>
      <c r="NNN120" s="38"/>
      <c r="NNO120" s="38"/>
      <c r="NNU120" s="36"/>
      <c r="NNV120" s="38"/>
      <c r="NNW120" s="38"/>
      <c r="NOC120" s="36"/>
      <c r="NOD120" s="38"/>
      <c r="NOE120" s="38"/>
      <c r="NOK120" s="36"/>
      <c r="NOL120" s="38"/>
      <c r="NOM120" s="38"/>
      <c r="NOS120" s="36"/>
      <c r="NOT120" s="38"/>
      <c r="NOU120" s="38"/>
      <c r="NPA120" s="36"/>
      <c r="NPB120" s="38"/>
      <c r="NPC120" s="38"/>
      <c r="NPI120" s="36"/>
      <c r="NPJ120" s="38"/>
      <c r="NPK120" s="38"/>
      <c r="NPQ120" s="36"/>
      <c r="NPR120" s="38"/>
      <c r="NPS120" s="38"/>
      <c r="NPY120" s="36"/>
      <c r="NPZ120" s="38"/>
      <c r="NQA120" s="38"/>
      <c r="NQG120" s="36"/>
      <c r="NQH120" s="38"/>
      <c r="NQI120" s="38"/>
      <c r="NQO120" s="36"/>
      <c r="NQP120" s="38"/>
      <c r="NQQ120" s="38"/>
      <c r="NQW120" s="36"/>
      <c r="NQX120" s="38"/>
      <c r="NQY120" s="38"/>
      <c r="NRE120" s="36"/>
      <c r="NRF120" s="38"/>
      <c r="NRG120" s="38"/>
      <c r="NRM120" s="36"/>
      <c r="NRN120" s="38"/>
      <c r="NRO120" s="38"/>
      <c r="NRU120" s="36"/>
      <c r="NRV120" s="38"/>
      <c r="NRW120" s="38"/>
      <c r="NSC120" s="36"/>
      <c r="NSD120" s="38"/>
      <c r="NSE120" s="38"/>
      <c r="NSK120" s="36"/>
      <c r="NSL120" s="38"/>
      <c r="NSM120" s="38"/>
      <c r="NSS120" s="36"/>
      <c r="NST120" s="38"/>
      <c r="NSU120" s="38"/>
      <c r="NTA120" s="36"/>
      <c r="NTB120" s="38"/>
      <c r="NTC120" s="38"/>
      <c r="NTI120" s="36"/>
      <c r="NTJ120" s="38"/>
      <c r="NTK120" s="38"/>
      <c r="NTQ120" s="36"/>
      <c r="NTR120" s="38"/>
      <c r="NTS120" s="38"/>
      <c r="NTY120" s="36"/>
      <c r="NTZ120" s="38"/>
      <c r="NUA120" s="38"/>
      <c r="NUG120" s="36"/>
      <c r="NUH120" s="38"/>
      <c r="NUI120" s="38"/>
      <c r="NUO120" s="36"/>
      <c r="NUP120" s="38"/>
      <c r="NUQ120" s="38"/>
      <c r="NUW120" s="36"/>
      <c r="NUX120" s="38"/>
      <c r="NUY120" s="38"/>
      <c r="NVE120" s="36"/>
      <c r="NVF120" s="38"/>
      <c r="NVG120" s="38"/>
      <c r="NVM120" s="36"/>
      <c r="NVN120" s="38"/>
      <c r="NVO120" s="38"/>
      <c r="NVU120" s="36"/>
      <c r="NVV120" s="38"/>
      <c r="NVW120" s="38"/>
      <c r="NWC120" s="36"/>
      <c r="NWD120" s="38"/>
      <c r="NWE120" s="38"/>
      <c r="NWK120" s="36"/>
      <c r="NWL120" s="38"/>
      <c r="NWM120" s="38"/>
      <c r="NWS120" s="36"/>
      <c r="NWT120" s="38"/>
      <c r="NWU120" s="38"/>
      <c r="NXA120" s="36"/>
      <c r="NXB120" s="38"/>
      <c r="NXC120" s="38"/>
      <c r="NXI120" s="36"/>
      <c r="NXJ120" s="38"/>
      <c r="NXK120" s="38"/>
      <c r="NXQ120" s="36"/>
      <c r="NXR120" s="38"/>
      <c r="NXS120" s="38"/>
      <c r="NXY120" s="36"/>
      <c r="NXZ120" s="38"/>
      <c r="NYA120" s="38"/>
      <c r="NYG120" s="36"/>
      <c r="NYH120" s="38"/>
      <c r="NYI120" s="38"/>
      <c r="NYO120" s="36"/>
      <c r="NYP120" s="38"/>
      <c r="NYQ120" s="38"/>
      <c r="NYW120" s="36"/>
      <c r="NYX120" s="38"/>
      <c r="NYY120" s="38"/>
      <c r="NZE120" s="36"/>
      <c r="NZF120" s="38"/>
      <c r="NZG120" s="38"/>
      <c r="NZM120" s="36"/>
      <c r="NZN120" s="38"/>
      <c r="NZO120" s="38"/>
      <c r="NZU120" s="36"/>
      <c r="NZV120" s="38"/>
      <c r="NZW120" s="38"/>
      <c r="OAC120" s="36"/>
      <c r="OAD120" s="38"/>
      <c r="OAE120" s="38"/>
      <c r="OAK120" s="36"/>
      <c r="OAL120" s="38"/>
      <c r="OAM120" s="38"/>
      <c r="OAS120" s="36"/>
      <c r="OAT120" s="38"/>
      <c r="OAU120" s="38"/>
      <c r="OBA120" s="36"/>
      <c r="OBB120" s="38"/>
      <c r="OBC120" s="38"/>
      <c r="OBI120" s="36"/>
      <c r="OBJ120" s="38"/>
      <c r="OBK120" s="38"/>
      <c r="OBQ120" s="36"/>
      <c r="OBR120" s="38"/>
      <c r="OBS120" s="38"/>
      <c r="OBY120" s="36"/>
      <c r="OBZ120" s="38"/>
      <c r="OCA120" s="38"/>
      <c r="OCG120" s="36"/>
      <c r="OCH120" s="38"/>
      <c r="OCI120" s="38"/>
      <c r="OCO120" s="36"/>
      <c r="OCP120" s="38"/>
      <c r="OCQ120" s="38"/>
      <c r="OCW120" s="36"/>
      <c r="OCX120" s="38"/>
      <c r="OCY120" s="38"/>
      <c r="ODE120" s="36"/>
      <c r="ODF120" s="38"/>
      <c r="ODG120" s="38"/>
      <c r="ODM120" s="36"/>
      <c r="ODN120" s="38"/>
      <c r="ODO120" s="38"/>
      <c r="ODU120" s="36"/>
      <c r="ODV120" s="38"/>
      <c r="ODW120" s="38"/>
      <c r="OEC120" s="36"/>
      <c r="OED120" s="38"/>
      <c r="OEE120" s="38"/>
      <c r="OEK120" s="36"/>
      <c r="OEL120" s="38"/>
      <c r="OEM120" s="38"/>
      <c r="OES120" s="36"/>
      <c r="OET120" s="38"/>
      <c r="OEU120" s="38"/>
      <c r="OFA120" s="36"/>
      <c r="OFB120" s="38"/>
      <c r="OFC120" s="38"/>
      <c r="OFI120" s="36"/>
      <c r="OFJ120" s="38"/>
      <c r="OFK120" s="38"/>
      <c r="OFQ120" s="36"/>
      <c r="OFR120" s="38"/>
      <c r="OFS120" s="38"/>
      <c r="OFY120" s="36"/>
      <c r="OFZ120" s="38"/>
      <c r="OGA120" s="38"/>
      <c r="OGG120" s="36"/>
      <c r="OGH120" s="38"/>
      <c r="OGI120" s="38"/>
      <c r="OGO120" s="36"/>
      <c r="OGP120" s="38"/>
      <c r="OGQ120" s="38"/>
      <c r="OGW120" s="36"/>
      <c r="OGX120" s="38"/>
      <c r="OGY120" s="38"/>
      <c r="OHE120" s="36"/>
      <c r="OHF120" s="38"/>
      <c r="OHG120" s="38"/>
      <c r="OHM120" s="36"/>
      <c r="OHN120" s="38"/>
      <c r="OHO120" s="38"/>
      <c r="OHU120" s="36"/>
      <c r="OHV120" s="38"/>
      <c r="OHW120" s="38"/>
      <c r="OIC120" s="36"/>
      <c r="OID120" s="38"/>
      <c r="OIE120" s="38"/>
      <c r="OIK120" s="36"/>
      <c r="OIL120" s="38"/>
      <c r="OIM120" s="38"/>
      <c r="OIS120" s="36"/>
      <c r="OIT120" s="38"/>
      <c r="OIU120" s="38"/>
      <c r="OJA120" s="36"/>
      <c r="OJB120" s="38"/>
      <c r="OJC120" s="38"/>
      <c r="OJI120" s="36"/>
      <c r="OJJ120" s="38"/>
      <c r="OJK120" s="38"/>
      <c r="OJQ120" s="36"/>
      <c r="OJR120" s="38"/>
      <c r="OJS120" s="38"/>
      <c r="OJY120" s="36"/>
      <c r="OJZ120" s="38"/>
      <c r="OKA120" s="38"/>
      <c r="OKG120" s="36"/>
      <c r="OKH120" s="38"/>
      <c r="OKI120" s="38"/>
      <c r="OKO120" s="36"/>
      <c r="OKP120" s="38"/>
      <c r="OKQ120" s="38"/>
      <c r="OKW120" s="36"/>
      <c r="OKX120" s="38"/>
      <c r="OKY120" s="38"/>
      <c r="OLE120" s="36"/>
      <c r="OLF120" s="38"/>
      <c r="OLG120" s="38"/>
      <c r="OLM120" s="36"/>
      <c r="OLN120" s="38"/>
      <c r="OLO120" s="38"/>
      <c r="OLU120" s="36"/>
      <c r="OLV120" s="38"/>
      <c r="OLW120" s="38"/>
      <c r="OMC120" s="36"/>
      <c r="OMD120" s="38"/>
      <c r="OME120" s="38"/>
      <c r="OMK120" s="36"/>
      <c r="OML120" s="38"/>
      <c r="OMM120" s="38"/>
      <c r="OMS120" s="36"/>
      <c r="OMT120" s="38"/>
      <c r="OMU120" s="38"/>
      <c r="ONA120" s="36"/>
      <c r="ONB120" s="38"/>
      <c r="ONC120" s="38"/>
      <c r="ONI120" s="36"/>
      <c r="ONJ120" s="38"/>
      <c r="ONK120" s="38"/>
      <c r="ONQ120" s="36"/>
      <c r="ONR120" s="38"/>
      <c r="ONS120" s="38"/>
      <c r="ONY120" s="36"/>
      <c r="ONZ120" s="38"/>
      <c r="OOA120" s="38"/>
      <c r="OOG120" s="36"/>
      <c r="OOH120" s="38"/>
      <c r="OOI120" s="38"/>
      <c r="OOO120" s="36"/>
      <c r="OOP120" s="38"/>
      <c r="OOQ120" s="38"/>
      <c r="OOW120" s="36"/>
      <c r="OOX120" s="38"/>
      <c r="OOY120" s="38"/>
      <c r="OPE120" s="36"/>
      <c r="OPF120" s="38"/>
      <c r="OPG120" s="38"/>
      <c r="OPM120" s="36"/>
      <c r="OPN120" s="38"/>
      <c r="OPO120" s="38"/>
      <c r="OPU120" s="36"/>
      <c r="OPV120" s="38"/>
      <c r="OPW120" s="38"/>
      <c r="OQC120" s="36"/>
      <c r="OQD120" s="38"/>
      <c r="OQE120" s="38"/>
      <c r="OQK120" s="36"/>
      <c r="OQL120" s="38"/>
      <c r="OQM120" s="38"/>
      <c r="OQS120" s="36"/>
      <c r="OQT120" s="38"/>
      <c r="OQU120" s="38"/>
      <c r="ORA120" s="36"/>
      <c r="ORB120" s="38"/>
      <c r="ORC120" s="38"/>
      <c r="ORI120" s="36"/>
      <c r="ORJ120" s="38"/>
      <c r="ORK120" s="38"/>
      <c r="ORQ120" s="36"/>
      <c r="ORR120" s="38"/>
      <c r="ORS120" s="38"/>
      <c r="ORY120" s="36"/>
      <c r="ORZ120" s="38"/>
      <c r="OSA120" s="38"/>
      <c r="OSG120" s="36"/>
      <c r="OSH120" s="38"/>
      <c r="OSI120" s="38"/>
      <c r="OSO120" s="36"/>
      <c r="OSP120" s="38"/>
      <c r="OSQ120" s="38"/>
      <c r="OSW120" s="36"/>
      <c r="OSX120" s="38"/>
      <c r="OSY120" s="38"/>
      <c r="OTE120" s="36"/>
      <c r="OTF120" s="38"/>
      <c r="OTG120" s="38"/>
      <c r="OTM120" s="36"/>
      <c r="OTN120" s="38"/>
      <c r="OTO120" s="38"/>
      <c r="OTU120" s="36"/>
      <c r="OTV120" s="38"/>
      <c r="OTW120" s="38"/>
      <c r="OUC120" s="36"/>
      <c r="OUD120" s="38"/>
      <c r="OUE120" s="38"/>
      <c r="OUK120" s="36"/>
      <c r="OUL120" s="38"/>
      <c r="OUM120" s="38"/>
      <c r="OUS120" s="36"/>
      <c r="OUT120" s="38"/>
      <c r="OUU120" s="38"/>
      <c r="OVA120" s="36"/>
      <c r="OVB120" s="38"/>
      <c r="OVC120" s="38"/>
      <c r="OVI120" s="36"/>
      <c r="OVJ120" s="38"/>
      <c r="OVK120" s="38"/>
      <c r="OVQ120" s="36"/>
      <c r="OVR120" s="38"/>
      <c r="OVS120" s="38"/>
      <c r="OVY120" s="36"/>
      <c r="OVZ120" s="38"/>
      <c r="OWA120" s="38"/>
      <c r="OWG120" s="36"/>
      <c r="OWH120" s="38"/>
      <c r="OWI120" s="38"/>
      <c r="OWO120" s="36"/>
      <c r="OWP120" s="38"/>
      <c r="OWQ120" s="38"/>
      <c r="OWW120" s="36"/>
      <c r="OWX120" s="38"/>
      <c r="OWY120" s="38"/>
      <c r="OXE120" s="36"/>
      <c r="OXF120" s="38"/>
      <c r="OXG120" s="38"/>
      <c r="OXM120" s="36"/>
      <c r="OXN120" s="38"/>
      <c r="OXO120" s="38"/>
      <c r="OXU120" s="36"/>
      <c r="OXV120" s="38"/>
      <c r="OXW120" s="38"/>
      <c r="OYC120" s="36"/>
      <c r="OYD120" s="38"/>
      <c r="OYE120" s="38"/>
      <c r="OYK120" s="36"/>
      <c r="OYL120" s="38"/>
      <c r="OYM120" s="38"/>
      <c r="OYS120" s="36"/>
      <c r="OYT120" s="38"/>
      <c r="OYU120" s="38"/>
      <c r="OZA120" s="36"/>
      <c r="OZB120" s="38"/>
      <c r="OZC120" s="38"/>
      <c r="OZI120" s="36"/>
      <c r="OZJ120" s="38"/>
      <c r="OZK120" s="38"/>
      <c r="OZQ120" s="36"/>
      <c r="OZR120" s="38"/>
      <c r="OZS120" s="38"/>
      <c r="OZY120" s="36"/>
      <c r="OZZ120" s="38"/>
      <c r="PAA120" s="38"/>
      <c r="PAG120" s="36"/>
      <c r="PAH120" s="38"/>
      <c r="PAI120" s="38"/>
      <c r="PAO120" s="36"/>
      <c r="PAP120" s="38"/>
      <c r="PAQ120" s="38"/>
      <c r="PAW120" s="36"/>
      <c r="PAX120" s="38"/>
      <c r="PAY120" s="38"/>
      <c r="PBE120" s="36"/>
      <c r="PBF120" s="38"/>
      <c r="PBG120" s="38"/>
      <c r="PBM120" s="36"/>
      <c r="PBN120" s="38"/>
      <c r="PBO120" s="38"/>
      <c r="PBU120" s="36"/>
      <c r="PBV120" s="38"/>
      <c r="PBW120" s="38"/>
      <c r="PCC120" s="36"/>
      <c r="PCD120" s="38"/>
      <c r="PCE120" s="38"/>
      <c r="PCK120" s="36"/>
      <c r="PCL120" s="38"/>
      <c r="PCM120" s="38"/>
      <c r="PCS120" s="36"/>
      <c r="PCT120" s="38"/>
      <c r="PCU120" s="38"/>
      <c r="PDA120" s="36"/>
      <c r="PDB120" s="38"/>
      <c r="PDC120" s="38"/>
      <c r="PDI120" s="36"/>
      <c r="PDJ120" s="38"/>
      <c r="PDK120" s="38"/>
      <c r="PDQ120" s="36"/>
      <c r="PDR120" s="38"/>
      <c r="PDS120" s="38"/>
      <c r="PDY120" s="36"/>
      <c r="PDZ120" s="38"/>
      <c r="PEA120" s="38"/>
      <c r="PEG120" s="36"/>
      <c r="PEH120" s="38"/>
      <c r="PEI120" s="38"/>
      <c r="PEO120" s="36"/>
      <c r="PEP120" s="38"/>
      <c r="PEQ120" s="38"/>
      <c r="PEW120" s="36"/>
      <c r="PEX120" s="38"/>
      <c r="PEY120" s="38"/>
      <c r="PFE120" s="36"/>
      <c r="PFF120" s="38"/>
      <c r="PFG120" s="38"/>
      <c r="PFM120" s="36"/>
      <c r="PFN120" s="38"/>
      <c r="PFO120" s="38"/>
      <c r="PFU120" s="36"/>
      <c r="PFV120" s="38"/>
      <c r="PFW120" s="38"/>
      <c r="PGC120" s="36"/>
      <c r="PGD120" s="38"/>
      <c r="PGE120" s="38"/>
      <c r="PGK120" s="36"/>
      <c r="PGL120" s="38"/>
      <c r="PGM120" s="38"/>
      <c r="PGS120" s="36"/>
      <c r="PGT120" s="38"/>
      <c r="PGU120" s="38"/>
      <c r="PHA120" s="36"/>
      <c r="PHB120" s="38"/>
      <c r="PHC120" s="38"/>
      <c r="PHI120" s="36"/>
      <c r="PHJ120" s="38"/>
      <c r="PHK120" s="38"/>
      <c r="PHQ120" s="36"/>
      <c r="PHR120" s="38"/>
      <c r="PHS120" s="38"/>
      <c r="PHY120" s="36"/>
      <c r="PHZ120" s="38"/>
      <c r="PIA120" s="38"/>
      <c r="PIG120" s="36"/>
      <c r="PIH120" s="38"/>
      <c r="PII120" s="38"/>
      <c r="PIO120" s="36"/>
      <c r="PIP120" s="38"/>
      <c r="PIQ120" s="38"/>
      <c r="PIW120" s="36"/>
      <c r="PIX120" s="38"/>
      <c r="PIY120" s="38"/>
      <c r="PJE120" s="36"/>
      <c r="PJF120" s="38"/>
      <c r="PJG120" s="38"/>
      <c r="PJM120" s="36"/>
      <c r="PJN120" s="38"/>
      <c r="PJO120" s="38"/>
      <c r="PJU120" s="36"/>
      <c r="PJV120" s="38"/>
      <c r="PJW120" s="38"/>
      <c r="PKC120" s="36"/>
      <c r="PKD120" s="38"/>
      <c r="PKE120" s="38"/>
      <c r="PKK120" s="36"/>
      <c r="PKL120" s="38"/>
      <c r="PKM120" s="38"/>
      <c r="PKS120" s="36"/>
      <c r="PKT120" s="38"/>
      <c r="PKU120" s="38"/>
      <c r="PLA120" s="36"/>
      <c r="PLB120" s="38"/>
      <c r="PLC120" s="38"/>
      <c r="PLI120" s="36"/>
      <c r="PLJ120" s="38"/>
      <c r="PLK120" s="38"/>
      <c r="PLQ120" s="36"/>
      <c r="PLR120" s="38"/>
      <c r="PLS120" s="38"/>
      <c r="PLY120" s="36"/>
      <c r="PLZ120" s="38"/>
      <c r="PMA120" s="38"/>
      <c r="PMG120" s="36"/>
      <c r="PMH120" s="38"/>
      <c r="PMI120" s="38"/>
      <c r="PMO120" s="36"/>
      <c r="PMP120" s="38"/>
      <c r="PMQ120" s="38"/>
      <c r="PMW120" s="36"/>
      <c r="PMX120" s="38"/>
      <c r="PMY120" s="38"/>
      <c r="PNE120" s="36"/>
      <c r="PNF120" s="38"/>
      <c r="PNG120" s="38"/>
      <c r="PNM120" s="36"/>
      <c r="PNN120" s="38"/>
      <c r="PNO120" s="38"/>
      <c r="PNU120" s="36"/>
      <c r="PNV120" s="38"/>
      <c r="PNW120" s="38"/>
      <c r="POC120" s="36"/>
      <c r="POD120" s="38"/>
      <c r="POE120" s="38"/>
      <c r="POK120" s="36"/>
      <c r="POL120" s="38"/>
      <c r="POM120" s="38"/>
      <c r="POS120" s="36"/>
      <c r="POT120" s="38"/>
      <c r="POU120" s="38"/>
      <c r="PPA120" s="36"/>
      <c r="PPB120" s="38"/>
      <c r="PPC120" s="38"/>
      <c r="PPI120" s="36"/>
      <c r="PPJ120" s="38"/>
      <c r="PPK120" s="38"/>
      <c r="PPQ120" s="36"/>
      <c r="PPR120" s="38"/>
      <c r="PPS120" s="38"/>
      <c r="PPY120" s="36"/>
      <c r="PPZ120" s="38"/>
      <c r="PQA120" s="38"/>
      <c r="PQG120" s="36"/>
      <c r="PQH120" s="38"/>
      <c r="PQI120" s="38"/>
      <c r="PQO120" s="36"/>
      <c r="PQP120" s="38"/>
      <c r="PQQ120" s="38"/>
      <c r="PQW120" s="36"/>
      <c r="PQX120" s="38"/>
      <c r="PQY120" s="38"/>
      <c r="PRE120" s="36"/>
      <c r="PRF120" s="38"/>
      <c r="PRG120" s="38"/>
      <c r="PRM120" s="36"/>
      <c r="PRN120" s="38"/>
      <c r="PRO120" s="38"/>
      <c r="PRU120" s="36"/>
      <c r="PRV120" s="38"/>
      <c r="PRW120" s="38"/>
      <c r="PSC120" s="36"/>
      <c r="PSD120" s="38"/>
      <c r="PSE120" s="38"/>
      <c r="PSK120" s="36"/>
      <c r="PSL120" s="38"/>
      <c r="PSM120" s="38"/>
      <c r="PSS120" s="36"/>
      <c r="PST120" s="38"/>
      <c r="PSU120" s="38"/>
      <c r="PTA120" s="36"/>
      <c r="PTB120" s="38"/>
      <c r="PTC120" s="38"/>
      <c r="PTI120" s="36"/>
      <c r="PTJ120" s="38"/>
      <c r="PTK120" s="38"/>
      <c r="PTQ120" s="36"/>
      <c r="PTR120" s="38"/>
      <c r="PTS120" s="38"/>
      <c r="PTY120" s="36"/>
      <c r="PTZ120" s="38"/>
      <c r="PUA120" s="38"/>
      <c r="PUG120" s="36"/>
      <c r="PUH120" s="38"/>
      <c r="PUI120" s="38"/>
      <c r="PUO120" s="36"/>
      <c r="PUP120" s="38"/>
      <c r="PUQ120" s="38"/>
      <c r="PUW120" s="36"/>
      <c r="PUX120" s="38"/>
      <c r="PUY120" s="38"/>
      <c r="PVE120" s="36"/>
      <c r="PVF120" s="38"/>
      <c r="PVG120" s="38"/>
      <c r="PVM120" s="36"/>
      <c r="PVN120" s="38"/>
      <c r="PVO120" s="38"/>
      <c r="PVU120" s="36"/>
      <c r="PVV120" s="38"/>
      <c r="PVW120" s="38"/>
      <c r="PWC120" s="36"/>
      <c r="PWD120" s="38"/>
      <c r="PWE120" s="38"/>
      <c r="PWK120" s="36"/>
      <c r="PWL120" s="38"/>
      <c r="PWM120" s="38"/>
      <c r="PWS120" s="36"/>
      <c r="PWT120" s="38"/>
      <c r="PWU120" s="38"/>
      <c r="PXA120" s="36"/>
      <c r="PXB120" s="38"/>
      <c r="PXC120" s="38"/>
      <c r="PXI120" s="36"/>
      <c r="PXJ120" s="38"/>
      <c r="PXK120" s="38"/>
      <c r="PXQ120" s="36"/>
      <c r="PXR120" s="38"/>
      <c r="PXS120" s="38"/>
      <c r="PXY120" s="36"/>
      <c r="PXZ120" s="38"/>
      <c r="PYA120" s="38"/>
      <c r="PYG120" s="36"/>
      <c r="PYH120" s="38"/>
      <c r="PYI120" s="38"/>
      <c r="PYO120" s="36"/>
      <c r="PYP120" s="38"/>
      <c r="PYQ120" s="38"/>
      <c r="PYW120" s="36"/>
      <c r="PYX120" s="38"/>
      <c r="PYY120" s="38"/>
      <c r="PZE120" s="36"/>
      <c r="PZF120" s="38"/>
      <c r="PZG120" s="38"/>
      <c r="PZM120" s="36"/>
      <c r="PZN120" s="38"/>
      <c r="PZO120" s="38"/>
      <c r="PZU120" s="36"/>
      <c r="PZV120" s="38"/>
      <c r="PZW120" s="38"/>
      <c r="QAC120" s="36"/>
      <c r="QAD120" s="38"/>
      <c r="QAE120" s="38"/>
      <c r="QAK120" s="36"/>
      <c r="QAL120" s="38"/>
      <c r="QAM120" s="38"/>
      <c r="QAS120" s="36"/>
      <c r="QAT120" s="38"/>
      <c r="QAU120" s="38"/>
      <c r="QBA120" s="36"/>
      <c r="QBB120" s="38"/>
      <c r="QBC120" s="38"/>
      <c r="QBI120" s="36"/>
      <c r="QBJ120" s="38"/>
      <c r="QBK120" s="38"/>
      <c r="QBQ120" s="36"/>
      <c r="QBR120" s="38"/>
      <c r="QBS120" s="38"/>
      <c r="QBY120" s="36"/>
      <c r="QBZ120" s="38"/>
      <c r="QCA120" s="38"/>
      <c r="QCG120" s="36"/>
      <c r="QCH120" s="38"/>
      <c r="QCI120" s="38"/>
      <c r="QCO120" s="36"/>
      <c r="QCP120" s="38"/>
      <c r="QCQ120" s="38"/>
      <c r="QCW120" s="36"/>
      <c r="QCX120" s="38"/>
      <c r="QCY120" s="38"/>
      <c r="QDE120" s="36"/>
      <c r="QDF120" s="38"/>
      <c r="QDG120" s="38"/>
      <c r="QDM120" s="36"/>
      <c r="QDN120" s="38"/>
      <c r="QDO120" s="38"/>
      <c r="QDU120" s="36"/>
      <c r="QDV120" s="38"/>
      <c r="QDW120" s="38"/>
      <c r="QEC120" s="36"/>
      <c r="QED120" s="38"/>
      <c r="QEE120" s="38"/>
      <c r="QEK120" s="36"/>
      <c r="QEL120" s="38"/>
      <c r="QEM120" s="38"/>
      <c r="QES120" s="36"/>
      <c r="QET120" s="38"/>
      <c r="QEU120" s="38"/>
      <c r="QFA120" s="36"/>
      <c r="QFB120" s="38"/>
      <c r="QFC120" s="38"/>
      <c r="QFI120" s="36"/>
      <c r="QFJ120" s="38"/>
      <c r="QFK120" s="38"/>
      <c r="QFQ120" s="36"/>
      <c r="QFR120" s="38"/>
      <c r="QFS120" s="38"/>
      <c r="QFY120" s="36"/>
      <c r="QFZ120" s="38"/>
      <c r="QGA120" s="38"/>
      <c r="QGG120" s="36"/>
      <c r="QGH120" s="38"/>
      <c r="QGI120" s="38"/>
      <c r="QGO120" s="36"/>
      <c r="QGP120" s="38"/>
      <c r="QGQ120" s="38"/>
      <c r="QGW120" s="36"/>
      <c r="QGX120" s="38"/>
      <c r="QGY120" s="38"/>
      <c r="QHE120" s="36"/>
      <c r="QHF120" s="38"/>
      <c r="QHG120" s="38"/>
      <c r="QHM120" s="36"/>
      <c r="QHN120" s="38"/>
      <c r="QHO120" s="38"/>
      <c r="QHU120" s="36"/>
      <c r="QHV120" s="38"/>
      <c r="QHW120" s="38"/>
      <c r="QIC120" s="36"/>
      <c r="QID120" s="38"/>
      <c r="QIE120" s="38"/>
      <c r="QIK120" s="36"/>
      <c r="QIL120" s="38"/>
      <c r="QIM120" s="38"/>
      <c r="QIS120" s="36"/>
      <c r="QIT120" s="38"/>
      <c r="QIU120" s="38"/>
      <c r="QJA120" s="36"/>
      <c r="QJB120" s="38"/>
      <c r="QJC120" s="38"/>
      <c r="QJI120" s="36"/>
      <c r="QJJ120" s="38"/>
      <c r="QJK120" s="38"/>
      <c r="QJQ120" s="36"/>
      <c r="QJR120" s="38"/>
      <c r="QJS120" s="38"/>
      <c r="QJY120" s="36"/>
      <c r="QJZ120" s="38"/>
      <c r="QKA120" s="38"/>
      <c r="QKG120" s="36"/>
      <c r="QKH120" s="38"/>
      <c r="QKI120" s="38"/>
      <c r="QKO120" s="36"/>
      <c r="QKP120" s="38"/>
      <c r="QKQ120" s="38"/>
      <c r="QKW120" s="36"/>
      <c r="QKX120" s="38"/>
      <c r="QKY120" s="38"/>
      <c r="QLE120" s="36"/>
      <c r="QLF120" s="38"/>
      <c r="QLG120" s="38"/>
      <c r="QLM120" s="36"/>
      <c r="QLN120" s="38"/>
      <c r="QLO120" s="38"/>
      <c r="QLU120" s="36"/>
      <c r="QLV120" s="38"/>
      <c r="QLW120" s="38"/>
      <c r="QMC120" s="36"/>
      <c r="QMD120" s="38"/>
      <c r="QME120" s="38"/>
      <c r="QMK120" s="36"/>
      <c r="QML120" s="38"/>
      <c r="QMM120" s="38"/>
      <c r="QMS120" s="36"/>
      <c r="QMT120" s="38"/>
      <c r="QMU120" s="38"/>
      <c r="QNA120" s="36"/>
      <c r="QNB120" s="38"/>
      <c r="QNC120" s="38"/>
      <c r="QNI120" s="36"/>
      <c r="QNJ120" s="38"/>
      <c r="QNK120" s="38"/>
      <c r="QNQ120" s="36"/>
      <c r="QNR120" s="38"/>
      <c r="QNS120" s="38"/>
      <c r="QNY120" s="36"/>
      <c r="QNZ120" s="38"/>
      <c r="QOA120" s="38"/>
      <c r="QOG120" s="36"/>
      <c r="QOH120" s="38"/>
      <c r="QOI120" s="38"/>
      <c r="QOO120" s="36"/>
      <c r="QOP120" s="38"/>
      <c r="QOQ120" s="38"/>
      <c r="QOW120" s="36"/>
      <c r="QOX120" s="38"/>
      <c r="QOY120" s="38"/>
      <c r="QPE120" s="36"/>
      <c r="QPF120" s="38"/>
      <c r="QPG120" s="38"/>
      <c r="QPM120" s="36"/>
      <c r="QPN120" s="38"/>
      <c r="QPO120" s="38"/>
      <c r="QPU120" s="36"/>
      <c r="QPV120" s="38"/>
      <c r="QPW120" s="38"/>
      <c r="QQC120" s="36"/>
      <c r="QQD120" s="38"/>
      <c r="QQE120" s="38"/>
      <c r="QQK120" s="36"/>
      <c r="QQL120" s="38"/>
      <c r="QQM120" s="38"/>
      <c r="QQS120" s="36"/>
      <c r="QQT120" s="38"/>
      <c r="QQU120" s="38"/>
      <c r="QRA120" s="36"/>
      <c r="QRB120" s="38"/>
      <c r="QRC120" s="38"/>
      <c r="QRI120" s="36"/>
      <c r="QRJ120" s="38"/>
      <c r="QRK120" s="38"/>
      <c r="QRQ120" s="36"/>
      <c r="QRR120" s="38"/>
      <c r="QRS120" s="38"/>
      <c r="QRY120" s="36"/>
      <c r="QRZ120" s="38"/>
      <c r="QSA120" s="38"/>
      <c r="QSG120" s="36"/>
      <c r="QSH120" s="38"/>
      <c r="QSI120" s="38"/>
      <c r="QSO120" s="36"/>
      <c r="QSP120" s="38"/>
      <c r="QSQ120" s="38"/>
      <c r="QSW120" s="36"/>
      <c r="QSX120" s="38"/>
      <c r="QSY120" s="38"/>
      <c r="QTE120" s="36"/>
      <c r="QTF120" s="38"/>
      <c r="QTG120" s="38"/>
      <c r="QTM120" s="36"/>
      <c r="QTN120" s="38"/>
      <c r="QTO120" s="38"/>
      <c r="QTU120" s="36"/>
      <c r="QTV120" s="38"/>
      <c r="QTW120" s="38"/>
      <c r="QUC120" s="36"/>
      <c r="QUD120" s="38"/>
      <c r="QUE120" s="38"/>
      <c r="QUK120" s="36"/>
      <c r="QUL120" s="38"/>
      <c r="QUM120" s="38"/>
      <c r="QUS120" s="36"/>
      <c r="QUT120" s="38"/>
      <c r="QUU120" s="38"/>
      <c r="QVA120" s="36"/>
      <c r="QVB120" s="38"/>
      <c r="QVC120" s="38"/>
      <c r="QVI120" s="36"/>
      <c r="QVJ120" s="38"/>
      <c r="QVK120" s="38"/>
      <c r="QVQ120" s="36"/>
      <c r="QVR120" s="38"/>
      <c r="QVS120" s="38"/>
      <c r="QVY120" s="36"/>
      <c r="QVZ120" s="38"/>
      <c r="QWA120" s="38"/>
      <c r="QWG120" s="36"/>
      <c r="QWH120" s="38"/>
      <c r="QWI120" s="38"/>
      <c r="QWO120" s="36"/>
      <c r="QWP120" s="38"/>
      <c r="QWQ120" s="38"/>
      <c r="QWW120" s="36"/>
      <c r="QWX120" s="38"/>
      <c r="QWY120" s="38"/>
      <c r="QXE120" s="36"/>
      <c r="QXF120" s="38"/>
      <c r="QXG120" s="38"/>
      <c r="QXM120" s="36"/>
      <c r="QXN120" s="38"/>
      <c r="QXO120" s="38"/>
      <c r="QXU120" s="36"/>
      <c r="QXV120" s="38"/>
      <c r="QXW120" s="38"/>
      <c r="QYC120" s="36"/>
      <c r="QYD120" s="38"/>
      <c r="QYE120" s="38"/>
      <c r="QYK120" s="36"/>
      <c r="QYL120" s="38"/>
      <c r="QYM120" s="38"/>
      <c r="QYS120" s="36"/>
      <c r="QYT120" s="38"/>
      <c r="QYU120" s="38"/>
      <c r="QZA120" s="36"/>
      <c r="QZB120" s="38"/>
      <c r="QZC120" s="38"/>
      <c r="QZI120" s="36"/>
      <c r="QZJ120" s="38"/>
      <c r="QZK120" s="38"/>
      <c r="QZQ120" s="36"/>
      <c r="QZR120" s="38"/>
      <c r="QZS120" s="38"/>
      <c r="QZY120" s="36"/>
      <c r="QZZ120" s="38"/>
      <c r="RAA120" s="38"/>
      <c r="RAG120" s="36"/>
      <c r="RAH120" s="38"/>
      <c r="RAI120" s="38"/>
      <c r="RAO120" s="36"/>
      <c r="RAP120" s="38"/>
      <c r="RAQ120" s="38"/>
      <c r="RAW120" s="36"/>
      <c r="RAX120" s="38"/>
      <c r="RAY120" s="38"/>
      <c r="RBE120" s="36"/>
      <c r="RBF120" s="38"/>
      <c r="RBG120" s="38"/>
      <c r="RBM120" s="36"/>
      <c r="RBN120" s="38"/>
      <c r="RBO120" s="38"/>
      <c r="RBU120" s="36"/>
      <c r="RBV120" s="38"/>
      <c r="RBW120" s="38"/>
      <c r="RCC120" s="36"/>
      <c r="RCD120" s="38"/>
      <c r="RCE120" s="38"/>
      <c r="RCK120" s="36"/>
      <c r="RCL120" s="38"/>
      <c r="RCM120" s="38"/>
      <c r="RCS120" s="36"/>
      <c r="RCT120" s="38"/>
      <c r="RCU120" s="38"/>
      <c r="RDA120" s="36"/>
      <c r="RDB120" s="38"/>
      <c r="RDC120" s="38"/>
      <c r="RDI120" s="36"/>
      <c r="RDJ120" s="38"/>
      <c r="RDK120" s="38"/>
      <c r="RDQ120" s="36"/>
      <c r="RDR120" s="38"/>
      <c r="RDS120" s="38"/>
      <c r="RDY120" s="36"/>
      <c r="RDZ120" s="38"/>
      <c r="REA120" s="38"/>
      <c r="REG120" s="36"/>
      <c r="REH120" s="38"/>
      <c r="REI120" s="38"/>
      <c r="REO120" s="36"/>
      <c r="REP120" s="38"/>
      <c r="REQ120" s="38"/>
      <c r="REW120" s="36"/>
      <c r="REX120" s="38"/>
      <c r="REY120" s="38"/>
      <c r="RFE120" s="36"/>
      <c r="RFF120" s="38"/>
      <c r="RFG120" s="38"/>
      <c r="RFM120" s="36"/>
      <c r="RFN120" s="38"/>
      <c r="RFO120" s="38"/>
      <c r="RFU120" s="36"/>
      <c r="RFV120" s="38"/>
      <c r="RFW120" s="38"/>
      <c r="RGC120" s="36"/>
      <c r="RGD120" s="38"/>
      <c r="RGE120" s="38"/>
      <c r="RGK120" s="36"/>
      <c r="RGL120" s="38"/>
      <c r="RGM120" s="38"/>
      <c r="RGS120" s="36"/>
      <c r="RGT120" s="38"/>
      <c r="RGU120" s="38"/>
      <c r="RHA120" s="36"/>
      <c r="RHB120" s="38"/>
      <c r="RHC120" s="38"/>
      <c r="RHI120" s="36"/>
      <c r="RHJ120" s="38"/>
      <c r="RHK120" s="38"/>
      <c r="RHQ120" s="36"/>
      <c r="RHR120" s="38"/>
      <c r="RHS120" s="38"/>
      <c r="RHY120" s="36"/>
      <c r="RHZ120" s="38"/>
      <c r="RIA120" s="38"/>
      <c r="RIG120" s="36"/>
      <c r="RIH120" s="38"/>
      <c r="RII120" s="38"/>
      <c r="RIO120" s="36"/>
      <c r="RIP120" s="38"/>
      <c r="RIQ120" s="38"/>
      <c r="RIW120" s="36"/>
      <c r="RIX120" s="38"/>
      <c r="RIY120" s="38"/>
      <c r="RJE120" s="36"/>
      <c r="RJF120" s="38"/>
      <c r="RJG120" s="38"/>
      <c r="RJM120" s="36"/>
      <c r="RJN120" s="38"/>
      <c r="RJO120" s="38"/>
      <c r="RJU120" s="36"/>
      <c r="RJV120" s="38"/>
      <c r="RJW120" s="38"/>
      <c r="RKC120" s="36"/>
      <c r="RKD120" s="38"/>
      <c r="RKE120" s="38"/>
      <c r="RKK120" s="36"/>
      <c r="RKL120" s="38"/>
      <c r="RKM120" s="38"/>
      <c r="RKS120" s="36"/>
      <c r="RKT120" s="38"/>
      <c r="RKU120" s="38"/>
      <c r="RLA120" s="36"/>
      <c r="RLB120" s="38"/>
      <c r="RLC120" s="38"/>
      <c r="RLI120" s="36"/>
      <c r="RLJ120" s="38"/>
      <c r="RLK120" s="38"/>
      <c r="RLQ120" s="36"/>
      <c r="RLR120" s="38"/>
      <c r="RLS120" s="38"/>
      <c r="RLY120" s="36"/>
      <c r="RLZ120" s="38"/>
      <c r="RMA120" s="38"/>
      <c r="RMG120" s="36"/>
      <c r="RMH120" s="38"/>
      <c r="RMI120" s="38"/>
      <c r="RMO120" s="36"/>
      <c r="RMP120" s="38"/>
      <c r="RMQ120" s="38"/>
      <c r="RMW120" s="36"/>
      <c r="RMX120" s="38"/>
      <c r="RMY120" s="38"/>
      <c r="RNE120" s="36"/>
      <c r="RNF120" s="38"/>
      <c r="RNG120" s="38"/>
      <c r="RNM120" s="36"/>
      <c r="RNN120" s="38"/>
      <c r="RNO120" s="38"/>
      <c r="RNU120" s="36"/>
      <c r="RNV120" s="38"/>
      <c r="RNW120" s="38"/>
      <c r="ROC120" s="36"/>
      <c r="ROD120" s="38"/>
      <c r="ROE120" s="38"/>
      <c r="ROK120" s="36"/>
      <c r="ROL120" s="38"/>
      <c r="ROM120" s="38"/>
      <c r="ROS120" s="36"/>
      <c r="ROT120" s="38"/>
      <c r="ROU120" s="38"/>
      <c r="RPA120" s="36"/>
      <c r="RPB120" s="38"/>
      <c r="RPC120" s="38"/>
      <c r="RPI120" s="36"/>
      <c r="RPJ120" s="38"/>
      <c r="RPK120" s="38"/>
      <c r="RPQ120" s="36"/>
      <c r="RPR120" s="38"/>
      <c r="RPS120" s="38"/>
      <c r="RPY120" s="36"/>
      <c r="RPZ120" s="38"/>
      <c r="RQA120" s="38"/>
      <c r="RQG120" s="36"/>
      <c r="RQH120" s="38"/>
      <c r="RQI120" s="38"/>
      <c r="RQO120" s="36"/>
      <c r="RQP120" s="38"/>
      <c r="RQQ120" s="38"/>
      <c r="RQW120" s="36"/>
      <c r="RQX120" s="38"/>
      <c r="RQY120" s="38"/>
      <c r="RRE120" s="36"/>
      <c r="RRF120" s="38"/>
      <c r="RRG120" s="38"/>
      <c r="RRM120" s="36"/>
      <c r="RRN120" s="38"/>
      <c r="RRO120" s="38"/>
      <c r="RRU120" s="36"/>
      <c r="RRV120" s="38"/>
      <c r="RRW120" s="38"/>
      <c r="RSC120" s="36"/>
      <c r="RSD120" s="38"/>
      <c r="RSE120" s="38"/>
      <c r="RSK120" s="36"/>
      <c r="RSL120" s="38"/>
      <c r="RSM120" s="38"/>
      <c r="RSS120" s="36"/>
      <c r="RST120" s="38"/>
      <c r="RSU120" s="38"/>
      <c r="RTA120" s="36"/>
      <c r="RTB120" s="38"/>
      <c r="RTC120" s="38"/>
      <c r="RTI120" s="36"/>
      <c r="RTJ120" s="38"/>
      <c r="RTK120" s="38"/>
      <c r="RTQ120" s="36"/>
      <c r="RTR120" s="38"/>
      <c r="RTS120" s="38"/>
      <c r="RTY120" s="36"/>
      <c r="RTZ120" s="38"/>
      <c r="RUA120" s="38"/>
      <c r="RUG120" s="36"/>
      <c r="RUH120" s="38"/>
      <c r="RUI120" s="38"/>
      <c r="RUO120" s="36"/>
      <c r="RUP120" s="38"/>
      <c r="RUQ120" s="38"/>
      <c r="RUW120" s="36"/>
      <c r="RUX120" s="38"/>
      <c r="RUY120" s="38"/>
      <c r="RVE120" s="36"/>
      <c r="RVF120" s="38"/>
      <c r="RVG120" s="38"/>
      <c r="RVM120" s="36"/>
      <c r="RVN120" s="38"/>
      <c r="RVO120" s="38"/>
      <c r="RVU120" s="36"/>
      <c r="RVV120" s="38"/>
      <c r="RVW120" s="38"/>
      <c r="RWC120" s="36"/>
      <c r="RWD120" s="38"/>
      <c r="RWE120" s="38"/>
      <c r="RWK120" s="36"/>
      <c r="RWL120" s="38"/>
      <c r="RWM120" s="38"/>
      <c r="RWS120" s="36"/>
      <c r="RWT120" s="38"/>
      <c r="RWU120" s="38"/>
      <c r="RXA120" s="36"/>
      <c r="RXB120" s="38"/>
      <c r="RXC120" s="38"/>
      <c r="RXI120" s="36"/>
      <c r="RXJ120" s="38"/>
      <c r="RXK120" s="38"/>
      <c r="RXQ120" s="36"/>
      <c r="RXR120" s="38"/>
      <c r="RXS120" s="38"/>
      <c r="RXY120" s="36"/>
      <c r="RXZ120" s="38"/>
      <c r="RYA120" s="38"/>
      <c r="RYG120" s="36"/>
      <c r="RYH120" s="38"/>
      <c r="RYI120" s="38"/>
      <c r="RYO120" s="36"/>
      <c r="RYP120" s="38"/>
      <c r="RYQ120" s="38"/>
      <c r="RYW120" s="36"/>
      <c r="RYX120" s="38"/>
      <c r="RYY120" s="38"/>
      <c r="RZE120" s="36"/>
      <c r="RZF120" s="38"/>
      <c r="RZG120" s="38"/>
      <c r="RZM120" s="36"/>
      <c r="RZN120" s="38"/>
      <c r="RZO120" s="38"/>
      <c r="RZU120" s="36"/>
      <c r="RZV120" s="38"/>
      <c r="RZW120" s="38"/>
      <c r="SAC120" s="36"/>
      <c r="SAD120" s="38"/>
      <c r="SAE120" s="38"/>
      <c r="SAK120" s="36"/>
      <c r="SAL120" s="38"/>
      <c r="SAM120" s="38"/>
      <c r="SAS120" s="36"/>
      <c r="SAT120" s="38"/>
      <c r="SAU120" s="38"/>
      <c r="SBA120" s="36"/>
      <c r="SBB120" s="38"/>
      <c r="SBC120" s="38"/>
      <c r="SBI120" s="36"/>
      <c r="SBJ120" s="38"/>
      <c r="SBK120" s="38"/>
      <c r="SBQ120" s="36"/>
      <c r="SBR120" s="38"/>
      <c r="SBS120" s="38"/>
      <c r="SBY120" s="36"/>
      <c r="SBZ120" s="38"/>
      <c r="SCA120" s="38"/>
      <c r="SCG120" s="36"/>
      <c r="SCH120" s="38"/>
      <c r="SCI120" s="38"/>
      <c r="SCO120" s="36"/>
      <c r="SCP120" s="38"/>
      <c r="SCQ120" s="38"/>
      <c r="SCW120" s="36"/>
      <c r="SCX120" s="38"/>
      <c r="SCY120" s="38"/>
      <c r="SDE120" s="36"/>
      <c r="SDF120" s="38"/>
      <c r="SDG120" s="38"/>
      <c r="SDM120" s="36"/>
      <c r="SDN120" s="38"/>
      <c r="SDO120" s="38"/>
      <c r="SDU120" s="36"/>
      <c r="SDV120" s="38"/>
      <c r="SDW120" s="38"/>
      <c r="SEC120" s="36"/>
      <c r="SED120" s="38"/>
      <c r="SEE120" s="38"/>
      <c r="SEK120" s="36"/>
      <c r="SEL120" s="38"/>
      <c r="SEM120" s="38"/>
      <c r="SES120" s="36"/>
      <c r="SET120" s="38"/>
      <c r="SEU120" s="38"/>
      <c r="SFA120" s="36"/>
      <c r="SFB120" s="38"/>
      <c r="SFC120" s="38"/>
      <c r="SFI120" s="36"/>
      <c r="SFJ120" s="38"/>
      <c r="SFK120" s="38"/>
      <c r="SFQ120" s="36"/>
      <c r="SFR120" s="38"/>
      <c r="SFS120" s="38"/>
      <c r="SFY120" s="36"/>
      <c r="SFZ120" s="38"/>
      <c r="SGA120" s="38"/>
      <c r="SGG120" s="36"/>
      <c r="SGH120" s="38"/>
      <c r="SGI120" s="38"/>
      <c r="SGO120" s="36"/>
      <c r="SGP120" s="38"/>
      <c r="SGQ120" s="38"/>
      <c r="SGW120" s="36"/>
      <c r="SGX120" s="38"/>
      <c r="SGY120" s="38"/>
      <c r="SHE120" s="36"/>
      <c r="SHF120" s="38"/>
      <c r="SHG120" s="38"/>
      <c r="SHM120" s="36"/>
      <c r="SHN120" s="38"/>
      <c r="SHO120" s="38"/>
      <c r="SHU120" s="36"/>
      <c r="SHV120" s="38"/>
      <c r="SHW120" s="38"/>
      <c r="SIC120" s="36"/>
      <c r="SID120" s="38"/>
      <c r="SIE120" s="38"/>
      <c r="SIK120" s="36"/>
      <c r="SIL120" s="38"/>
      <c r="SIM120" s="38"/>
      <c r="SIS120" s="36"/>
      <c r="SIT120" s="38"/>
      <c r="SIU120" s="38"/>
      <c r="SJA120" s="36"/>
      <c r="SJB120" s="38"/>
      <c r="SJC120" s="38"/>
      <c r="SJI120" s="36"/>
      <c r="SJJ120" s="38"/>
      <c r="SJK120" s="38"/>
      <c r="SJQ120" s="36"/>
      <c r="SJR120" s="38"/>
      <c r="SJS120" s="38"/>
      <c r="SJY120" s="36"/>
      <c r="SJZ120" s="38"/>
      <c r="SKA120" s="38"/>
      <c r="SKG120" s="36"/>
      <c r="SKH120" s="38"/>
      <c r="SKI120" s="38"/>
      <c r="SKO120" s="36"/>
      <c r="SKP120" s="38"/>
      <c r="SKQ120" s="38"/>
      <c r="SKW120" s="36"/>
      <c r="SKX120" s="38"/>
      <c r="SKY120" s="38"/>
      <c r="SLE120" s="36"/>
      <c r="SLF120" s="38"/>
      <c r="SLG120" s="38"/>
      <c r="SLM120" s="36"/>
      <c r="SLN120" s="38"/>
      <c r="SLO120" s="38"/>
      <c r="SLU120" s="36"/>
      <c r="SLV120" s="38"/>
      <c r="SLW120" s="38"/>
      <c r="SMC120" s="36"/>
      <c r="SMD120" s="38"/>
      <c r="SME120" s="38"/>
      <c r="SMK120" s="36"/>
      <c r="SML120" s="38"/>
      <c r="SMM120" s="38"/>
      <c r="SMS120" s="36"/>
      <c r="SMT120" s="38"/>
      <c r="SMU120" s="38"/>
      <c r="SNA120" s="36"/>
      <c r="SNB120" s="38"/>
      <c r="SNC120" s="38"/>
      <c r="SNI120" s="36"/>
      <c r="SNJ120" s="38"/>
      <c r="SNK120" s="38"/>
      <c r="SNQ120" s="36"/>
      <c r="SNR120" s="38"/>
      <c r="SNS120" s="38"/>
      <c r="SNY120" s="36"/>
      <c r="SNZ120" s="38"/>
      <c r="SOA120" s="38"/>
      <c r="SOG120" s="36"/>
      <c r="SOH120" s="38"/>
      <c r="SOI120" s="38"/>
      <c r="SOO120" s="36"/>
      <c r="SOP120" s="38"/>
      <c r="SOQ120" s="38"/>
      <c r="SOW120" s="36"/>
      <c r="SOX120" s="38"/>
      <c r="SOY120" s="38"/>
      <c r="SPE120" s="36"/>
      <c r="SPF120" s="38"/>
      <c r="SPG120" s="38"/>
      <c r="SPM120" s="36"/>
      <c r="SPN120" s="38"/>
      <c r="SPO120" s="38"/>
      <c r="SPU120" s="36"/>
      <c r="SPV120" s="38"/>
      <c r="SPW120" s="38"/>
      <c r="SQC120" s="36"/>
      <c r="SQD120" s="38"/>
      <c r="SQE120" s="38"/>
      <c r="SQK120" s="36"/>
      <c r="SQL120" s="38"/>
      <c r="SQM120" s="38"/>
      <c r="SQS120" s="36"/>
      <c r="SQT120" s="38"/>
      <c r="SQU120" s="38"/>
      <c r="SRA120" s="36"/>
      <c r="SRB120" s="38"/>
      <c r="SRC120" s="38"/>
      <c r="SRI120" s="36"/>
      <c r="SRJ120" s="38"/>
      <c r="SRK120" s="38"/>
      <c r="SRQ120" s="36"/>
      <c r="SRR120" s="38"/>
      <c r="SRS120" s="38"/>
      <c r="SRY120" s="36"/>
      <c r="SRZ120" s="38"/>
      <c r="SSA120" s="38"/>
      <c r="SSG120" s="36"/>
      <c r="SSH120" s="38"/>
      <c r="SSI120" s="38"/>
      <c r="SSO120" s="36"/>
      <c r="SSP120" s="38"/>
      <c r="SSQ120" s="38"/>
      <c r="SSW120" s="36"/>
      <c r="SSX120" s="38"/>
      <c r="SSY120" s="38"/>
      <c r="STE120" s="36"/>
      <c r="STF120" s="38"/>
      <c r="STG120" s="38"/>
      <c r="STM120" s="36"/>
      <c r="STN120" s="38"/>
      <c r="STO120" s="38"/>
      <c r="STU120" s="36"/>
      <c r="STV120" s="38"/>
      <c r="STW120" s="38"/>
      <c r="SUC120" s="36"/>
      <c r="SUD120" s="38"/>
      <c r="SUE120" s="38"/>
      <c r="SUK120" s="36"/>
      <c r="SUL120" s="38"/>
      <c r="SUM120" s="38"/>
      <c r="SUS120" s="36"/>
      <c r="SUT120" s="38"/>
      <c r="SUU120" s="38"/>
      <c r="SVA120" s="36"/>
      <c r="SVB120" s="38"/>
      <c r="SVC120" s="38"/>
      <c r="SVI120" s="36"/>
      <c r="SVJ120" s="38"/>
      <c r="SVK120" s="38"/>
      <c r="SVQ120" s="36"/>
      <c r="SVR120" s="38"/>
      <c r="SVS120" s="38"/>
      <c r="SVY120" s="36"/>
      <c r="SVZ120" s="38"/>
      <c r="SWA120" s="38"/>
      <c r="SWG120" s="36"/>
      <c r="SWH120" s="38"/>
      <c r="SWI120" s="38"/>
      <c r="SWO120" s="36"/>
      <c r="SWP120" s="38"/>
      <c r="SWQ120" s="38"/>
      <c r="SWW120" s="36"/>
      <c r="SWX120" s="38"/>
      <c r="SWY120" s="38"/>
      <c r="SXE120" s="36"/>
      <c r="SXF120" s="38"/>
      <c r="SXG120" s="38"/>
      <c r="SXM120" s="36"/>
      <c r="SXN120" s="38"/>
      <c r="SXO120" s="38"/>
      <c r="SXU120" s="36"/>
      <c r="SXV120" s="38"/>
      <c r="SXW120" s="38"/>
      <c r="SYC120" s="36"/>
      <c r="SYD120" s="38"/>
      <c r="SYE120" s="38"/>
      <c r="SYK120" s="36"/>
      <c r="SYL120" s="38"/>
      <c r="SYM120" s="38"/>
      <c r="SYS120" s="36"/>
      <c r="SYT120" s="38"/>
      <c r="SYU120" s="38"/>
      <c r="SZA120" s="36"/>
      <c r="SZB120" s="38"/>
      <c r="SZC120" s="38"/>
      <c r="SZI120" s="36"/>
      <c r="SZJ120" s="38"/>
      <c r="SZK120" s="38"/>
      <c r="SZQ120" s="36"/>
      <c r="SZR120" s="38"/>
      <c r="SZS120" s="38"/>
      <c r="SZY120" s="36"/>
      <c r="SZZ120" s="38"/>
      <c r="TAA120" s="38"/>
      <c r="TAG120" s="36"/>
      <c r="TAH120" s="38"/>
      <c r="TAI120" s="38"/>
      <c r="TAO120" s="36"/>
      <c r="TAP120" s="38"/>
      <c r="TAQ120" s="38"/>
      <c r="TAW120" s="36"/>
      <c r="TAX120" s="38"/>
      <c r="TAY120" s="38"/>
      <c r="TBE120" s="36"/>
      <c r="TBF120" s="38"/>
      <c r="TBG120" s="38"/>
      <c r="TBM120" s="36"/>
      <c r="TBN120" s="38"/>
      <c r="TBO120" s="38"/>
      <c r="TBU120" s="36"/>
      <c r="TBV120" s="38"/>
      <c r="TBW120" s="38"/>
      <c r="TCC120" s="36"/>
      <c r="TCD120" s="38"/>
      <c r="TCE120" s="38"/>
      <c r="TCK120" s="36"/>
      <c r="TCL120" s="38"/>
      <c r="TCM120" s="38"/>
      <c r="TCS120" s="36"/>
      <c r="TCT120" s="38"/>
      <c r="TCU120" s="38"/>
      <c r="TDA120" s="36"/>
      <c r="TDB120" s="38"/>
      <c r="TDC120" s="38"/>
      <c r="TDI120" s="36"/>
      <c r="TDJ120" s="38"/>
      <c r="TDK120" s="38"/>
      <c r="TDQ120" s="36"/>
      <c r="TDR120" s="38"/>
      <c r="TDS120" s="38"/>
      <c r="TDY120" s="36"/>
      <c r="TDZ120" s="38"/>
      <c r="TEA120" s="38"/>
      <c r="TEG120" s="36"/>
      <c r="TEH120" s="38"/>
      <c r="TEI120" s="38"/>
      <c r="TEO120" s="36"/>
      <c r="TEP120" s="38"/>
      <c r="TEQ120" s="38"/>
      <c r="TEW120" s="36"/>
      <c r="TEX120" s="38"/>
      <c r="TEY120" s="38"/>
      <c r="TFE120" s="36"/>
      <c r="TFF120" s="38"/>
      <c r="TFG120" s="38"/>
      <c r="TFM120" s="36"/>
      <c r="TFN120" s="38"/>
      <c r="TFO120" s="38"/>
      <c r="TFU120" s="36"/>
      <c r="TFV120" s="38"/>
      <c r="TFW120" s="38"/>
      <c r="TGC120" s="36"/>
      <c r="TGD120" s="38"/>
      <c r="TGE120" s="38"/>
      <c r="TGK120" s="36"/>
      <c r="TGL120" s="38"/>
      <c r="TGM120" s="38"/>
      <c r="TGS120" s="36"/>
      <c r="TGT120" s="38"/>
      <c r="TGU120" s="38"/>
      <c r="THA120" s="36"/>
      <c r="THB120" s="38"/>
      <c r="THC120" s="38"/>
      <c r="THI120" s="36"/>
      <c r="THJ120" s="38"/>
      <c r="THK120" s="38"/>
      <c r="THQ120" s="36"/>
      <c r="THR120" s="38"/>
      <c r="THS120" s="38"/>
      <c r="THY120" s="36"/>
      <c r="THZ120" s="38"/>
      <c r="TIA120" s="38"/>
      <c r="TIG120" s="36"/>
      <c r="TIH120" s="38"/>
      <c r="TII120" s="38"/>
      <c r="TIO120" s="36"/>
      <c r="TIP120" s="38"/>
      <c r="TIQ120" s="38"/>
      <c r="TIW120" s="36"/>
      <c r="TIX120" s="38"/>
      <c r="TIY120" s="38"/>
      <c r="TJE120" s="36"/>
      <c r="TJF120" s="38"/>
      <c r="TJG120" s="38"/>
      <c r="TJM120" s="36"/>
      <c r="TJN120" s="38"/>
      <c r="TJO120" s="38"/>
      <c r="TJU120" s="36"/>
      <c r="TJV120" s="38"/>
      <c r="TJW120" s="38"/>
      <c r="TKC120" s="36"/>
      <c r="TKD120" s="38"/>
      <c r="TKE120" s="38"/>
      <c r="TKK120" s="36"/>
      <c r="TKL120" s="38"/>
      <c r="TKM120" s="38"/>
      <c r="TKS120" s="36"/>
      <c r="TKT120" s="38"/>
      <c r="TKU120" s="38"/>
      <c r="TLA120" s="36"/>
      <c r="TLB120" s="38"/>
      <c r="TLC120" s="38"/>
      <c r="TLI120" s="36"/>
      <c r="TLJ120" s="38"/>
      <c r="TLK120" s="38"/>
      <c r="TLQ120" s="36"/>
      <c r="TLR120" s="38"/>
      <c r="TLS120" s="38"/>
      <c r="TLY120" s="36"/>
      <c r="TLZ120" s="38"/>
      <c r="TMA120" s="38"/>
      <c r="TMG120" s="36"/>
      <c r="TMH120" s="38"/>
      <c r="TMI120" s="38"/>
      <c r="TMO120" s="36"/>
      <c r="TMP120" s="38"/>
      <c r="TMQ120" s="38"/>
      <c r="TMW120" s="36"/>
      <c r="TMX120" s="38"/>
      <c r="TMY120" s="38"/>
      <c r="TNE120" s="36"/>
      <c r="TNF120" s="38"/>
      <c r="TNG120" s="38"/>
      <c r="TNM120" s="36"/>
      <c r="TNN120" s="38"/>
      <c r="TNO120" s="38"/>
      <c r="TNU120" s="36"/>
      <c r="TNV120" s="38"/>
      <c r="TNW120" s="38"/>
      <c r="TOC120" s="36"/>
      <c r="TOD120" s="38"/>
      <c r="TOE120" s="38"/>
      <c r="TOK120" s="36"/>
      <c r="TOL120" s="38"/>
      <c r="TOM120" s="38"/>
      <c r="TOS120" s="36"/>
      <c r="TOT120" s="38"/>
      <c r="TOU120" s="38"/>
      <c r="TPA120" s="36"/>
      <c r="TPB120" s="38"/>
      <c r="TPC120" s="38"/>
      <c r="TPI120" s="36"/>
      <c r="TPJ120" s="38"/>
      <c r="TPK120" s="38"/>
      <c r="TPQ120" s="36"/>
      <c r="TPR120" s="38"/>
      <c r="TPS120" s="38"/>
      <c r="TPY120" s="36"/>
      <c r="TPZ120" s="38"/>
      <c r="TQA120" s="38"/>
      <c r="TQG120" s="36"/>
      <c r="TQH120" s="38"/>
      <c r="TQI120" s="38"/>
      <c r="TQO120" s="36"/>
      <c r="TQP120" s="38"/>
      <c r="TQQ120" s="38"/>
      <c r="TQW120" s="36"/>
      <c r="TQX120" s="38"/>
      <c r="TQY120" s="38"/>
      <c r="TRE120" s="36"/>
      <c r="TRF120" s="38"/>
      <c r="TRG120" s="38"/>
      <c r="TRM120" s="36"/>
      <c r="TRN120" s="38"/>
      <c r="TRO120" s="38"/>
      <c r="TRU120" s="36"/>
      <c r="TRV120" s="38"/>
      <c r="TRW120" s="38"/>
      <c r="TSC120" s="36"/>
      <c r="TSD120" s="38"/>
      <c r="TSE120" s="38"/>
      <c r="TSK120" s="36"/>
      <c r="TSL120" s="38"/>
      <c r="TSM120" s="38"/>
      <c r="TSS120" s="36"/>
      <c r="TST120" s="38"/>
      <c r="TSU120" s="38"/>
      <c r="TTA120" s="36"/>
      <c r="TTB120" s="38"/>
      <c r="TTC120" s="38"/>
      <c r="TTI120" s="36"/>
      <c r="TTJ120" s="38"/>
      <c r="TTK120" s="38"/>
      <c r="TTQ120" s="36"/>
      <c r="TTR120" s="38"/>
      <c r="TTS120" s="38"/>
      <c r="TTY120" s="36"/>
      <c r="TTZ120" s="38"/>
      <c r="TUA120" s="38"/>
      <c r="TUG120" s="36"/>
      <c r="TUH120" s="38"/>
      <c r="TUI120" s="38"/>
      <c r="TUO120" s="36"/>
      <c r="TUP120" s="38"/>
      <c r="TUQ120" s="38"/>
      <c r="TUW120" s="36"/>
      <c r="TUX120" s="38"/>
      <c r="TUY120" s="38"/>
      <c r="TVE120" s="36"/>
      <c r="TVF120" s="38"/>
      <c r="TVG120" s="38"/>
      <c r="TVM120" s="36"/>
      <c r="TVN120" s="38"/>
      <c r="TVO120" s="38"/>
      <c r="TVU120" s="36"/>
      <c r="TVV120" s="38"/>
      <c r="TVW120" s="38"/>
      <c r="TWC120" s="36"/>
      <c r="TWD120" s="38"/>
      <c r="TWE120" s="38"/>
      <c r="TWK120" s="36"/>
      <c r="TWL120" s="38"/>
      <c r="TWM120" s="38"/>
      <c r="TWS120" s="36"/>
      <c r="TWT120" s="38"/>
      <c r="TWU120" s="38"/>
      <c r="TXA120" s="36"/>
      <c r="TXB120" s="38"/>
      <c r="TXC120" s="38"/>
      <c r="TXI120" s="36"/>
      <c r="TXJ120" s="38"/>
      <c r="TXK120" s="38"/>
      <c r="TXQ120" s="36"/>
      <c r="TXR120" s="38"/>
      <c r="TXS120" s="38"/>
      <c r="TXY120" s="36"/>
      <c r="TXZ120" s="38"/>
      <c r="TYA120" s="38"/>
      <c r="TYG120" s="36"/>
      <c r="TYH120" s="38"/>
      <c r="TYI120" s="38"/>
      <c r="TYO120" s="36"/>
      <c r="TYP120" s="38"/>
      <c r="TYQ120" s="38"/>
      <c r="TYW120" s="36"/>
      <c r="TYX120" s="38"/>
      <c r="TYY120" s="38"/>
      <c r="TZE120" s="36"/>
      <c r="TZF120" s="38"/>
      <c r="TZG120" s="38"/>
      <c r="TZM120" s="36"/>
      <c r="TZN120" s="38"/>
      <c r="TZO120" s="38"/>
      <c r="TZU120" s="36"/>
      <c r="TZV120" s="38"/>
      <c r="TZW120" s="38"/>
      <c r="UAC120" s="36"/>
      <c r="UAD120" s="38"/>
      <c r="UAE120" s="38"/>
      <c r="UAK120" s="36"/>
      <c r="UAL120" s="38"/>
      <c r="UAM120" s="38"/>
      <c r="UAS120" s="36"/>
      <c r="UAT120" s="38"/>
      <c r="UAU120" s="38"/>
      <c r="UBA120" s="36"/>
      <c r="UBB120" s="38"/>
      <c r="UBC120" s="38"/>
      <c r="UBI120" s="36"/>
      <c r="UBJ120" s="38"/>
      <c r="UBK120" s="38"/>
      <c r="UBQ120" s="36"/>
      <c r="UBR120" s="38"/>
      <c r="UBS120" s="38"/>
      <c r="UBY120" s="36"/>
      <c r="UBZ120" s="38"/>
      <c r="UCA120" s="38"/>
      <c r="UCG120" s="36"/>
      <c r="UCH120" s="38"/>
      <c r="UCI120" s="38"/>
      <c r="UCO120" s="36"/>
      <c r="UCP120" s="38"/>
      <c r="UCQ120" s="38"/>
      <c r="UCW120" s="36"/>
      <c r="UCX120" s="38"/>
      <c r="UCY120" s="38"/>
      <c r="UDE120" s="36"/>
      <c r="UDF120" s="38"/>
      <c r="UDG120" s="38"/>
      <c r="UDM120" s="36"/>
      <c r="UDN120" s="38"/>
      <c r="UDO120" s="38"/>
      <c r="UDU120" s="36"/>
      <c r="UDV120" s="38"/>
      <c r="UDW120" s="38"/>
      <c r="UEC120" s="36"/>
      <c r="UED120" s="38"/>
      <c r="UEE120" s="38"/>
      <c r="UEK120" s="36"/>
      <c r="UEL120" s="38"/>
      <c r="UEM120" s="38"/>
      <c r="UES120" s="36"/>
      <c r="UET120" s="38"/>
      <c r="UEU120" s="38"/>
      <c r="UFA120" s="36"/>
      <c r="UFB120" s="38"/>
      <c r="UFC120" s="38"/>
      <c r="UFI120" s="36"/>
      <c r="UFJ120" s="38"/>
      <c r="UFK120" s="38"/>
      <c r="UFQ120" s="36"/>
      <c r="UFR120" s="38"/>
      <c r="UFS120" s="38"/>
      <c r="UFY120" s="36"/>
      <c r="UFZ120" s="38"/>
      <c r="UGA120" s="38"/>
      <c r="UGG120" s="36"/>
      <c r="UGH120" s="38"/>
      <c r="UGI120" s="38"/>
      <c r="UGO120" s="36"/>
      <c r="UGP120" s="38"/>
      <c r="UGQ120" s="38"/>
      <c r="UGW120" s="36"/>
      <c r="UGX120" s="38"/>
      <c r="UGY120" s="38"/>
      <c r="UHE120" s="36"/>
      <c r="UHF120" s="38"/>
      <c r="UHG120" s="38"/>
      <c r="UHM120" s="36"/>
      <c r="UHN120" s="38"/>
      <c r="UHO120" s="38"/>
      <c r="UHU120" s="36"/>
      <c r="UHV120" s="38"/>
      <c r="UHW120" s="38"/>
      <c r="UIC120" s="36"/>
      <c r="UID120" s="38"/>
      <c r="UIE120" s="38"/>
      <c r="UIK120" s="36"/>
      <c r="UIL120" s="38"/>
      <c r="UIM120" s="38"/>
      <c r="UIS120" s="36"/>
      <c r="UIT120" s="38"/>
      <c r="UIU120" s="38"/>
      <c r="UJA120" s="36"/>
      <c r="UJB120" s="38"/>
      <c r="UJC120" s="38"/>
      <c r="UJI120" s="36"/>
      <c r="UJJ120" s="38"/>
      <c r="UJK120" s="38"/>
      <c r="UJQ120" s="36"/>
      <c r="UJR120" s="38"/>
      <c r="UJS120" s="38"/>
      <c r="UJY120" s="36"/>
      <c r="UJZ120" s="38"/>
      <c r="UKA120" s="38"/>
      <c r="UKG120" s="36"/>
      <c r="UKH120" s="38"/>
      <c r="UKI120" s="38"/>
      <c r="UKO120" s="36"/>
      <c r="UKP120" s="38"/>
      <c r="UKQ120" s="38"/>
      <c r="UKW120" s="36"/>
      <c r="UKX120" s="38"/>
      <c r="UKY120" s="38"/>
      <c r="ULE120" s="36"/>
      <c r="ULF120" s="38"/>
      <c r="ULG120" s="38"/>
      <c r="ULM120" s="36"/>
      <c r="ULN120" s="38"/>
      <c r="ULO120" s="38"/>
      <c r="ULU120" s="36"/>
      <c r="ULV120" s="38"/>
      <c r="ULW120" s="38"/>
      <c r="UMC120" s="36"/>
      <c r="UMD120" s="38"/>
      <c r="UME120" s="38"/>
      <c r="UMK120" s="36"/>
      <c r="UML120" s="38"/>
      <c r="UMM120" s="38"/>
      <c r="UMS120" s="36"/>
      <c r="UMT120" s="38"/>
      <c r="UMU120" s="38"/>
      <c r="UNA120" s="36"/>
      <c r="UNB120" s="38"/>
      <c r="UNC120" s="38"/>
      <c r="UNI120" s="36"/>
      <c r="UNJ120" s="38"/>
      <c r="UNK120" s="38"/>
      <c r="UNQ120" s="36"/>
      <c r="UNR120" s="38"/>
      <c r="UNS120" s="38"/>
      <c r="UNY120" s="36"/>
      <c r="UNZ120" s="38"/>
      <c r="UOA120" s="38"/>
      <c r="UOG120" s="36"/>
      <c r="UOH120" s="38"/>
      <c r="UOI120" s="38"/>
      <c r="UOO120" s="36"/>
      <c r="UOP120" s="38"/>
      <c r="UOQ120" s="38"/>
      <c r="UOW120" s="36"/>
      <c r="UOX120" s="38"/>
      <c r="UOY120" s="38"/>
      <c r="UPE120" s="36"/>
      <c r="UPF120" s="38"/>
      <c r="UPG120" s="38"/>
      <c r="UPM120" s="36"/>
      <c r="UPN120" s="38"/>
      <c r="UPO120" s="38"/>
      <c r="UPU120" s="36"/>
      <c r="UPV120" s="38"/>
      <c r="UPW120" s="38"/>
      <c r="UQC120" s="36"/>
      <c r="UQD120" s="38"/>
      <c r="UQE120" s="38"/>
      <c r="UQK120" s="36"/>
      <c r="UQL120" s="38"/>
      <c r="UQM120" s="38"/>
      <c r="UQS120" s="36"/>
      <c r="UQT120" s="38"/>
      <c r="UQU120" s="38"/>
      <c r="URA120" s="36"/>
      <c r="URB120" s="38"/>
      <c r="URC120" s="38"/>
      <c r="URI120" s="36"/>
      <c r="URJ120" s="38"/>
      <c r="URK120" s="38"/>
      <c r="URQ120" s="36"/>
      <c r="URR120" s="38"/>
      <c r="URS120" s="38"/>
      <c r="URY120" s="36"/>
      <c r="URZ120" s="38"/>
      <c r="USA120" s="38"/>
      <c r="USG120" s="36"/>
      <c r="USH120" s="38"/>
      <c r="USI120" s="38"/>
      <c r="USO120" s="36"/>
      <c r="USP120" s="38"/>
      <c r="USQ120" s="38"/>
      <c r="USW120" s="36"/>
      <c r="USX120" s="38"/>
      <c r="USY120" s="38"/>
      <c r="UTE120" s="36"/>
      <c r="UTF120" s="38"/>
      <c r="UTG120" s="38"/>
      <c r="UTM120" s="36"/>
      <c r="UTN120" s="38"/>
      <c r="UTO120" s="38"/>
      <c r="UTU120" s="36"/>
      <c r="UTV120" s="38"/>
      <c r="UTW120" s="38"/>
      <c r="UUC120" s="36"/>
      <c r="UUD120" s="38"/>
      <c r="UUE120" s="38"/>
      <c r="UUK120" s="36"/>
      <c r="UUL120" s="38"/>
      <c r="UUM120" s="38"/>
      <c r="UUS120" s="36"/>
      <c r="UUT120" s="38"/>
      <c r="UUU120" s="38"/>
      <c r="UVA120" s="36"/>
      <c r="UVB120" s="38"/>
      <c r="UVC120" s="38"/>
      <c r="UVI120" s="36"/>
      <c r="UVJ120" s="38"/>
      <c r="UVK120" s="38"/>
      <c r="UVQ120" s="36"/>
      <c r="UVR120" s="38"/>
      <c r="UVS120" s="38"/>
      <c r="UVY120" s="36"/>
      <c r="UVZ120" s="38"/>
      <c r="UWA120" s="38"/>
      <c r="UWG120" s="36"/>
      <c r="UWH120" s="38"/>
      <c r="UWI120" s="38"/>
      <c r="UWO120" s="36"/>
      <c r="UWP120" s="38"/>
      <c r="UWQ120" s="38"/>
      <c r="UWW120" s="36"/>
      <c r="UWX120" s="38"/>
      <c r="UWY120" s="38"/>
      <c r="UXE120" s="36"/>
      <c r="UXF120" s="38"/>
      <c r="UXG120" s="38"/>
      <c r="UXM120" s="36"/>
      <c r="UXN120" s="38"/>
      <c r="UXO120" s="38"/>
      <c r="UXU120" s="36"/>
      <c r="UXV120" s="38"/>
      <c r="UXW120" s="38"/>
      <c r="UYC120" s="36"/>
      <c r="UYD120" s="38"/>
      <c r="UYE120" s="38"/>
      <c r="UYK120" s="36"/>
      <c r="UYL120" s="38"/>
      <c r="UYM120" s="38"/>
      <c r="UYS120" s="36"/>
      <c r="UYT120" s="38"/>
      <c r="UYU120" s="38"/>
      <c r="UZA120" s="36"/>
      <c r="UZB120" s="38"/>
      <c r="UZC120" s="38"/>
      <c r="UZI120" s="36"/>
      <c r="UZJ120" s="38"/>
      <c r="UZK120" s="38"/>
      <c r="UZQ120" s="36"/>
      <c r="UZR120" s="38"/>
      <c r="UZS120" s="38"/>
      <c r="UZY120" s="36"/>
      <c r="UZZ120" s="38"/>
      <c r="VAA120" s="38"/>
      <c r="VAG120" s="36"/>
      <c r="VAH120" s="38"/>
      <c r="VAI120" s="38"/>
      <c r="VAO120" s="36"/>
      <c r="VAP120" s="38"/>
      <c r="VAQ120" s="38"/>
      <c r="VAW120" s="36"/>
      <c r="VAX120" s="38"/>
      <c r="VAY120" s="38"/>
      <c r="VBE120" s="36"/>
      <c r="VBF120" s="38"/>
      <c r="VBG120" s="38"/>
      <c r="VBM120" s="36"/>
      <c r="VBN120" s="38"/>
      <c r="VBO120" s="38"/>
      <c r="VBU120" s="36"/>
      <c r="VBV120" s="38"/>
      <c r="VBW120" s="38"/>
      <c r="VCC120" s="36"/>
      <c r="VCD120" s="38"/>
      <c r="VCE120" s="38"/>
      <c r="VCK120" s="36"/>
      <c r="VCL120" s="38"/>
      <c r="VCM120" s="38"/>
      <c r="VCS120" s="36"/>
      <c r="VCT120" s="38"/>
      <c r="VCU120" s="38"/>
      <c r="VDA120" s="36"/>
      <c r="VDB120" s="38"/>
      <c r="VDC120" s="38"/>
      <c r="VDI120" s="36"/>
      <c r="VDJ120" s="38"/>
      <c r="VDK120" s="38"/>
      <c r="VDQ120" s="36"/>
      <c r="VDR120" s="38"/>
      <c r="VDS120" s="38"/>
      <c r="VDY120" s="36"/>
      <c r="VDZ120" s="38"/>
      <c r="VEA120" s="38"/>
      <c r="VEG120" s="36"/>
      <c r="VEH120" s="38"/>
      <c r="VEI120" s="38"/>
      <c r="VEO120" s="36"/>
      <c r="VEP120" s="38"/>
      <c r="VEQ120" s="38"/>
      <c r="VEW120" s="36"/>
      <c r="VEX120" s="38"/>
      <c r="VEY120" s="38"/>
      <c r="VFE120" s="36"/>
      <c r="VFF120" s="38"/>
      <c r="VFG120" s="38"/>
      <c r="VFM120" s="36"/>
      <c r="VFN120" s="38"/>
      <c r="VFO120" s="38"/>
      <c r="VFU120" s="36"/>
      <c r="VFV120" s="38"/>
      <c r="VFW120" s="38"/>
      <c r="VGC120" s="36"/>
      <c r="VGD120" s="38"/>
      <c r="VGE120" s="38"/>
      <c r="VGK120" s="36"/>
      <c r="VGL120" s="38"/>
      <c r="VGM120" s="38"/>
      <c r="VGS120" s="36"/>
      <c r="VGT120" s="38"/>
      <c r="VGU120" s="38"/>
      <c r="VHA120" s="36"/>
      <c r="VHB120" s="38"/>
      <c r="VHC120" s="38"/>
      <c r="VHI120" s="36"/>
      <c r="VHJ120" s="38"/>
      <c r="VHK120" s="38"/>
      <c r="VHQ120" s="36"/>
      <c r="VHR120" s="38"/>
      <c r="VHS120" s="38"/>
      <c r="VHY120" s="36"/>
      <c r="VHZ120" s="38"/>
      <c r="VIA120" s="38"/>
      <c r="VIG120" s="36"/>
      <c r="VIH120" s="38"/>
      <c r="VII120" s="38"/>
      <c r="VIO120" s="36"/>
      <c r="VIP120" s="38"/>
      <c r="VIQ120" s="38"/>
      <c r="VIW120" s="36"/>
      <c r="VIX120" s="38"/>
      <c r="VIY120" s="38"/>
      <c r="VJE120" s="36"/>
      <c r="VJF120" s="38"/>
      <c r="VJG120" s="38"/>
      <c r="VJM120" s="36"/>
      <c r="VJN120" s="38"/>
      <c r="VJO120" s="38"/>
      <c r="VJU120" s="36"/>
      <c r="VJV120" s="38"/>
      <c r="VJW120" s="38"/>
      <c r="VKC120" s="36"/>
      <c r="VKD120" s="38"/>
      <c r="VKE120" s="38"/>
      <c r="VKK120" s="36"/>
      <c r="VKL120" s="38"/>
      <c r="VKM120" s="38"/>
      <c r="VKS120" s="36"/>
      <c r="VKT120" s="38"/>
      <c r="VKU120" s="38"/>
      <c r="VLA120" s="36"/>
      <c r="VLB120" s="38"/>
      <c r="VLC120" s="38"/>
      <c r="VLI120" s="36"/>
      <c r="VLJ120" s="38"/>
      <c r="VLK120" s="38"/>
      <c r="VLQ120" s="36"/>
      <c r="VLR120" s="38"/>
      <c r="VLS120" s="38"/>
      <c r="VLY120" s="36"/>
      <c r="VLZ120" s="38"/>
      <c r="VMA120" s="38"/>
      <c r="VMG120" s="36"/>
      <c r="VMH120" s="38"/>
      <c r="VMI120" s="38"/>
      <c r="VMO120" s="36"/>
      <c r="VMP120" s="38"/>
      <c r="VMQ120" s="38"/>
      <c r="VMW120" s="36"/>
      <c r="VMX120" s="38"/>
      <c r="VMY120" s="38"/>
      <c r="VNE120" s="36"/>
      <c r="VNF120" s="38"/>
      <c r="VNG120" s="38"/>
      <c r="VNM120" s="36"/>
      <c r="VNN120" s="38"/>
      <c r="VNO120" s="38"/>
      <c r="VNU120" s="36"/>
      <c r="VNV120" s="38"/>
      <c r="VNW120" s="38"/>
      <c r="VOC120" s="36"/>
      <c r="VOD120" s="38"/>
      <c r="VOE120" s="38"/>
      <c r="VOK120" s="36"/>
      <c r="VOL120" s="38"/>
      <c r="VOM120" s="38"/>
      <c r="VOS120" s="36"/>
      <c r="VOT120" s="38"/>
      <c r="VOU120" s="38"/>
      <c r="VPA120" s="36"/>
      <c r="VPB120" s="38"/>
      <c r="VPC120" s="38"/>
      <c r="VPI120" s="36"/>
      <c r="VPJ120" s="38"/>
      <c r="VPK120" s="38"/>
      <c r="VPQ120" s="36"/>
      <c r="VPR120" s="38"/>
      <c r="VPS120" s="38"/>
      <c r="VPY120" s="36"/>
      <c r="VPZ120" s="38"/>
      <c r="VQA120" s="38"/>
      <c r="VQG120" s="36"/>
      <c r="VQH120" s="38"/>
      <c r="VQI120" s="38"/>
      <c r="VQO120" s="36"/>
      <c r="VQP120" s="38"/>
      <c r="VQQ120" s="38"/>
      <c r="VQW120" s="36"/>
      <c r="VQX120" s="38"/>
      <c r="VQY120" s="38"/>
      <c r="VRE120" s="36"/>
      <c r="VRF120" s="38"/>
      <c r="VRG120" s="38"/>
      <c r="VRM120" s="36"/>
      <c r="VRN120" s="38"/>
      <c r="VRO120" s="38"/>
      <c r="VRU120" s="36"/>
      <c r="VRV120" s="38"/>
      <c r="VRW120" s="38"/>
      <c r="VSC120" s="36"/>
      <c r="VSD120" s="38"/>
      <c r="VSE120" s="38"/>
      <c r="VSK120" s="36"/>
      <c r="VSL120" s="38"/>
      <c r="VSM120" s="38"/>
      <c r="VSS120" s="36"/>
      <c r="VST120" s="38"/>
      <c r="VSU120" s="38"/>
      <c r="VTA120" s="36"/>
      <c r="VTB120" s="38"/>
      <c r="VTC120" s="38"/>
      <c r="VTI120" s="36"/>
      <c r="VTJ120" s="38"/>
      <c r="VTK120" s="38"/>
      <c r="VTQ120" s="36"/>
      <c r="VTR120" s="38"/>
      <c r="VTS120" s="38"/>
      <c r="VTY120" s="36"/>
      <c r="VTZ120" s="38"/>
      <c r="VUA120" s="38"/>
      <c r="VUG120" s="36"/>
      <c r="VUH120" s="38"/>
      <c r="VUI120" s="38"/>
      <c r="VUO120" s="36"/>
      <c r="VUP120" s="38"/>
      <c r="VUQ120" s="38"/>
      <c r="VUW120" s="36"/>
      <c r="VUX120" s="38"/>
      <c r="VUY120" s="38"/>
      <c r="VVE120" s="36"/>
      <c r="VVF120" s="38"/>
      <c r="VVG120" s="38"/>
      <c r="VVM120" s="36"/>
      <c r="VVN120" s="38"/>
      <c r="VVO120" s="38"/>
      <c r="VVU120" s="36"/>
      <c r="VVV120" s="38"/>
      <c r="VVW120" s="38"/>
      <c r="VWC120" s="36"/>
      <c r="VWD120" s="38"/>
      <c r="VWE120" s="38"/>
      <c r="VWK120" s="36"/>
      <c r="VWL120" s="38"/>
      <c r="VWM120" s="38"/>
      <c r="VWS120" s="36"/>
      <c r="VWT120" s="38"/>
      <c r="VWU120" s="38"/>
      <c r="VXA120" s="36"/>
      <c r="VXB120" s="38"/>
      <c r="VXC120" s="38"/>
      <c r="VXI120" s="36"/>
      <c r="VXJ120" s="38"/>
      <c r="VXK120" s="38"/>
      <c r="VXQ120" s="36"/>
      <c r="VXR120" s="38"/>
      <c r="VXS120" s="38"/>
      <c r="VXY120" s="36"/>
      <c r="VXZ120" s="38"/>
      <c r="VYA120" s="38"/>
      <c r="VYG120" s="36"/>
      <c r="VYH120" s="38"/>
      <c r="VYI120" s="38"/>
      <c r="VYO120" s="36"/>
      <c r="VYP120" s="38"/>
      <c r="VYQ120" s="38"/>
      <c r="VYW120" s="36"/>
      <c r="VYX120" s="38"/>
      <c r="VYY120" s="38"/>
      <c r="VZE120" s="36"/>
      <c r="VZF120" s="38"/>
      <c r="VZG120" s="38"/>
      <c r="VZM120" s="36"/>
      <c r="VZN120" s="38"/>
      <c r="VZO120" s="38"/>
      <c r="VZU120" s="36"/>
      <c r="VZV120" s="38"/>
      <c r="VZW120" s="38"/>
      <c r="WAC120" s="36"/>
      <c r="WAD120" s="38"/>
      <c r="WAE120" s="38"/>
      <c r="WAK120" s="36"/>
      <c r="WAL120" s="38"/>
      <c r="WAM120" s="38"/>
      <c r="WAS120" s="36"/>
      <c r="WAT120" s="38"/>
      <c r="WAU120" s="38"/>
      <c r="WBA120" s="36"/>
      <c r="WBB120" s="38"/>
      <c r="WBC120" s="38"/>
      <c r="WBI120" s="36"/>
      <c r="WBJ120" s="38"/>
      <c r="WBK120" s="38"/>
      <c r="WBQ120" s="36"/>
      <c r="WBR120" s="38"/>
      <c r="WBS120" s="38"/>
      <c r="WBY120" s="36"/>
      <c r="WBZ120" s="38"/>
      <c r="WCA120" s="38"/>
      <c r="WCG120" s="36"/>
      <c r="WCH120" s="38"/>
      <c r="WCI120" s="38"/>
      <c r="WCO120" s="36"/>
      <c r="WCP120" s="38"/>
      <c r="WCQ120" s="38"/>
      <c r="WCW120" s="36"/>
      <c r="WCX120" s="38"/>
      <c r="WCY120" s="38"/>
      <c r="WDE120" s="36"/>
      <c r="WDF120" s="38"/>
      <c r="WDG120" s="38"/>
      <c r="WDM120" s="36"/>
      <c r="WDN120" s="38"/>
      <c r="WDO120" s="38"/>
      <c r="WDU120" s="36"/>
      <c r="WDV120" s="38"/>
      <c r="WDW120" s="38"/>
      <c r="WEC120" s="36"/>
      <c r="WED120" s="38"/>
      <c r="WEE120" s="38"/>
      <c r="WEK120" s="36"/>
      <c r="WEL120" s="38"/>
      <c r="WEM120" s="38"/>
      <c r="WES120" s="36"/>
      <c r="WET120" s="38"/>
      <c r="WEU120" s="38"/>
      <c r="WFA120" s="36"/>
      <c r="WFB120" s="38"/>
      <c r="WFC120" s="38"/>
      <c r="WFI120" s="36"/>
      <c r="WFJ120" s="38"/>
      <c r="WFK120" s="38"/>
      <c r="WFQ120" s="36"/>
      <c r="WFR120" s="38"/>
      <c r="WFS120" s="38"/>
      <c r="WFY120" s="36"/>
      <c r="WFZ120" s="38"/>
      <c r="WGA120" s="38"/>
      <c r="WGG120" s="36"/>
      <c r="WGH120" s="38"/>
      <c r="WGI120" s="38"/>
      <c r="WGO120" s="36"/>
      <c r="WGP120" s="38"/>
      <c r="WGQ120" s="38"/>
      <c r="WGW120" s="36"/>
      <c r="WGX120" s="38"/>
      <c r="WGY120" s="38"/>
      <c r="WHE120" s="36"/>
      <c r="WHF120" s="38"/>
      <c r="WHG120" s="38"/>
      <c r="WHM120" s="36"/>
      <c r="WHN120" s="38"/>
      <c r="WHO120" s="38"/>
      <c r="WHU120" s="36"/>
      <c r="WHV120" s="38"/>
      <c r="WHW120" s="38"/>
      <c r="WIC120" s="36"/>
      <c r="WID120" s="38"/>
      <c r="WIE120" s="38"/>
      <c r="WIK120" s="36"/>
      <c r="WIL120" s="38"/>
      <c r="WIM120" s="38"/>
      <c r="WIS120" s="36"/>
      <c r="WIT120" s="38"/>
      <c r="WIU120" s="38"/>
      <c r="WJA120" s="36"/>
      <c r="WJB120" s="38"/>
      <c r="WJC120" s="38"/>
      <c r="WJI120" s="36"/>
      <c r="WJJ120" s="38"/>
      <c r="WJK120" s="38"/>
      <c r="WJQ120" s="36"/>
      <c r="WJR120" s="38"/>
      <c r="WJS120" s="38"/>
      <c r="WJY120" s="36"/>
      <c r="WJZ120" s="38"/>
      <c r="WKA120" s="38"/>
      <c r="WKG120" s="36"/>
      <c r="WKH120" s="38"/>
      <c r="WKI120" s="38"/>
      <c r="WKO120" s="36"/>
      <c r="WKP120" s="38"/>
      <c r="WKQ120" s="38"/>
      <c r="WKW120" s="36"/>
      <c r="WKX120" s="38"/>
      <c r="WKY120" s="38"/>
      <c r="WLE120" s="36"/>
      <c r="WLF120" s="38"/>
      <c r="WLG120" s="38"/>
      <c r="WLM120" s="36"/>
      <c r="WLN120" s="38"/>
      <c r="WLO120" s="38"/>
      <c r="WLU120" s="36"/>
      <c r="WLV120" s="38"/>
      <c r="WLW120" s="38"/>
      <c r="WMC120" s="36"/>
      <c r="WMD120" s="38"/>
      <c r="WME120" s="38"/>
      <c r="WMK120" s="36"/>
      <c r="WML120" s="38"/>
      <c r="WMM120" s="38"/>
      <c r="WMS120" s="36"/>
      <c r="WMT120" s="38"/>
      <c r="WMU120" s="38"/>
      <c r="WNA120" s="36"/>
      <c r="WNB120" s="38"/>
      <c r="WNC120" s="38"/>
      <c r="WNI120" s="36"/>
      <c r="WNJ120" s="38"/>
      <c r="WNK120" s="38"/>
      <c r="WNQ120" s="36"/>
      <c r="WNR120" s="38"/>
      <c r="WNS120" s="38"/>
      <c r="WNY120" s="36"/>
      <c r="WNZ120" s="38"/>
      <c r="WOA120" s="38"/>
      <c r="WOG120" s="36"/>
      <c r="WOH120" s="38"/>
      <c r="WOI120" s="38"/>
      <c r="WOO120" s="36"/>
      <c r="WOP120" s="38"/>
      <c r="WOQ120" s="38"/>
      <c r="WOW120" s="36"/>
      <c r="WOX120" s="38"/>
      <c r="WOY120" s="38"/>
      <c r="WPE120" s="36"/>
      <c r="WPF120" s="38"/>
      <c r="WPG120" s="38"/>
      <c r="WPM120" s="36"/>
      <c r="WPN120" s="38"/>
      <c r="WPO120" s="38"/>
      <c r="WPU120" s="36"/>
      <c r="WPV120" s="38"/>
      <c r="WPW120" s="38"/>
      <c r="WQC120" s="36"/>
      <c r="WQD120" s="38"/>
      <c r="WQE120" s="38"/>
      <c r="WQK120" s="36"/>
      <c r="WQL120" s="38"/>
      <c r="WQM120" s="38"/>
      <c r="WQS120" s="36"/>
      <c r="WQT120" s="38"/>
      <c r="WQU120" s="38"/>
      <c r="WRA120" s="36"/>
      <c r="WRB120" s="38"/>
      <c r="WRC120" s="38"/>
      <c r="WRI120" s="36"/>
      <c r="WRJ120" s="38"/>
      <c r="WRK120" s="38"/>
      <c r="WRQ120" s="36"/>
      <c r="WRR120" s="38"/>
      <c r="WRS120" s="38"/>
      <c r="WRY120" s="36"/>
      <c r="WRZ120" s="38"/>
      <c r="WSA120" s="38"/>
      <c r="WSG120" s="36"/>
      <c r="WSH120" s="38"/>
      <c r="WSI120" s="38"/>
      <c r="WSO120" s="36"/>
      <c r="WSP120" s="38"/>
      <c r="WSQ120" s="38"/>
      <c r="WSW120" s="36"/>
      <c r="WSX120" s="38"/>
      <c r="WSY120" s="38"/>
      <c r="WTE120" s="36"/>
      <c r="WTF120" s="38"/>
      <c r="WTG120" s="38"/>
      <c r="WTM120" s="36"/>
      <c r="WTN120" s="38"/>
      <c r="WTO120" s="38"/>
      <c r="WTU120" s="36"/>
      <c r="WTV120" s="38"/>
      <c r="WTW120" s="38"/>
      <c r="WUC120" s="36"/>
      <c r="WUD120" s="38"/>
      <c r="WUE120" s="38"/>
      <c r="WUK120" s="36"/>
      <c r="WUL120" s="38"/>
      <c r="WUM120" s="38"/>
      <c r="WUS120" s="36"/>
      <c r="WUT120" s="38"/>
      <c r="WUU120" s="38"/>
      <c r="WVA120" s="36"/>
      <c r="WVB120" s="38"/>
      <c r="WVC120" s="38"/>
      <c r="WVI120" s="36"/>
      <c r="WVJ120" s="38"/>
      <c r="WVK120" s="38"/>
      <c r="WVQ120" s="36"/>
      <c r="WVR120" s="38"/>
      <c r="WVS120" s="38"/>
      <c r="WVY120" s="36"/>
      <c r="WVZ120" s="38"/>
      <c r="WWA120" s="38"/>
      <c r="WWG120" s="36"/>
      <c r="WWH120" s="38"/>
      <c r="WWI120" s="38"/>
      <c r="WWO120" s="36"/>
      <c r="WWP120" s="38"/>
      <c r="WWQ120" s="38"/>
      <c r="WWW120" s="36"/>
      <c r="WWX120" s="38"/>
      <c r="WWY120" s="38"/>
      <c r="WXE120" s="36"/>
      <c r="WXF120" s="38"/>
      <c r="WXG120" s="38"/>
      <c r="WXM120" s="36"/>
      <c r="WXN120" s="38"/>
      <c r="WXO120" s="38"/>
      <c r="WXU120" s="36"/>
      <c r="WXV120" s="38"/>
      <c r="WXW120" s="38"/>
      <c r="WYC120" s="36"/>
      <c r="WYD120" s="38"/>
      <c r="WYE120" s="38"/>
      <c r="WYK120" s="36"/>
      <c r="WYL120" s="38"/>
      <c r="WYM120" s="38"/>
      <c r="WYS120" s="36"/>
      <c r="WYT120" s="38"/>
      <c r="WYU120" s="38"/>
      <c r="WZA120" s="36"/>
      <c r="WZB120" s="38"/>
      <c r="WZC120" s="38"/>
      <c r="WZI120" s="36"/>
      <c r="WZJ120" s="38"/>
      <c r="WZK120" s="38"/>
      <c r="WZQ120" s="36"/>
      <c r="WZR120" s="38"/>
      <c r="WZS120" s="38"/>
      <c r="WZY120" s="36"/>
      <c r="WZZ120" s="38"/>
      <c r="XAA120" s="38"/>
      <c r="XAG120" s="36"/>
      <c r="XAH120" s="38"/>
      <c r="XAI120" s="38"/>
      <c r="XAO120" s="36"/>
      <c r="XAP120" s="38"/>
      <c r="XAQ120" s="38"/>
      <c r="XAW120" s="36"/>
      <c r="XAX120" s="38"/>
      <c r="XAY120" s="38"/>
      <c r="XBE120" s="36"/>
      <c r="XBF120" s="38"/>
      <c r="XBG120" s="38"/>
      <c r="XBM120" s="36"/>
      <c r="XBN120" s="38"/>
      <c r="XBO120" s="38"/>
      <c r="XBU120" s="36"/>
      <c r="XBV120" s="38"/>
      <c r="XBW120" s="38"/>
      <c r="XCC120" s="36"/>
      <c r="XCD120" s="38"/>
      <c r="XCE120" s="38"/>
      <c r="XCK120" s="36"/>
      <c r="XCL120" s="38"/>
      <c r="XCM120" s="38"/>
      <c r="XCS120" s="36"/>
      <c r="XCT120" s="38"/>
      <c r="XCU120" s="38"/>
      <c r="XDA120" s="36"/>
      <c r="XDB120" s="38"/>
      <c r="XDC120" s="38"/>
      <c r="XDI120" s="36"/>
      <c r="XDJ120" s="38"/>
      <c r="XDK120" s="38"/>
      <c r="XDQ120" s="36"/>
      <c r="XDR120" s="38"/>
      <c r="XDS120" s="38"/>
      <c r="XDY120" s="36"/>
      <c r="XDZ120" s="38"/>
      <c r="XEA120" s="38"/>
      <c r="XEG120" s="36"/>
      <c r="XEH120" s="38"/>
      <c r="XEI120" s="38"/>
      <c r="XEO120" s="36"/>
      <c r="XEP120" s="38"/>
      <c r="XEQ120" s="38"/>
      <c r="XEW120" s="36"/>
      <c r="XEX120" s="38"/>
      <c r="XEY120" s="38"/>
    </row>
    <row r="121" spans="1:1019 1025:2043 2049:3067 3073:4091 4097:5115 5121:6139 6145:7163 7169:8187 8193:9211 9217:10235 10241:11259 11265:12283 12289:13307 13313:14331 14337:15355 15361:16379" s="24" customFormat="1" ht="15" customHeight="1">
      <c r="A121" s="36"/>
      <c r="B121" s="38"/>
      <c r="C121" s="38"/>
      <c r="I121" s="36"/>
      <c r="J121" s="38"/>
      <c r="K121" s="38"/>
      <c r="Q121" s="36"/>
      <c r="R121" s="38"/>
      <c r="S121" s="38"/>
      <c r="Y121" s="36"/>
      <c r="Z121" s="38"/>
      <c r="AA121" s="38"/>
      <c r="AG121" s="36"/>
      <c r="AH121" s="38"/>
      <c r="AI121" s="38"/>
      <c r="AO121" s="36"/>
      <c r="AP121" s="38"/>
      <c r="AQ121" s="38"/>
      <c r="AW121" s="36"/>
      <c r="AX121" s="38"/>
      <c r="AY121" s="38"/>
      <c r="BE121" s="36"/>
      <c r="BF121" s="38"/>
      <c r="BG121" s="38"/>
      <c r="BM121" s="36"/>
      <c r="BN121" s="38"/>
      <c r="BO121" s="38"/>
      <c r="BU121" s="36"/>
      <c r="BV121" s="38"/>
      <c r="BW121" s="38"/>
      <c r="CC121" s="36"/>
      <c r="CD121" s="38"/>
      <c r="CE121" s="38"/>
      <c r="CK121" s="36"/>
      <c r="CL121" s="38"/>
      <c r="CM121" s="38"/>
      <c r="CS121" s="36"/>
      <c r="CT121" s="38"/>
      <c r="CU121" s="38"/>
      <c r="DA121" s="36"/>
      <c r="DB121" s="38"/>
      <c r="DC121" s="38"/>
      <c r="DI121" s="36"/>
      <c r="DJ121" s="38"/>
      <c r="DK121" s="38"/>
      <c r="DQ121" s="36"/>
      <c r="DR121" s="38"/>
      <c r="DS121" s="38"/>
      <c r="DY121" s="36"/>
      <c r="DZ121" s="38"/>
      <c r="EA121" s="38"/>
      <c r="EG121" s="36"/>
      <c r="EH121" s="38"/>
      <c r="EI121" s="38"/>
      <c r="EO121" s="36"/>
      <c r="EP121" s="38"/>
      <c r="EQ121" s="38"/>
      <c r="EW121" s="36"/>
      <c r="EX121" s="38"/>
      <c r="EY121" s="38"/>
      <c r="FE121" s="36"/>
      <c r="FF121" s="38"/>
      <c r="FG121" s="38"/>
      <c r="FM121" s="36"/>
      <c r="FN121" s="38"/>
      <c r="FO121" s="38"/>
      <c r="FU121" s="36"/>
      <c r="FV121" s="38"/>
      <c r="FW121" s="38"/>
      <c r="GC121" s="36"/>
      <c r="GD121" s="38"/>
      <c r="GE121" s="38"/>
      <c r="GK121" s="36"/>
      <c r="GL121" s="38"/>
      <c r="GM121" s="38"/>
      <c r="GS121" s="36"/>
      <c r="GT121" s="38"/>
      <c r="GU121" s="38"/>
      <c r="HA121" s="36"/>
      <c r="HB121" s="38"/>
      <c r="HC121" s="38"/>
      <c r="HI121" s="36"/>
      <c r="HJ121" s="38"/>
      <c r="HK121" s="38"/>
      <c r="HQ121" s="36"/>
      <c r="HR121" s="38"/>
      <c r="HS121" s="38"/>
      <c r="HY121" s="36"/>
      <c r="HZ121" s="38"/>
      <c r="IA121" s="38"/>
      <c r="IG121" s="36"/>
      <c r="IH121" s="38"/>
      <c r="II121" s="38"/>
      <c r="IO121" s="36"/>
      <c r="IP121" s="38"/>
      <c r="IQ121" s="38"/>
      <c r="IW121" s="36"/>
      <c r="IX121" s="38"/>
      <c r="IY121" s="38"/>
      <c r="JE121" s="36"/>
      <c r="JF121" s="38"/>
      <c r="JG121" s="38"/>
      <c r="JM121" s="36"/>
      <c r="JN121" s="38"/>
      <c r="JO121" s="38"/>
      <c r="JU121" s="36"/>
      <c r="JV121" s="38"/>
      <c r="JW121" s="38"/>
      <c r="KC121" s="36"/>
      <c r="KD121" s="38"/>
      <c r="KE121" s="38"/>
      <c r="KK121" s="36"/>
      <c r="KL121" s="38"/>
      <c r="KM121" s="38"/>
      <c r="KS121" s="36"/>
      <c r="KT121" s="38"/>
      <c r="KU121" s="38"/>
      <c r="LA121" s="36"/>
      <c r="LB121" s="38"/>
      <c r="LC121" s="38"/>
      <c r="LI121" s="36"/>
      <c r="LJ121" s="38"/>
      <c r="LK121" s="38"/>
      <c r="LQ121" s="36"/>
      <c r="LR121" s="38"/>
      <c r="LS121" s="38"/>
      <c r="LY121" s="36"/>
      <c r="LZ121" s="38"/>
      <c r="MA121" s="38"/>
      <c r="MG121" s="36"/>
      <c r="MH121" s="38"/>
      <c r="MI121" s="38"/>
      <c r="MO121" s="36"/>
      <c r="MP121" s="38"/>
      <c r="MQ121" s="38"/>
      <c r="MW121" s="36"/>
      <c r="MX121" s="38"/>
      <c r="MY121" s="38"/>
      <c r="NE121" s="36"/>
      <c r="NF121" s="38"/>
      <c r="NG121" s="38"/>
      <c r="NM121" s="36"/>
      <c r="NN121" s="38"/>
      <c r="NO121" s="38"/>
      <c r="NU121" s="36"/>
      <c r="NV121" s="38"/>
      <c r="NW121" s="38"/>
      <c r="OC121" s="36"/>
      <c r="OD121" s="38"/>
      <c r="OE121" s="38"/>
      <c r="OK121" s="36"/>
      <c r="OL121" s="38"/>
      <c r="OM121" s="38"/>
      <c r="OS121" s="36"/>
      <c r="OT121" s="38"/>
      <c r="OU121" s="38"/>
      <c r="PA121" s="36"/>
      <c r="PB121" s="38"/>
      <c r="PC121" s="38"/>
      <c r="PI121" s="36"/>
      <c r="PJ121" s="38"/>
      <c r="PK121" s="38"/>
      <c r="PQ121" s="36"/>
      <c r="PR121" s="38"/>
      <c r="PS121" s="38"/>
      <c r="PY121" s="36"/>
      <c r="PZ121" s="38"/>
      <c r="QA121" s="38"/>
      <c r="QG121" s="36"/>
      <c r="QH121" s="38"/>
      <c r="QI121" s="38"/>
      <c r="QO121" s="36"/>
      <c r="QP121" s="38"/>
      <c r="QQ121" s="38"/>
      <c r="QW121" s="36"/>
      <c r="QX121" s="38"/>
      <c r="QY121" s="38"/>
      <c r="RE121" s="36"/>
      <c r="RF121" s="38"/>
      <c r="RG121" s="38"/>
      <c r="RM121" s="36"/>
      <c r="RN121" s="38"/>
      <c r="RO121" s="38"/>
      <c r="RU121" s="36"/>
      <c r="RV121" s="38"/>
      <c r="RW121" s="38"/>
      <c r="SC121" s="36"/>
      <c r="SD121" s="38"/>
      <c r="SE121" s="38"/>
      <c r="SK121" s="36"/>
      <c r="SL121" s="38"/>
      <c r="SM121" s="38"/>
      <c r="SS121" s="36"/>
      <c r="ST121" s="38"/>
      <c r="SU121" s="38"/>
      <c r="TA121" s="36"/>
      <c r="TB121" s="38"/>
      <c r="TC121" s="38"/>
      <c r="TI121" s="36"/>
      <c r="TJ121" s="38"/>
      <c r="TK121" s="38"/>
      <c r="TQ121" s="36"/>
      <c r="TR121" s="38"/>
      <c r="TS121" s="38"/>
      <c r="TY121" s="36"/>
      <c r="TZ121" s="38"/>
      <c r="UA121" s="38"/>
      <c r="UG121" s="36"/>
      <c r="UH121" s="38"/>
      <c r="UI121" s="38"/>
      <c r="UO121" s="36"/>
      <c r="UP121" s="38"/>
      <c r="UQ121" s="38"/>
      <c r="UW121" s="36"/>
      <c r="UX121" s="38"/>
      <c r="UY121" s="38"/>
      <c r="VE121" s="36"/>
      <c r="VF121" s="38"/>
      <c r="VG121" s="38"/>
      <c r="VM121" s="36"/>
      <c r="VN121" s="38"/>
      <c r="VO121" s="38"/>
      <c r="VU121" s="36"/>
      <c r="VV121" s="38"/>
      <c r="VW121" s="38"/>
      <c r="WC121" s="36"/>
      <c r="WD121" s="38"/>
      <c r="WE121" s="38"/>
      <c r="WK121" s="36"/>
      <c r="WL121" s="38"/>
      <c r="WM121" s="38"/>
      <c r="WS121" s="36"/>
      <c r="WT121" s="38"/>
      <c r="WU121" s="38"/>
      <c r="XA121" s="36"/>
      <c r="XB121" s="38"/>
      <c r="XC121" s="38"/>
      <c r="XI121" s="36"/>
      <c r="XJ121" s="38"/>
      <c r="XK121" s="38"/>
      <c r="XQ121" s="36"/>
      <c r="XR121" s="38"/>
      <c r="XS121" s="38"/>
      <c r="XY121" s="36"/>
      <c r="XZ121" s="38"/>
      <c r="YA121" s="38"/>
      <c r="YG121" s="36"/>
      <c r="YH121" s="38"/>
      <c r="YI121" s="38"/>
      <c r="YO121" s="36"/>
      <c r="YP121" s="38"/>
      <c r="YQ121" s="38"/>
      <c r="YW121" s="36"/>
      <c r="YX121" s="38"/>
      <c r="YY121" s="38"/>
      <c r="ZE121" s="36"/>
      <c r="ZF121" s="38"/>
      <c r="ZG121" s="38"/>
      <c r="ZM121" s="36"/>
      <c r="ZN121" s="38"/>
      <c r="ZO121" s="38"/>
      <c r="ZU121" s="36"/>
      <c r="ZV121" s="38"/>
      <c r="ZW121" s="38"/>
      <c r="AAC121" s="36"/>
      <c r="AAD121" s="38"/>
      <c r="AAE121" s="38"/>
      <c r="AAK121" s="36"/>
      <c r="AAL121" s="38"/>
      <c r="AAM121" s="38"/>
      <c r="AAS121" s="36"/>
      <c r="AAT121" s="38"/>
      <c r="AAU121" s="38"/>
      <c r="ABA121" s="36"/>
      <c r="ABB121" s="38"/>
      <c r="ABC121" s="38"/>
      <c r="ABI121" s="36"/>
      <c r="ABJ121" s="38"/>
      <c r="ABK121" s="38"/>
      <c r="ABQ121" s="36"/>
      <c r="ABR121" s="38"/>
      <c r="ABS121" s="38"/>
      <c r="ABY121" s="36"/>
      <c r="ABZ121" s="38"/>
      <c r="ACA121" s="38"/>
      <c r="ACG121" s="36"/>
      <c r="ACH121" s="38"/>
      <c r="ACI121" s="38"/>
      <c r="ACO121" s="36"/>
      <c r="ACP121" s="38"/>
      <c r="ACQ121" s="38"/>
      <c r="ACW121" s="36"/>
      <c r="ACX121" s="38"/>
      <c r="ACY121" s="38"/>
      <c r="ADE121" s="36"/>
      <c r="ADF121" s="38"/>
      <c r="ADG121" s="38"/>
      <c r="ADM121" s="36"/>
      <c r="ADN121" s="38"/>
      <c r="ADO121" s="38"/>
      <c r="ADU121" s="36"/>
      <c r="ADV121" s="38"/>
      <c r="ADW121" s="38"/>
      <c r="AEC121" s="36"/>
      <c r="AED121" s="38"/>
      <c r="AEE121" s="38"/>
      <c r="AEK121" s="36"/>
      <c r="AEL121" s="38"/>
      <c r="AEM121" s="38"/>
      <c r="AES121" s="36"/>
      <c r="AET121" s="38"/>
      <c r="AEU121" s="38"/>
      <c r="AFA121" s="36"/>
      <c r="AFB121" s="38"/>
      <c r="AFC121" s="38"/>
      <c r="AFI121" s="36"/>
      <c r="AFJ121" s="38"/>
      <c r="AFK121" s="38"/>
      <c r="AFQ121" s="36"/>
      <c r="AFR121" s="38"/>
      <c r="AFS121" s="38"/>
      <c r="AFY121" s="36"/>
      <c r="AFZ121" s="38"/>
      <c r="AGA121" s="38"/>
      <c r="AGG121" s="36"/>
      <c r="AGH121" s="38"/>
      <c r="AGI121" s="38"/>
      <c r="AGO121" s="36"/>
      <c r="AGP121" s="38"/>
      <c r="AGQ121" s="38"/>
      <c r="AGW121" s="36"/>
      <c r="AGX121" s="38"/>
      <c r="AGY121" s="38"/>
      <c r="AHE121" s="36"/>
      <c r="AHF121" s="38"/>
      <c r="AHG121" s="38"/>
      <c r="AHM121" s="36"/>
      <c r="AHN121" s="38"/>
      <c r="AHO121" s="38"/>
      <c r="AHU121" s="36"/>
      <c r="AHV121" s="38"/>
      <c r="AHW121" s="38"/>
      <c r="AIC121" s="36"/>
      <c r="AID121" s="38"/>
      <c r="AIE121" s="38"/>
      <c r="AIK121" s="36"/>
      <c r="AIL121" s="38"/>
      <c r="AIM121" s="38"/>
      <c r="AIS121" s="36"/>
      <c r="AIT121" s="38"/>
      <c r="AIU121" s="38"/>
      <c r="AJA121" s="36"/>
      <c r="AJB121" s="38"/>
      <c r="AJC121" s="38"/>
      <c r="AJI121" s="36"/>
      <c r="AJJ121" s="38"/>
      <c r="AJK121" s="38"/>
      <c r="AJQ121" s="36"/>
      <c r="AJR121" s="38"/>
      <c r="AJS121" s="38"/>
      <c r="AJY121" s="36"/>
      <c r="AJZ121" s="38"/>
      <c r="AKA121" s="38"/>
      <c r="AKG121" s="36"/>
      <c r="AKH121" s="38"/>
      <c r="AKI121" s="38"/>
      <c r="AKO121" s="36"/>
      <c r="AKP121" s="38"/>
      <c r="AKQ121" s="38"/>
      <c r="AKW121" s="36"/>
      <c r="AKX121" s="38"/>
      <c r="AKY121" s="38"/>
      <c r="ALE121" s="36"/>
      <c r="ALF121" s="38"/>
      <c r="ALG121" s="38"/>
      <c r="ALM121" s="36"/>
      <c r="ALN121" s="38"/>
      <c r="ALO121" s="38"/>
      <c r="ALU121" s="36"/>
      <c r="ALV121" s="38"/>
      <c r="ALW121" s="38"/>
      <c r="AMC121" s="36"/>
      <c r="AMD121" s="38"/>
      <c r="AME121" s="38"/>
      <c r="AMK121" s="36"/>
      <c r="AML121" s="38"/>
      <c r="AMM121" s="38"/>
      <c r="AMS121" s="36"/>
      <c r="AMT121" s="38"/>
      <c r="AMU121" s="38"/>
      <c r="ANA121" s="36"/>
      <c r="ANB121" s="38"/>
      <c r="ANC121" s="38"/>
      <c r="ANI121" s="36"/>
      <c r="ANJ121" s="38"/>
      <c r="ANK121" s="38"/>
      <c r="ANQ121" s="36"/>
      <c r="ANR121" s="38"/>
      <c r="ANS121" s="38"/>
      <c r="ANY121" s="36"/>
      <c r="ANZ121" s="38"/>
      <c r="AOA121" s="38"/>
      <c r="AOG121" s="36"/>
      <c r="AOH121" s="38"/>
      <c r="AOI121" s="38"/>
      <c r="AOO121" s="36"/>
      <c r="AOP121" s="38"/>
      <c r="AOQ121" s="38"/>
      <c r="AOW121" s="36"/>
      <c r="AOX121" s="38"/>
      <c r="AOY121" s="38"/>
      <c r="APE121" s="36"/>
      <c r="APF121" s="38"/>
      <c r="APG121" s="38"/>
      <c r="APM121" s="36"/>
      <c r="APN121" s="38"/>
      <c r="APO121" s="38"/>
      <c r="APU121" s="36"/>
      <c r="APV121" s="38"/>
      <c r="APW121" s="38"/>
      <c r="AQC121" s="36"/>
      <c r="AQD121" s="38"/>
      <c r="AQE121" s="38"/>
      <c r="AQK121" s="36"/>
      <c r="AQL121" s="38"/>
      <c r="AQM121" s="38"/>
      <c r="AQS121" s="36"/>
      <c r="AQT121" s="38"/>
      <c r="AQU121" s="38"/>
      <c r="ARA121" s="36"/>
      <c r="ARB121" s="38"/>
      <c r="ARC121" s="38"/>
      <c r="ARI121" s="36"/>
      <c r="ARJ121" s="38"/>
      <c r="ARK121" s="38"/>
      <c r="ARQ121" s="36"/>
      <c r="ARR121" s="38"/>
      <c r="ARS121" s="38"/>
      <c r="ARY121" s="36"/>
      <c r="ARZ121" s="38"/>
      <c r="ASA121" s="38"/>
      <c r="ASG121" s="36"/>
      <c r="ASH121" s="38"/>
      <c r="ASI121" s="38"/>
      <c r="ASO121" s="36"/>
      <c r="ASP121" s="38"/>
      <c r="ASQ121" s="38"/>
      <c r="ASW121" s="36"/>
      <c r="ASX121" s="38"/>
      <c r="ASY121" s="38"/>
      <c r="ATE121" s="36"/>
      <c r="ATF121" s="38"/>
      <c r="ATG121" s="38"/>
      <c r="ATM121" s="36"/>
      <c r="ATN121" s="38"/>
      <c r="ATO121" s="38"/>
      <c r="ATU121" s="36"/>
      <c r="ATV121" s="38"/>
      <c r="ATW121" s="38"/>
      <c r="AUC121" s="36"/>
      <c r="AUD121" s="38"/>
      <c r="AUE121" s="38"/>
      <c r="AUK121" s="36"/>
      <c r="AUL121" s="38"/>
      <c r="AUM121" s="38"/>
      <c r="AUS121" s="36"/>
      <c r="AUT121" s="38"/>
      <c r="AUU121" s="38"/>
      <c r="AVA121" s="36"/>
      <c r="AVB121" s="38"/>
      <c r="AVC121" s="38"/>
      <c r="AVI121" s="36"/>
      <c r="AVJ121" s="38"/>
      <c r="AVK121" s="38"/>
      <c r="AVQ121" s="36"/>
      <c r="AVR121" s="38"/>
      <c r="AVS121" s="38"/>
      <c r="AVY121" s="36"/>
      <c r="AVZ121" s="38"/>
      <c r="AWA121" s="38"/>
      <c r="AWG121" s="36"/>
      <c r="AWH121" s="38"/>
      <c r="AWI121" s="38"/>
      <c r="AWO121" s="36"/>
      <c r="AWP121" s="38"/>
      <c r="AWQ121" s="38"/>
      <c r="AWW121" s="36"/>
      <c r="AWX121" s="38"/>
      <c r="AWY121" s="38"/>
      <c r="AXE121" s="36"/>
      <c r="AXF121" s="38"/>
      <c r="AXG121" s="38"/>
      <c r="AXM121" s="36"/>
      <c r="AXN121" s="38"/>
      <c r="AXO121" s="38"/>
      <c r="AXU121" s="36"/>
      <c r="AXV121" s="38"/>
      <c r="AXW121" s="38"/>
      <c r="AYC121" s="36"/>
      <c r="AYD121" s="38"/>
      <c r="AYE121" s="38"/>
      <c r="AYK121" s="36"/>
      <c r="AYL121" s="38"/>
      <c r="AYM121" s="38"/>
      <c r="AYS121" s="36"/>
      <c r="AYT121" s="38"/>
      <c r="AYU121" s="38"/>
      <c r="AZA121" s="36"/>
      <c r="AZB121" s="38"/>
      <c r="AZC121" s="38"/>
      <c r="AZI121" s="36"/>
      <c r="AZJ121" s="38"/>
      <c r="AZK121" s="38"/>
      <c r="AZQ121" s="36"/>
      <c r="AZR121" s="38"/>
      <c r="AZS121" s="38"/>
      <c r="AZY121" s="36"/>
      <c r="AZZ121" s="38"/>
      <c r="BAA121" s="38"/>
      <c r="BAG121" s="36"/>
      <c r="BAH121" s="38"/>
      <c r="BAI121" s="38"/>
      <c r="BAO121" s="36"/>
      <c r="BAP121" s="38"/>
      <c r="BAQ121" s="38"/>
      <c r="BAW121" s="36"/>
      <c r="BAX121" s="38"/>
      <c r="BAY121" s="38"/>
      <c r="BBE121" s="36"/>
      <c r="BBF121" s="38"/>
      <c r="BBG121" s="38"/>
      <c r="BBM121" s="36"/>
      <c r="BBN121" s="38"/>
      <c r="BBO121" s="38"/>
      <c r="BBU121" s="36"/>
      <c r="BBV121" s="38"/>
      <c r="BBW121" s="38"/>
      <c r="BCC121" s="36"/>
      <c r="BCD121" s="38"/>
      <c r="BCE121" s="38"/>
      <c r="BCK121" s="36"/>
      <c r="BCL121" s="38"/>
      <c r="BCM121" s="38"/>
      <c r="BCS121" s="36"/>
      <c r="BCT121" s="38"/>
      <c r="BCU121" s="38"/>
      <c r="BDA121" s="36"/>
      <c r="BDB121" s="38"/>
      <c r="BDC121" s="38"/>
      <c r="BDI121" s="36"/>
      <c r="BDJ121" s="38"/>
      <c r="BDK121" s="38"/>
      <c r="BDQ121" s="36"/>
      <c r="BDR121" s="38"/>
      <c r="BDS121" s="38"/>
      <c r="BDY121" s="36"/>
      <c r="BDZ121" s="38"/>
      <c r="BEA121" s="38"/>
      <c r="BEG121" s="36"/>
      <c r="BEH121" s="38"/>
      <c r="BEI121" s="38"/>
      <c r="BEO121" s="36"/>
      <c r="BEP121" s="38"/>
      <c r="BEQ121" s="38"/>
      <c r="BEW121" s="36"/>
      <c r="BEX121" s="38"/>
      <c r="BEY121" s="38"/>
      <c r="BFE121" s="36"/>
      <c r="BFF121" s="38"/>
      <c r="BFG121" s="38"/>
      <c r="BFM121" s="36"/>
      <c r="BFN121" s="38"/>
      <c r="BFO121" s="38"/>
      <c r="BFU121" s="36"/>
      <c r="BFV121" s="38"/>
      <c r="BFW121" s="38"/>
      <c r="BGC121" s="36"/>
      <c r="BGD121" s="38"/>
      <c r="BGE121" s="38"/>
      <c r="BGK121" s="36"/>
      <c r="BGL121" s="38"/>
      <c r="BGM121" s="38"/>
      <c r="BGS121" s="36"/>
      <c r="BGT121" s="38"/>
      <c r="BGU121" s="38"/>
      <c r="BHA121" s="36"/>
      <c r="BHB121" s="38"/>
      <c r="BHC121" s="38"/>
      <c r="BHI121" s="36"/>
      <c r="BHJ121" s="38"/>
      <c r="BHK121" s="38"/>
      <c r="BHQ121" s="36"/>
      <c r="BHR121" s="38"/>
      <c r="BHS121" s="38"/>
      <c r="BHY121" s="36"/>
      <c r="BHZ121" s="38"/>
      <c r="BIA121" s="38"/>
      <c r="BIG121" s="36"/>
      <c r="BIH121" s="38"/>
      <c r="BII121" s="38"/>
      <c r="BIO121" s="36"/>
      <c r="BIP121" s="38"/>
      <c r="BIQ121" s="38"/>
      <c r="BIW121" s="36"/>
      <c r="BIX121" s="38"/>
      <c r="BIY121" s="38"/>
      <c r="BJE121" s="36"/>
      <c r="BJF121" s="38"/>
      <c r="BJG121" s="38"/>
      <c r="BJM121" s="36"/>
      <c r="BJN121" s="38"/>
      <c r="BJO121" s="38"/>
      <c r="BJU121" s="36"/>
      <c r="BJV121" s="38"/>
      <c r="BJW121" s="38"/>
      <c r="BKC121" s="36"/>
      <c r="BKD121" s="38"/>
      <c r="BKE121" s="38"/>
      <c r="BKK121" s="36"/>
      <c r="BKL121" s="38"/>
      <c r="BKM121" s="38"/>
      <c r="BKS121" s="36"/>
      <c r="BKT121" s="38"/>
      <c r="BKU121" s="38"/>
      <c r="BLA121" s="36"/>
      <c r="BLB121" s="38"/>
      <c r="BLC121" s="38"/>
      <c r="BLI121" s="36"/>
      <c r="BLJ121" s="38"/>
      <c r="BLK121" s="38"/>
      <c r="BLQ121" s="36"/>
      <c r="BLR121" s="38"/>
      <c r="BLS121" s="38"/>
      <c r="BLY121" s="36"/>
      <c r="BLZ121" s="38"/>
      <c r="BMA121" s="38"/>
      <c r="BMG121" s="36"/>
      <c r="BMH121" s="38"/>
      <c r="BMI121" s="38"/>
      <c r="BMO121" s="36"/>
      <c r="BMP121" s="38"/>
      <c r="BMQ121" s="38"/>
      <c r="BMW121" s="36"/>
      <c r="BMX121" s="38"/>
      <c r="BMY121" s="38"/>
      <c r="BNE121" s="36"/>
      <c r="BNF121" s="38"/>
      <c r="BNG121" s="38"/>
      <c r="BNM121" s="36"/>
      <c r="BNN121" s="38"/>
      <c r="BNO121" s="38"/>
      <c r="BNU121" s="36"/>
      <c r="BNV121" s="38"/>
      <c r="BNW121" s="38"/>
      <c r="BOC121" s="36"/>
      <c r="BOD121" s="38"/>
      <c r="BOE121" s="38"/>
      <c r="BOK121" s="36"/>
      <c r="BOL121" s="38"/>
      <c r="BOM121" s="38"/>
      <c r="BOS121" s="36"/>
      <c r="BOT121" s="38"/>
      <c r="BOU121" s="38"/>
      <c r="BPA121" s="36"/>
      <c r="BPB121" s="38"/>
      <c r="BPC121" s="38"/>
      <c r="BPI121" s="36"/>
      <c r="BPJ121" s="38"/>
      <c r="BPK121" s="38"/>
      <c r="BPQ121" s="36"/>
      <c r="BPR121" s="38"/>
      <c r="BPS121" s="38"/>
      <c r="BPY121" s="36"/>
      <c r="BPZ121" s="38"/>
      <c r="BQA121" s="38"/>
      <c r="BQG121" s="36"/>
      <c r="BQH121" s="38"/>
      <c r="BQI121" s="38"/>
      <c r="BQO121" s="36"/>
      <c r="BQP121" s="38"/>
      <c r="BQQ121" s="38"/>
      <c r="BQW121" s="36"/>
      <c r="BQX121" s="38"/>
      <c r="BQY121" s="38"/>
      <c r="BRE121" s="36"/>
      <c r="BRF121" s="38"/>
      <c r="BRG121" s="38"/>
      <c r="BRM121" s="36"/>
      <c r="BRN121" s="38"/>
      <c r="BRO121" s="38"/>
      <c r="BRU121" s="36"/>
      <c r="BRV121" s="38"/>
      <c r="BRW121" s="38"/>
      <c r="BSC121" s="36"/>
      <c r="BSD121" s="38"/>
      <c r="BSE121" s="38"/>
      <c r="BSK121" s="36"/>
      <c r="BSL121" s="38"/>
      <c r="BSM121" s="38"/>
      <c r="BSS121" s="36"/>
      <c r="BST121" s="38"/>
      <c r="BSU121" s="38"/>
      <c r="BTA121" s="36"/>
      <c r="BTB121" s="38"/>
      <c r="BTC121" s="38"/>
      <c r="BTI121" s="36"/>
      <c r="BTJ121" s="38"/>
      <c r="BTK121" s="38"/>
      <c r="BTQ121" s="36"/>
      <c r="BTR121" s="38"/>
      <c r="BTS121" s="38"/>
      <c r="BTY121" s="36"/>
      <c r="BTZ121" s="38"/>
      <c r="BUA121" s="38"/>
      <c r="BUG121" s="36"/>
      <c r="BUH121" s="38"/>
      <c r="BUI121" s="38"/>
      <c r="BUO121" s="36"/>
      <c r="BUP121" s="38"/>
      <c r="BUQ121" s="38"/>
      <c r="BUW121" s="36"/>
      <c r="BUX121" s="38"/>
      <c r="BUY121" s="38"/>
      <c r="BVE121" s="36"/>
      <c r="BVF121" s="38"/>
      <c r="BVG121" s="38"/>
      <c r="BVM121" s="36"/>
      <c r="BVN121" s="38"/>
      <c r="BVO121" s="38"/>
      <c r="BVU121" s="36"/>
      <c r="BVV121" s="38"/>
      <c r="BVW121" s="38"/>
      <c r="BWC121" s="36"/>
      <c r="BWD121" s="38"/>
      <c r="BWE121" s="38"/>
      <c r="BWK121" s="36"/>
      <c r="BWL121" s="38"/>
      <c r="BWM121" s="38"/>
      <c r="BWS121" s="36"/>
      <c r="BWT121" s="38"/>
      <c r="BWU121" s="38"/>
      <c r="BXA121" s="36"/>
      <c r="BXB121" s="38"/>
      <c r="BXC121" s="38"/>
      <c r="BXI121" s="36"/>
      <c r="BXJ121" s="38"/>
      <c r="BXK121" s="38"/>
      <c r="BXQ121" s="36"/>
      <c r="BXR121" s="38"/>
      <c r="BXS121" s="38"/>
      <c r="BXY121" s="36"/>
      <c r="BXZ121" s="38"/>
      <c r="BYA121" s="38"/>
      <c r="BYG121" s="36"/>
      <c r="BYH121" s="38"/>
      <c r="BYI121" s="38"/>
      <c r="BYO121" s="36"/>
      <c r="BYP121" s="38"/>
      <c r="BYQ121" s="38"/>
      <c r="BYW121" s="36"/>
      <c r="BYX121" s="38"/>
      <c r="BYY121" s="38"/>
      <c r="BZE121" s="36"/>
      <c r="BZF121" s="38"/>
      <c r="BZG121" s="38"/>
      <c r="BZM121" s="36"/>
      <c r="BZN121" s="38"/>
      <c r="BZO121" s="38"/>
      <c r="BZU121" s="36"/>
      <c r="BZV121" s="38"/>
      <c r="BZW121" s="38"/>
      <c r="CAC121" s="36"/>
      <c r="CAD121" s="38"/>
      <c r="CAE121" s="38"/>
      <c r="CAK121" s="36"/>
      <c r="CAL121" s="38"/>
      <c r="CAM121" s="38"/>
      <c r="CAS121" s="36"/>
      <c r="CAT121" s="38"/>
      <c r="CAU121" s="38"/>
      <c r="CBA121" s="36"/>
      <c r="CBB121" s="38"/>
      <c r="CBC121" s="38"/>
      <c r="CBI121" s="36"/>
      <c r="CBJ121" s="38"/>
      <c r="CBK121" s="38"/>
      <c r="CBQ121" s="36"/>
      <c r="CBR121" s="38"/>
      <c r="CBS121" s="38"/>
      <c r="CBY121" s="36"/>
      <c r="CBZ121" s="38"/>
      <c r="CCA121" s="38"/>
      <c r="CCG121" s="36"/>
      <c r="CCH121" s="38"/>
      <c r="CCI121" s="38"/>
      <c r="CCO121" s="36"/>
      <c r="CCP121" s="38"/>
      <c r="CCQ121" s="38"/>
      <c r="CCW121" s="36"/>
      <c r="CCX121" s="38"/>
      <c r="CCY121" s="38"/>
      <c r="CDE121" s="36"/>
      <c r="CDF121" s="38"/>
      <c r="CDG121" s="38"/>
      <c r="CDM121" s="36"/>
      <c r="CDN121" s="38"/>
      <c r="CDO121" s="38"/>
      <c r="CDU121" s="36"/>
      <c r="CDV121" s="38"/>
      <c r="CDW121" s="38"/>
      <c r="CEC121" s="36"/>
      <c r="CED121" s="38"/>
      <c r="CEE121" s="38"/>
      <c r="CEK121" s="36"/>
      <c r="CEL121" s="38"/>
      <c r="CEM121" s="38"/>
      <c r="CES121" s="36"/>
      <c r="CET121" s="38"/>
      <c r="CEU121" s="38"/>
      <c r="CFA121" s="36"/>
      <c r="CFB121" s="38"/>
      <c r="CFC121" s="38"/>
      <c r="CFI121" s="36"/>
      <c r="CFJ121" s="38"/>
      <c r="CFK121" s="38"/>
      <c r="CFQ121" s="36"/>
      <c r="CFR121" s="38"/>
      <c r="CFS121" s="38"/>
      <c r="CFY121" s="36"/>
      <c r="CFZ121" s="38"/>
      <c r="CGA121" s="38"/>
      <c r="CGG121" s="36"/>
      <c r="CGH121" s="38"/>
      <c r="CGI121" s="38"/>
      <c r="CGO121" s="36"/>
      <c r="CGP121" s="38"/>
      <c r="CGQ121" s="38"/>
      <c r="CGW121" s="36"/>
      <c r="CGX121" s="38"/>
      <c r="CGY121" s="38"/>
      <c r="CHE121" s="36"/>
      <c r="CHF121" s="38"/>
      <c r="CHG121" s="38"/>
      <c r="CHM121" s="36"/>
      <c r="CHN121" s="38"/>
      <c r="CHO121" s="38"/>
      <c r="CHU121" s="36"/>
      <c r="CHV121" s="38"/>
      <c r="CHW121" s="38"/>
      <c r="CIC121" s="36"/>
      <c r="CID121" s="38"/>
      <c r="CIE121" s="38"/>
      <c r="CIK121" s="36"/>
      <c r="CIL121" s="38"/>
      <c r="CIM121" s="38"/>
      <c r="CIS121" s="36"/>
      <c r="CIT121" s="38"/>
      <c r="CIU121" s="38"/>
      <c r="CJA121" s="36"/>
      <c r="CJB121" s="38"/>
      <c r="CJC121" s="38"/>
      <c r="CJI121" s="36"/>
      <c r="CJJ121" s="38"/>
      <c r="CJK121" s="38"/>
      <c r="CJQ121" s="36"/>
      <c r="CJR121" s="38"/>
      <c r="CJS121" s="38"/>
      <c r="CJY121" s="36"/>
      <c r="CJZ121" s="38"/>
      <c r="CKA121" s="38"/>
      <c r="CKG121" s="36"/>
      <c r="CKH121" s="38"/>
      <c r="CKI121" s="38"/>
      <c r="CKO121" s="36"/>
      <c r="CKP121" s="38"/>
      <c r="CKQ121" s="38"/>
      <c r="CKW121" s="36"/>
      <c r="CKX121" s="38"/>
      <c r="CKY121" s="38"/>
      <c r="CLE121" s="36"/>
      <c r="CLF121" s="38"/>
      <c r="CLG121" s="38"/>
      <c r="CLM121" s="36"/>
      <c r="CLN121" s="38"/>
      <c r="CLO121" s="38"/>
      <c r="CLU121" s="36"/>
      <c r="CLV121" s="38"/>
      <c r="CLW121" s="38"/>
      <c r="CMC121" s="36"/>
      <c r="CMD121" s="38"/>
      <c r="CME121" s="38"/>
      <c r="CMK121" s="36"/>
      <c r="CML121" s="38"/>
      <c r="CMM121" s="38"/>
      <c r="CMS121" s="36"/>
      <c r="CMT121" s="38"/>
      <c r="CMU121" s="38"/>
      <c r="CNA121" s="36"/>
      <c r="CNB121" s="38"/>
      <c r="CNC121" s="38"/>
      <c r="CNI121" s="36"/>
      <c r="CNJ121" s="38"/>
      <c r="CNK121" s="38"/>
      <c r="CNQ121" s="36"/>
      <c r="CNR121" s="38"/>
      <c r="CNS121" s="38"/>
      <c r="CNY121" s="36"/>
      <c r="CNZ121" s="38"/>
      <c r="COA121" s="38"/>
      <c r="COG121" s="36"/>
      <c r="COH121" s="38"/>
      <c r="COI121" s="38"/>
      <c r="COO121" s="36"/>
      <c r="COP121" s="38"/>
      <c r="COQ121" s="38"/>
      <c r="COW121" s="36"/>
      <c r="COX121" s="38"/>
      <c r="COY121" s="38"/>
      <c r="CPE121" s="36"/>
      <c r="CPF121" s="38"/>
      <c r="CPG121" s="38"/>
      <c r="CPM121" s="36"/>
      <c r="CPN121" s="38"/>
      <c r="CPO121" s="38"/>
      <c r="CPU121" s="36"/>
      <c r="CPV121" s="38"/>
      <c r="CPW121" s="38"/>
      <c r="CQC121" s="36"/>
      <c r="CQD121" s="38"/>
      <c r="CQE121" s="38"/>
      <c r="CQK121" s="36"/>
      <c r="CQL121" s="38"/>
      <c r="CQM121" s="38"/>
      <c r="CQS121" s="36"/>
      <c r="CQT121" s="38"/>
      <c r="CQU121" s="38"/>
      <c r="CRA121" s="36"/>
      <c r="CRB121" s="38"/>
      <c r="CRC121" s="38"/>
      <c r="CRI121" s="36"/>
      <c r="CRJ121" s="38"/>
      <c r="CRK121" s="38"/>
      <c r="CRQ121" s="36"/>
      <c r="CRR121" s="38"/>
      <c r="CRS121" s="38"/>
      <c r="CRY121" s="36"/>
      <c r="CRZ121" s="38"/>
      <c r="CSA121" s="38"/>
      <c r="CSG121" s="36"/>
      <c r="CSH121" s="38"/>
      <c r="CSI121" s="38"/>
      <c r="CSO121" s="36"/>
      <c r="CSP121" s="38"/>
      <c r="CSQ121" s="38"/>
      <c r="CSW121" s="36"/>
      <c r="CSX121" s="38"/>
      <c r="CSY121" s="38"/>
      <c r="CTE121" s="36"/>
      <c r="CTF121" s="38"/>
      <c r="CTG121" s="38"/>
      <c r="CTM121" s="36"/>
      <c r="CTN121" s="38"/>
      <c r="CTO121" s="38"/>
      <c r="CTU121" s="36"/>
      <c r="CTV121" s="38"/>
      <c r="CTW121" s="38"/>
      <c r="CUC121" s="36"/>
      <c r="CUD121" s="38"/>
      <c r="CUE121" s="38"/>
      <c r="CUK121" s="36"/>
      <c r="CUL121" s="38"/>
      <c r="CUM121" s="38"/>
      <c r="CUS121" s="36"/>
      <c r="CUT121" s="38"/>
      <c r="CUU121" s="38"/>
      <c r="CVA121" s="36"/>
      <c r="CVB121" s="38"/>
      <c r="CVC121" s="38"/>
      <c r="CVI121" s="36"/>
      <c r="CVJ121" s="38"/>
      <c r="CVK121" s="38"/>
      <c r="CVQ121" s="36"/>
      <c r="CVR121" s="38"/>
      <c r="CVS121" s="38"/>
      <c r="CVY121" s="36"/>
      <c r="CVZ121" s="38"/>
      <c r="CWA121" s="38"/>
      <c r="CWG121" s="36"/>
      <c r="CWH121" s="38"/>
      <c r="CWI121" s="38"/>
      <c r="CWO121" s="36"/>
      <c r="CWP121" s="38"/>
      <c r="CWQ121" s="38"/>
      <c r="CWW121" s="36"/>
      <c r="CWX121" s="38"/>
      <c r="CWY121" s="38"/>
      <c r="CXE121" s="36"/>
      <c r="CXF121" s="38"/>
      <c r="CXG121" s="38"/>
      <c r="CXM121" s="36"/>
      <c r="CXN121" s="38"/>
      <c r="CXO121" s="38"/>
      <c r="CXU121" s="36"/>
      <c r="CXV121" s="38"/>
      <c r="CXW121" s="38"/>
      <c r="CYC121" s="36"/>
      <c r="CYD121" s="38"/>
      <c r="CYE121" s="38"/>
      <c r="CYK121" s="36"/>
      <c r="CYL121" s="38"/>
      <c r="CYM121" s="38"/>
      <c r="CYS121" s="36"/>
      <c r="CYT121" s="38"/>
      <c r="CYU121" s="38"/>
      <c r="CZA121" s="36"/>
      <c r="CZB121" s="38"/>
      <c r="CZC121" s="38"/>
      <c r="CZI121" s="36"/>
      <c r="CZJ121" s="38"/>
      <c r="CZK121" s="38"/>
      <c r="CZQ121" s="36"/>
      <c r="CZR121" s="38"/>
      <c r="CZS121" s="38"/>
      <c r="CZY121" s="36"/>
      <c r="CZZ121" s="38"/>
      <c r="DAA121" s="38"/>
      <c r="DAG121" s="36"/>
      <c r="DAH121" s="38"/>
      <c r="DAI121" s="38"/>
      <c r="DAO121" s="36"/>
      <c r="DAP121" s="38"/>
      <c r="DAQ121" s="38"/>
      <c r="DAW121" s="36"/>
      <c r="DAX121" s="38"/>
      <c r="DAY121" s="38"/>
      <c r="DBE121" s="36"/>
      <c r="DBF121" s="38"/>
      <c r="DBG121" s="38"/>
      <c r="DBM121" s="36"/>
      <c r="DBN121" s="38"/>
      <c r="DBO121" s="38"/>
      <c r="DBU121" s="36"/>
      <c r="DBV121" s="38"/>
      <c r="DBW121" s="38"/>
      <c r="DCC121" s="36"/>
      <c r="DCD121" s="38"/>
      <c r="DCE121" s="38"/>
      <c r="DCK121" s="36"/>
      <c r="DCL121" s="38"/>
      <c r="DCM121" s="38"/>
      <c r="DCS121" s="36"/>
      <c r="DCT121" s="38"/>
      <c r="DCU121" s="38"/>
      <c r="DDA121" s="36"/>
      <c r="DDB121" s="38"/>
      <c r="DDC121" s="38"/>
      <c r="DDI121" s="36"/>
      <c r="DDJ121" s="38"/>
      <c r="DDK121" s="38"/>
      <c r="DDQ121" s="36"/>
      <c r="DDR121" s="38"/>
      <c r="DDS121" s="38"/>
      <c r="DDY121" s="36"/>
      <c r="DDZ121" s="38"/>
      <c r="DEA121" s="38"/>
      <c r="DEG121" s="36"/>
      <c r="DEH121" s="38"/>
      <c r="DEI121" s="38"/>
      <c r="DEO121" s="36"/>
      <c r="DEP121" s="38"/>
      <c r="DEQ121" s="38"/>
      <c r="DEW121" s="36"/>
      <c r="DEX121" s="38"/>
      <c r="DEY121" s="38"/>
      <c r="DFE121" s="36"/>
      <c r="DFF121" s="38"/>
      <c r="DFG121" s="38"/>
      <c r="DFM121" s="36"/>
      <c r="DFN121" s="38"/>
      <c r="DFO121" s="38"/>
      <c r="DFU121" s="36"/>
      <c r="DFV121" s="38"/>
      <c r="DFW121" s="38"/>
      <c r="DGC121" s="36"/>
      <c r="DGD121" s="38"/>
      <c r="DGE121" s="38"/>
      <c r="DGK121" s="36"/>
      <c r="DGL121" s="38"/>
      <c r="DGM121" s="38"/>
      <c r="DGS121" s="36"/>
      <c r="DGT121" s="38"/>
      <c r="DGU121" s="38"/>
      <c r="DHA121" s="36"/>
      <c r="DHB121" s="38"/>
      <c r="DHC121" s="38"/>
      <c r="DHI121" s="36"/>
      <c r="DHJ121" s="38"/>
      <c r="DHK121" s="38"/>
      <c r="DHQ121" s="36"/>
      <c r="DHR121" s="38"/>
      <c r="DHS121" s="38"/>
      <c r="DHY121" s="36"/>
      <c r="DHZ121" s="38"/>
      <c r="DIA121" s="38"/>
      <c r="DIG121" s="36"/>
      <c r="DIH121" s="38"/>
      <c r="DII121" s="38"/>
      <c r="DIO121" s="36"/>
      <c r="DIP121" s="38"/>
      <c r="DIQ121" s="38"/>
      <c r="DIW121" s="36"/>
      <c r="DIX121" s="38"/>
      <c r="DIY121" s="38"/>
      <c r="DJE121" s="36"/>
      <c r="DJF121" s="38"/>
      <c r="DJG121" s="38"/>
      <c r="DJM121" s="36"/>
      <c r="DJN121" s="38"/>
      <c r="DJO121" s="38"/>
      <c r="DJU121" s="36"/>
      <c r="DJV121" s="38"/>
      <c r="DJW121" s="38"/>
      <c r="DKC121" s="36"/>
      <c r="DKD121" s="38"/>
      <c r="DKE121" s="38"/>
      <c r="DKK121" s="36"/>
      <c r="DKL121" s="38"/>
      <c r="DKM121" s="38"/>
      <c r="DKS121" s="36"/>
      <c r="DKT121" s="38"/>
      <c r="DKU121" s="38"/>
      <c r="DLA121" s="36"/>
      <c r="DLB121" s="38"/>
      <c r="DLC121" s="38"/>
      <c r="DLI121" s="36"/>
      <c r="DLJ121" s="38"/>
      <c r="DLK121" s="38"/>
      <c r="DLQ121" s="36"/>
      <c r="DLR121" s="38"/>
      <c r="DLS121" s="38"/>
      <c r="DLY121" s="36"/>
      <c r="DLZ121" s="38"/>
      <c r="DMA121" s="38"/>
      <c r="DMG121" s="36"/>
      <c r="DMH121" s="38"/>
      <c r="DMI121" s="38"/>
      <c r="DMO121" s="36"/>
      <c r="DMP121" s="38"/>
      <c r="DMQ121" s="38"/>
      <c r="DMW121" s="36"/>
      <c r="DMX121" s="38"/>
      <c r="DMY121" s="38"/>
      <c r="DNE121" s="36"/>
      <c r="DNF121" s="38"/>
      <c r="DNG121" s="38"/>
      <c r="DNM121" s="36"/>
      <c r="DNN121" s="38"/>
      <c r="DNO121" s="38"/>
      <c r="DNU121" s="36"/>
      <c r="DNV121" s="38"/>
      <c r="DNW121" s="38"/>
      <c r="DOC121" s="36"/>
      <c r="DOD121" s="38"/>
      <c r="DOE121" s="38"/>
      <c r="DOK121" s="36"/>
      <c r="DOL121" s="38"/>
      <c r="DOM121" s="38"/>
      <c r="DOS121" s="36"/>
      <c r="DOT121" s="38"/>
      <c r="DOU121" s="38"/>
      <c r="DPA121" s="36"/>
      <c r="DPB121" s="38"/>
      <c r="DPC121" s="38"/>
      <c r="DPI121" s="36"/>
      <c r="DPJ121" s="38"/>
      <c r="DPK121" s="38"/>
      <c r="DPQ121" s="36"/>
      <c r="DPR121" s="38"/>
      <c r="DPS121" s="38"/>
      <c r="DPY121" s="36"/>
      <c r="DPZ121" s="38"/>
      <c r="DQA121" s="38"/>
      <c r="DQG121" s="36"/>
      <c r="DQH121" s="38"/>
      <c r="DQI121" s="38"/>
      <c r="DQO121" s="36"/>
      <c r="DQP121" s="38"/>
      <c r="DQQ121" s="38"/>
      <c r="DQW121" s="36"/>
      <c r="DQX121" s="38"/>
      <c r="DQY121" s="38"/>
      <c r="DRE121" s="36"/>
      <c r="DRF121" s="38"/>
      <c r="DRG121" s="38"/>
      <c r="DRM121" s="36"/>
      <c r="DRN121" s="38"/>
      <c r="DRO121" s="38"/>
      <c r="DRU121" s="36"/>
      <c r="DRV121" s="38"/>
      <c r="DRW121" s="38"/>
      <c r="DSC121" s="36"/>
      <c r="DSD121" s="38"/>
      <c r="DSE121" s="38"/>
      <c r="DSK121" s="36"/>
      <c r="DSL121" s="38"/>
      <c r="DSM121" s="38"/>
      <c r="DSS121" s="36"/>
      <c r="DST121" s="38"/>
      <c r="DSU121" s="38"/>
      <c r="DTA121" s="36"/>
      <c r="DTB121" s="38"/>
      <c r="DTC121" s="38"/>
      <c r="DTI121" s="36"/>
      <c r="DTJ121" s="38"/>
      <c r="DTK121" s="38"/>
      <c r="DTQ121" s="36"/>
      <c r="DTR121" s="38"/>
      <c r="DTS121" s="38"/>
      <c r="DTY121" s="36"/>
      <c r="DTZ121" s="38"/>
      <c r="DUA121" s="38"/>
      <c r="DUG121" s="36"/>
      <c r="DUH121" s="38"/>
      <c r="DUI121" s="38"/>
      <c r="DUO121" s="36"/>
      <c r="DUP121" s="38"/>
      <c r="DUQ121" s="38"/>
      <c r="DUW121" s="36"/>
      <c r="DUX121" s="38"/>
      <c r="DUY121" s="38"/>
      <c r="DVE121" s="36"/>
      <c r="DVF121" s="38"/>
      <c r="DVG121" s="38"/>
      <c r="DVM121" s="36"/>
      <c r="DVN121" s="38"/>
      <c r="DVO121" s="38"/>
      <c r="DVU121" s="36"/>
      <c r="DVV121" s="38"/>
      <c r="DVW121" s="38"/>
      <c r="DWC121" s="36"/>
      <c r="DWD121" s="38"/>
      <c r="DWE121" s="38"/>
      <c r="DWK121" s="36"/>
      <c r="DWL121" s="38"/>
      <c r="DWM121" s="38"/>
      <c r="DWS121" s="36"/>
      <c r="DWT121" s="38"/>
      <c r="DWU121" s="38"/>
      <c r="DXA121" s="36"/>
      <c r="DXB121" s="38"/>
      <c r="DXC121" s="38"/>
      <c r="DXI121" s="36"/>
      <c r="DXJ121" s="38"/>
      <c r="DXK121" s="38"/>
      <c r="DXQ121" s="36"/>
      <c r="DXR121" s="38"/>
      <c r="DXS121" s="38"/>
      <c r="DXY121" s="36"/>
      <c r="DXZ121" s="38"/>
      <c r="DYA121" s="38"/>
      <c r="DYG121" s="36"/>
      <c r="DYH121" s="38"/>
      <c r="DYI121" s="38"/>
      <c r="DYO121" s="36"/>
      <c r="DYP121" s="38"/>
      <c r="DYQ121" s="38"/>
      <c r="DYW121" s="36"/>
      <c r="DYX121" s="38"/>
      <c r="DYY121" s="38"/>
      <c r="DZE121" s="36"/>
      <c r="DZF121" s="38"/>
      <c r="DZG121" s="38"/>
      <c r="DZM121" s="36"/>
      <c r="DZN121" s="38"/>
      <c r="DZO121" s="38"/>
      <c r="DZU121" s="36"/>
      <c r="DZV121" s="38"/>
      <c r="DZW121" s="38"/>
      <c r="EAC121" s="36"/>
      <c r="EAD121" s="38"/>
      <c r="EAE121" s="38"/>
      <c r="EAK121" s="36"/>
      <c r="EAL121" s="38"/>
      <c r="EAM121" s="38"/>
      <c r="EAS121" s="36"/>
      <c r="EAT121" s="38"/>
      <c r="EAU121" s="38"/>
      <c r="EBA121" s="36"/>
      <c r="EBB121" s="38"/>
      <c r="EBC121" s="38"/>
      <c r="EBI121" s="36"/>
      <c r="EBJ121" s="38"/>
      <c r="EBK121" s="38"/>
      <c r="EBQ121" s="36"/>
      <c r="EBR121" s="38"/>
      <c r="EBS121" s="38"/>
      <c r="EBY121" s="36"/>
      <c r="EBZ121" s="38"/>
      <c r="ECA121" s="38"/>
      <c r="ECG121" s="36"/>
      <c r="ECH121" s="38"/>
      <c r="ECI121" s="38"/>
      <c r="ECO121" s="36"/>
      <c r="ECP121" s="38"/>
      <c r="ECQ121" s="38"/>
      <c r="ECW121" s="36"/>
      <c r="ECX121" s="38"/>
      <c r="ECY121" s="38"/>
      <c r="EDE121" s="36"/>
      <c r="EDF121" s="38"/>
      <c r="EDG121" s="38"/>
      <c r="EDM121" s="36"/>
      <c r="EDN121" s="38"/>
      <c r="EDO121" s="38"/>
      <c r="EDU121" s="36"/>
      <c r="EDV121" s="38"/>
      <c r="EDW121" s="38"/>
      <c r="EEC121" s="36"/>
      <c r="EED121" s="38"/>
      <c r="EEE121" s="38"/>
      <c r="EEK121" s="36"/>
      <c r="EEL121" s="38"/>
      <c r="EEM121" s="38"/>
      <c r="EES121" s="36"/>
      <c r="EET121" s="38"/>
      <c r="EEU121" s="38"/>
      <c r="EFA121" s="36"/>
      <c r="EFB121" s="38"/>
      <c r="EFC121" s="38"/>
      <c r="EFI121" s="36"/>
      <c r="EFJ121" s="38"/>
      <c r="EFK121" s="38"/>
      <c r="EFQ121" s="36"/>
      <c r="EFR121" s="38"/>
      <c r="EFS121" s="38"/>
      <c r="EFY121" s="36"/>
      <c r="EFZ121" s="38"/>
      <c r="EGA121" s="38"/>
      <c r="EGG121" s="36"/>
      <c r="EGH121" s="38"/>
      <c r="EGI121" s="38"/>
      <c r="EGO121" s="36"/>
      <c r="EGP121" s="38"/>
      <c r="EGQ121" s="38"/>
      <c r="EGW121" s="36"/>
      <c r="EGX121" s="38"/>
      <c r="EGY121" s="38"/>
      <c r="EHE121" s="36"/>
      <c r="EHF121" s="38"/>
      <c r="EHG121" s="38"/>
      <c r="EHM121" s="36"/>
      <c r="EHN121" s="38"/>
      <c r="EHO121" s="38"/>
      <c r="EHU121" s="36"/>
      <c r="EHV121" s="38"/>
      <c r="EHW121" s="38"/>
      <c r="EIC121" s="36"/>
      <c r="EID121" s="38"/>
      <c r="EIE121" s="38"/>
      <c r="EIK121" s="36"/>
      <c r="EIL121" s="38"/>
      <c r="EIM121" s="38"/>
      <c r="EIS121" s="36"/>
      <c r="EIT121" s="38"/>
      <c r="EIU121" s="38"/>
      <c r="EJA121" s="36"/>
      <c r="EJB121" s="38"/>
      <c r="EJC121" s="38"/>
      <c r="EJI121" s="36"/>
      <c r="EJJ121" s="38"/>
      <c r="EJK121" s="38"/>
      <c r="EJQ121" s="36"/>
      <c r="EJR121" s="38"/>
      <c r="EJS121" s="38"/>
      <c r="EJY121" s="36"/>
      <c r="EJZ121" s="38"/>
      <c r="EKA121" s="38"/>
      <c r="EKG121" s="36"/>
      <c r="EKH121" s="38"/>
      <c r="EKI121" s="38"/>
      <c r="EKO121" s="36"/>
      <c r="EKP121" s="38"/>
      <c r="EKQ121" s="38"/>
      <c r="EKW121" s="36"/>
      <c r="EKX121" s="38"/>
      <c r="EKY121" s="38"/>
      <c r="ELE121" s="36"/>
      <c r="ELF121" s="38"/>
      <c r="ELG121" s="38"/>
      <c r="ELM121" s="36"/>
      <c r="ELN121" s="38"/>
      <c r="ELO121" s="38"/>
      <c r="ELU121" s="36"/>
      <c r="ELV121" s="38"/>
      <c r="ELW121" s="38"/>
      <c r="EMC121" s="36"/>
      <c r="EMD121" s="38"/>
      <c r="EME121" s="38"/>
      <c r="EMK121" s="36"/>
      <c r="EML121" s="38"/>
      <c r="EMM121" s="38"/>
      <c r="EMS121" s="36"/>
      <c r="EMT121" s="38"/>
      <c r="EMU121" s="38"/>
      <c r="ENA121" s="36"/>
      <c r="ENB121" s="38"/>
      <c r="ENC121" s="38"/>
      <c r="ENI121" s="36"/>
      <c r="ENJ121" s="38"/>
      <c r="ENK121" s="38"/>
      <c r="ENQ121" s="36"/>
      <c r="ENR121" s="38"/>
      <c r="ENS121" s="38"/>
      <c r="ENY121" s="36"/>
      <c r="ENZ121" s="38"/>
      <c r="EOA121" s="38"/>
      <c r="EOG121" s="36"/>
      <c r="EOH121" s="38"/>
      <c r="EOI121" s="38"/>
      <c r="EOO121" s="36"/>
      <c r="EOP121" s="38"/>
      <c r="EOQ121" s="38"/>
      <c r="EOW121" s="36"/>
      <c r="EOX121" s="38"/>
      <c r="EOY121" s="38"/>
      <c r="EPE121" s="36"/>
      <c r="EPF121" s="38"/>
      <c r="EPG121" s="38"/>
      <c r="EPM121" s="36"/>
      <c r="EPN121" s="38"/>
      <c r="EPO121" s="38"/>
      <c r="EPU121" s="36"/>
      <c r="EPV121" s="38"/>
      <c r="EPW121" s="38"/>
      <c r="EQC121" s="36"/>
      <c r="EQD121" s="38"/>
      <c r="EQE121" s="38"/>
      <c r="EQK121" s="36"/>
      <c r="EQL121" s="38"/>
      <c r="EQM121" s="38"/>
      <c r="EQS121" s="36"/>
      <c r="EQT121" s="38"/>
      <c r="EQU121" s="38"/>
      <c r="ERA121" s="36"/>
      <c r="ERB121" s="38"/>
      <c r="ERC121" s="38"/>
      <c r="ERI121" s="36"/>
      <c r="ERJ121" s="38"/>
      <c r="ERK121" s="38"/>
      <c r="ERQ121" s="36"/>
      <c r="ERR121" s="38"/>
      <c r="ERS121" s="38"/>
      <c r="ERY121" s="36"/>
      <c r="ERZ121" s="38"/>
      <c r="ESA121" s="38"/>
      <c r="ESG121" s="36"/>
      <c r="ESH121" s="38"/>
      <c r="ESI121" s="38"/>
      <c r="ESO121" s="36"/>
      <c r="ESP121" s="38"/>
      <c r="ESQ121" s="38"/>
      <c r="ESW121" s="36"/>
      <c r="ESX121" s="38"/>
      <c r="ESY121" s="38"/>
      <c r="ETE121" s="36"/>
      <c r="ETF121" s="38"/>
      <c r="ETG121" s="38"/>
      <c r="ETM121" s="36"/>
      <c r="ETN121" s="38"/>
      <c r="ETO121" s="38"/>
      <c r="ETU121" s="36"/>
      <c r="ETV121" s="38"/>
      <c r="ETW121" s="38"/>
      <c r="EUC121" s="36"/>
      <c r="EUD121" s="38"/>
      <c r="EUE121" s="38"/>
      <c r="EUK121" s="36"/>
      <c r="EUL121" s="38"/>
      <c r="EUM121" s="38"/>
      <c r="EUS121" s="36"/>
      <c r="EUT121" s="38"/>
      <c r="EUU121" s="38"/>
      <c r="EVA121" s="36"/>
      <c r="EVB121" s="38"/>
      <c r="EVC121" s="38"/>
      <c r="EVI121" s="36"/>
      <c r="EVJ121" s="38"/>
      <c r="EVK121" s="38"/>
      <c r="EVQ121" s="36"/>
      <c r="EVR121" s="38"/>
      <c r="EVS121" s="38"/>
      <c r="EVY121" s="36"/>
      <c r="EVZ121" s="38"/>
      <c r="EWA121" s="38"/>
      <c r="EWG121" s="36"/>
      <c r="EWH121" s="38"/>
      <c r="EWI121" s="38"/>
      <c r="EWO121" s="36"/>
      <c r="EWP121" s="38"/>
      <c r="EWQ121" s="38"/>
      <c r="EWW121" s="36"/>
      <c r="EWX121" s="38"/>
      <c r="EWY121" s="38"/>
      <c r="EXE121" s="36"/>
      <c r="EXF121" s="38"/>
      <c r="EXG121" s="38"/>
      <c r="EXM121" s="36"/>
      <c r="EXN121" s="38"/>
      <c r="EXO121" s="38"/>
      <c r="EXU121" s="36"/>
      <c r="EXV121" s="38"/>
      <c r="EXW121" s="38"/>
      <c r="EYC121" s="36"/>
      <c r="EYD121" s="38"/>
      <c r="EYE121" s="38"/>
      <c r="EYK121" s="36"/>
      <c r="EYL121" s="38"/>
      <c r="EYM121" s="38"/>
      <c r="EYS121" s="36"/>
      <c r="EYT121" s="38"/>
      <c r="EYU121" s="38"/>
      <c r="EZA121" s="36"/>
      <c r="EZB121" s="38"/>
      <c r="EZC121" s="38"/>
      <c r="EZI121" s="36"/>
      <c r="EZJ121" s="38"/>
      <c r="EZK121" s="38"/>
      <c r="EZQ121" s="36"/>
      <c r="EZR121" s="38"/>
      <c r="EZS121" s="38"/>
      <c r="EZY121" s="36"/>
      <c r="EZZ121" s="38"/>
      <c r="FAA121" s="38"/>
      <c r="FAG121" s="36"/>
      <c r="FAH121" s="38"/>
      <c r="FAI121" s="38"/>
      <c r="FAO121" s="36"/>
      <c r="FAP121" s="38"/>
      <c r="FAQ121" s="38"/>
      <c r="FAW121" s="36"/>
      <c r="FAX121" s="38"/>
      <c r="FAY121" s="38"/>
      <c r="FBE121" s="36"/>
      <c r="FBF121" s="38"/>
      <c r="FBG121" s="38"/>
      <c r="FBM121" s="36"/>
      <c r="FBN121" s="38"/>
      <c r="FBO121" s="38"/>
      <c r="FBU121" s="36"/>
      <c r="FBV121" s="38"/>
      <c r="FBW121" s="38"/>
      <c r="FCC121" s="36"/>
      <c r="FCD121" s="38"/>
      <c r="FCE121" s="38"/>
      <c r="FCK121" s="36"/>
      <c r="FCL121" s="38"/>
      <c r="FCM121" s="38"/>
      <c r="FCS121" s="36"/>
      <c r="FCT121" s="38"/>
      <c r="FCU121" s="38"/>
      <c r="FDA121" s="36"/>
      <c r="FDB121" s="38"/>
      <c r="FDC121" s="38"/>
      <c r="FDI121" s="36"/>
      <c r="FDJ121" s="38"/>
      <c r="FDK121" s="38"/>
      <c r="FDQ121" s="36"/>
      <c r="FDR121" s="38"/>
      <c r="FDS121" s="38"/>
      <c r="FDY121" s="36"/>
      <c r="FDZ121" s="38"/>
      <c r="FEA121" s="38"/>
      <c r="FEG121" s="36"/>
      <c r="FEH121" s="38"/>
      <c r="FEI121" s="38"/>
      <c r="FEO121" s="36"/>
      <c r="FEP121" s="38"/>
      <c r="FEQ121" s="38"/>
      <c r="FEW121" s="36"/>
      <c r="FEX121" s="38"/>
      <c r="FEY121" s="38"/>
      <c r="FFE121" s="36"/>
      <c r="FFF121" s="38"/>
      <c r="FFG121" s="38"/>
      <c r="FFM121" s="36"/>
      <c r="FFN121" s="38"/>
      <c r="FFO121" s="38"/>
      <c r="FFU121" s="36"/>
      <c r="FFV121" s="38"/>
      <c r="FFW121" s="38"/>
      <c r="FGC121" s="36"/>
      <c r="FGD121" s="38"/>
      <c r="FGE121" s="38"/>
      <c r="FGK121" s="36"/>
      <c r="FGL121" s="38"/>
      <c r="FGM121" s="38"/>
      <c r="FGS121" s="36"/>
      <c r="FGT121" s="38"/>
      <c r="FGU121" s="38"/>
      <c r="FHA121" s="36"/>
      <c r="FHB121" s="38"/>
      <c r="FHC121" s="38"/>
      <c r="FHI121" s="36"/>
      <c r="FHJ121" s="38"/>
      <c r="FHK121" s="38"/>
      <c r="FHQ121" s="36"/>
      <c r="FHR121" s="38"/>
      <c r="FHS121" s="38"/>
      <c r="FHY121" s="36"/>
      <c r="FHZ121" s="38"/>
      <c r="FIA121" s="38"/>
      <c r="FIG121" s="36"/>
      <c r="FIH121" s="38"/>
      <c r="FII121" s="38"/>
      <c r="FIO121" s="36"/>
      <c r="FIP121" s="38"/>
      <c r="FIQ121" s="38"/>
      <c r="FIW121" s="36"/>
      <c r="FIX121" s="38"/>
      <c r="FIY121" s="38"/>
      <c r="FJE121" s="36"/>
      <c r="FJF121" s="38"/>
      <c r="FJG121" s="38"/>
      <c r="FJM121" s="36"/>
      <c r="FJN121" s="38"/>
      <c r="FJO121" s="38"/>
      <c r="FJU121" s="36"/>
      <c r="FJV121" s="38"/>
      <c r="FJW121" s="38"/>
      <c r="FKC121" s="36"/>
      <c r="FKD121" s="38"/>
      <c r="FKE121" s="38"/>
      <c r="FKK121" s="36"/>
      <c r="FKL121" s="38"/>
      <c r="FKM121" s="38"/>
      <c r="FKS121" s="36"/>
      <c r="FKT121" s="38"/>
      <c r="FKU121" s="38"/>
      <c r="FLA121" s="36"/>
      <c r="FLB121" s="38"/>
      <c r="FLC121" s="38"/>
      <c r="FLI121" s="36"/>
      <c r="FLJ121" s="38"/>
      <c r="FLK121" s="38"/>
      <c r="FLQ121" s="36"/>
      <c r="FLR121" s="38"/>
      <c r="FLS121" s="38"/>
      <c r="FLY121" s="36"/>
      <c r="FLZ121" s="38"/>
      <c r="FMA121" s="38"/>
      <c r="FMG121" s="36"/>
      <c r="FMH121" s="38"/>
      <c r="FMI121" s="38"/>
      <c r="FMO121" s="36"/>
      <c r="FMP121" s="38"/>
      <c r="FMQ121" s="38"/>
      <c r="FMW121" s="36"/>
      <c r="FMX121" s="38"/>
      <c r="FMY121" s="38"/>
      <c r="FNE121" s="36"/>
      <c r="FNF121" s="38"/>
      <c r="FNG121" s="38"/>
      <c r="FNM121" s="36"/>
      <c r="FNN121" s="38"/>
      <c r="FNO121" s="38"/>
      <c r="FNU121" s="36"/>
      <c r="FNV121" s="38"/>
      <c r="FNW121" s="38"/>
      <c r="FOC121" s="36"/>
      <c r="FOD121" s="38"/>
      <c r="FOE121" s="38"/>
      <c r="FOK121" s="36"/>
      <c r="FOL121" s="38"/>
      <c r="FOM121" s="38"/>
      <c r="FOS121" s="36"/>
      <c r="FOT121" s="38"/>
      <c r="FOU121" s="38"/>
      <c r="FPA121" s="36"/>
      <c r="FPB121" s="38"/>
      <c r="FPC121" s="38"/>
      <c r="FPI121" s="36"/>
      <c r="FPJ121" s="38"/>
      <c r="FPK121" s="38"/>
      <c r="FPQ121" s="36"/>
      <c r="FPR121" s="38"/>
      <c r="FPS121" s="38"/>
      <c r="FPY121" s="36"/>
      <c r="FPZ121" s="38"/>
      <c r="FQA121" s="38"/>
      <c r="FQG121" s="36"/>
      <c r="FQH121" s="38"/>
      <c r="FQI121" s="38"/>
      <c r="FQO121" s="36"/>
      <c r="FQP121" s="38"/>
      <c r="FQQ121" s="38"/>
      <c r="FQW121" s="36"/>
      <c r="FQX121" s="38"/>
      <c r="FQY121" s="38"/>
      <c r="FRE121" s="36"/>
      <c r="FRF121" s="38"/>
      <c r="FRG121" s="38"/>
      <c r="FRM121" s="36"/>
      <c r="FRN121" s="38"/>
      <c r="FRO121" s="38"/>
      <c r="FRU121" s="36"/>
      <c r="FRV121" s="38"/>
      <c r="FRW121" s="38"/>
      <c r="FSC121" s="36"/>
      <c r="FSD121" s="38"/>
      <c r="FSE121" s="38"/>
      <c r="FSK121" s="36"/>
      <c r="FSL121" s="38"/>
      <c r="FSM121" s="38"/>
      <c r="FSS121" s="36"/>
      <c r="FST121" s="38"/>
      <c r="FSU121" s="38"/>
      <c r="FTA121" s="36"/>
      <c r="FTB121" s="38"/>
      <c r="FTC121" s="38"/>
      <c r="FTI121" s="36"/>
      <c r="FTJ121" s="38"/>
      <c r="FTK121" s="38"/>
      <c r="FTQ121" s="36"/>
      <c r="FTR121" s="38"/>
      <c r="FTS121" s="38"/>
      <c r="FTY121" s="36"/>
      <c r="FTZ121" s="38"/>
      <c r="FUA121" s="38"/>
      <c r="FUG121" s="36"/>
      <c r="FUH121" s="38"/>
      <c r="FUI121" s="38"/>
      <c r="FUO121" s="36"/>
      <c r="FUP121" s="38"/>
      <c r="FUQ121" s="38"/>
      <c r="FUW121" s="36"/>
      <c r="FUX121" s="38"/>
      <c r="FUY121" s="38"/>
      <c r="FVE121" s="36"/>
      <c r="FVF121" s="38"/>
      <c r="FVG121" s="38"/>
      <c r="FVM121" s="36"/>
      <c r="FVN121" s="38"/>
      <c r="FVO121" s="38"/>
      <c r="FVU121" s="36"/>
      <c r="FVV121" s="38"/>
      <c r="FVW121" s="38"/>
      <c r="FWC121" s="36"/>
      <c r="FWD121" s="38"/>
      <c r="FWE121" s="38"/>
      <c r="FWK121" s="36"/>
      <c r="FWL121" s="38"/>
      <c r="FWM121" s="38"/>
      <c r="FWS121" s="36"/>
      <c r="FWT121" s="38"/>
      <c r="FWU121" s="38"/>
      <c r="FXA121" s="36"/>
      <c r="FXB121" s="38"/>
      <c r="FXC121" s="38"/>
      <c r="FXI121" s="36"/>
      <c r="FXJ121" s="38"/>
      <c r="FXK121" s="38"/>
      <c r="FXQ121" s="36"/>
      <c r="FXR121" s="38"/>
      <c r="FXS121" s="38"/>
      <c r="FXY121" s="36"/>
      <c r="FXZ121" s="38"/>
      <c r="FYA121" s="38"/>
      <c r="FYG121" s="36"/>
      <c r="FYH121" s="38"/>
      <c r="FYI121" s="38"/>
      <c r="FYO121" s="36"/>
      <c r="FYP121" s="38"/>
      <c r="FYQ121" s="38"/>
      <c r="FYW121" s="36"/>
      <c r="FYX121" s="38"/>
      <c r="FYY121" s="38"/>
      <c r="FZE121" s="36"/>
      <c r="FZF121" s="38"/>
      <c r="FZG121" s="38"/>
      <c r="FZM121" s="36"/>
      <c r="FZN121" s="38"/>
      <c r="FZO121" s="38"/>
      <c r="FZU121" s="36"/>
      <c r="FZV121" s="38"/>
      <c r="FZW121" s="38"/>
      <c r="GAC121" s="36"/>
      <c r="GAD121" s="38"/>
      <c r="GAE121" s="38"/>
      <c r="GAK121" s="36"/>
      <c r="GAL121" s="38"/>
      <c r="GAM121" s="38"/>
      <c r="GAS121" s="36"/>
      <c r="GAT121" s="38"/>
      <c r="GAU121" s="38"/>
      <c r="GBA121" s="36"/>
      <c r="GBB121" s="38"/>
      <c r="GBC121" s="38"/>
      <c r="GBI121" s="36"/>
      <c r="GBJ121" s="38"/>
      <c r="GBK121" s="38"/>
      <c r="GBQ121" s="36"/>
      <c r="GBR121" s="38"/>
      <c r="GBS121" s="38"/>
      <c r="GBY121" s="36"/>
      <c r="GBZ121" s="38"/>
      <c r="GCA121" s="38"/>
      <c r="GCG121" s="36"/>
      <c r="GCH121" s="38"/>
      <c r="GCI121" s="38"/>
      <c r="GCO121" s="36"/>
      <c r="GCP121" s="38"/>
      <c r="GCQ121" s="38"/>
      <c r="GCW121" s="36"/>
      <c r="GCX121" s="38"/>
      <c r="GCY121" s="38"/>
      <c r="GDE121" s="36"/>
      <c r="GDF121" s="38"/>
      <c r="GDG121" s="38"/>
      <c r="GDM121" s="36"/>
      <c r="GDN121" s="38"/>
      <c r="GDO121" s="38"/>
      <c r="GDU121" s="36"/>
      <c r="GDV121" s="38"/>
      <c r="GDW121" s="38"/>
      <c r="GEC121" s="36"/>
      <c r="GED121" s="38"/>
      <c r="GEE121" s="38"/>
      <c r="GEK121" s="36"/>
      <c r="GEL121" s="38"/>
      <c r="GEM121" s="38"/>
      <c r="GES121" s="36"/>
      <c r="GET121" s="38"/>
      <c r="GEU121" s="38"/>
      <c r="GFA121" s="36"/>
      <c r="GFB121" s="38"/>
      <c r="GFC121" s="38"/>
      <c r="GFI121" s="36"/>
      <c r="GFJ121" s="38"/>
      <c r="GFK121" s="38"/>
      <c r="GFQ121" s="36"/>
      <c r="GFR121" s="38"/>
      <c r="GFS121" s="38"/>
      <c r="GFY121" s="36"/>
      <c r="GFZ121" s="38"/>
      <c r="GGA121" s="38"/>
      <c r="GGG121" s="36"/>
      <c r="GGH121" s="38"/>
      <c r="GGI121" s="38"/>
      <c r="GGO121" s="36"/>
      <c r="GGP121" s="38"/>
      <c r="GGQ121" s="38"/>
      <c r="GGW121" s="36"/>
      <c r="GGX121" s="38"/>
      <c r="GGY121" s="38"/>
      <c r="GHE121" s="36"/>
      <c r="GHF121" s="38"/>
      <c r="GHG121" s="38"/>
      <c r="GHM121" s="36"/>
      <c r="GHN121" s="38"/>
      <c r="GHO121" s="38"/>
      <c r="GHU121" s="36"/>
      <c r="GHV121" s="38"/>
      <c r="GHW121" s="38"/>
      <c r="GIC121" s="36"/>
      <c r="GID121" s="38"/>
      <c r="GIE121" s="38"/>
      <c r="GIK121" s="36"/>
      <c r="GIL121" s="38"/>
      <c r="GIM121" s="38"/>
      <c r="GIS121" s="36"/>
      <c r="GIT121" s="38"/>
      <c r="GIU121" s="38"/>
      <c r="GJA121" s="36"/>
      <c r="GJB121" s="38"/>
      <c r="GJC121" s="38"/>
      <c r="GJI121" s="36"/>
      <c r="GJJ121" s="38"/>
      <c r="GJK121" s="38"/>
      <c r="GJQ121" s="36"/>
      <c r="GJR121" s="38"/>
      <c r="GJS121" s="38"/>
      <c r="GJY121" s="36"/>
      <c r="GJZ121" s="38"/>
      <c r="GKA121" s="38"/>
      <c r="GKG121" s="36"/>
      <c r="GKH121" s="38"/>
      <c r="GKI121" s="38"/>
      <c r="GKO121" s="36"/>
      <c r="GKP121" s="38"/>
      <c r="GKQ121" s="38"/>
      <c r="GKW121" s="36"/>
      <c r="GKX121" s="38"/>
      <c r="GKY121" s="38"/>
      <c r="GLE121" s="36"/>
      <c r="GLF121" s="38"/>
      <c r="GLG121" s="38"/>
      <c r="GLM121" s="36"/>
      <c r="GLN121" s="38"/>
      <c r="GLO121" s="38"/>
      <c r="GLU121" s="36"/>
      <c r="GLV121" s="38"/>
      <c r="GLW121" s="38"/>
      <c r="GMC121" s="36"/>
      <c r="GMD121" s="38"/>
      <c r="GME121" s="38"/>
      <c r="GMK121" s="36"/>
      <c r="GML121" s="38"/>
      <c r="GMM121" s="38"/>
      <c r="GMS121" s="36"/>
      <c r="GMT121" s="38"/>
      <c r="GMU121" s="38"/>
      <c r="GNA121" s="36"/>
      <c r="GNB121" s="38"/>
      <c r="GNC121" s="38"/>
      <c r="GNI121" s="36"/>
      <c r="GNJ121" s="38"/>
      <c r="GNK121" s="38"/>
      <c r="GNQ121" s="36"/>
      <c r="GNR121" s="38"/>
      <c r="GNS121" s="38"/>
      <c r="GNY121" s="36"/>
      <c r="GNZ121" s="38"/>
      <c r="GOA121" s="38"/>
      <c r="GOG121" s="36"/>
      <c r="GOH121" s="38"/>
      <c r="GOI121" s="38"/>
      <c r="GOO121" s="36"/>
      <c r="GOP121" s="38"/>
      <c r="GOQ121" s="38"/>
      <c r="GOW121" s="36"/>
      <c r="GOX121" s="38"/>
      <c r="GOY121" s="38"/>
      <c r="GPE121" s="36"/>
      <c r="GPF121" s="38"/>
      <c r="GPG121" s="38"/>
      <c r="GPM121" s="36"/>
      <c r="GPN121" s="38"/>
      <c r="GPO121" s="38"/>
      <c r="GPU121" s="36"/>
      <c r="GPV121" s="38"/>
      <c r="GPW121" s="38"/>
      <c r="GQC121" s="36"/>
      <c r="GQD121" s="38"/>
      <c r="GQE121" s="38"/>
      <c r="GQK121" s="36"/>
      <c r="GQL121" s="38"/>
      <c r="GQM121" s="38"/>
      <c r="GQS121" s="36"/>
      <c r="GQT121" s="38"/>
      <c r="GQU121" s="38"/>
      <c r="GRA121" s="36"/>
      <c r="GRB121" s="38"/>
      <c r="GRC121" s="38"/>
      <c r="GRI121" s="36"/>
      <c r="GRJ121" s="38"/>
      <c r="GRK121" s="38"/>
      <c r="GRQ121" s="36"/>
      <c r="GRR121" s="38"/>
      <c r="GRS121" s="38"/>
      <c r="GRY121" s="36"/>
      <c r="GRZ121" s="38"/>
      <c r="GSA121" s="38"/>
      <c r="GSG121" s="36"/>
      <c r="GSH121" s="38"/>
      <c r="GSI121" s="38"/>
      <c r="GSO121" s="36"/>
      <c r="GSP121" s="38"/>
      <c r="GSQ121" s="38"/>
      <c r="GSW121" s="36"/>
      <c r="GSX121" s="38"/>
      <c r="GSY121" s="38"/>
      <c r="GTE121" s="36"/>
      <c r="GTF121" s="38"/>
      <c r="GTG121" s="38"/>
      <c r="GTM121" s="36"/>
      <c r="GTN121" s="38"/>
      <c r="GTO121" s="38"/>
      <c r="GTU121" s="36"/>
      <c r="GTV121" s="38"/>
      <c r="GTW121" s="38"/>
      <c r="GUC121" s="36"/>
      <c r="GUD121" s="38"/>
      <c r="GUE121" s="38"/>
      <c r="GUK121" s="36"/>
      <c r="GUL121" s="38"/>
      <c r="GUM121" s="38"/>
      <c r="GUS121" s="36"/>
      <c r="GUT121" s="38"/>
      <c r="GUU121" s="38"/>
      <c r="GVA121" s="36"/>
      <c r="GVB121" s="38"/>
      <c r="GVC121" s="38"/>
      <c r="GVI121" s="36"/>
      <c r="GVJ121" s="38"/>
      <c r="GVK121" s="38"/>
      <c r="GVQ121" s="36"/>
      <c r="GVR121" s="38"/>
      <c r="GVS121" s="38"/>
      <c r="GVY121" s="36"/>
      <c r="GVZ121" s="38"/>
      <c r="GWA121" s="38"/>
      <c r="GWG121" s="36"/>
      <c r="GWH121" s="38"/>
      <c r="GWI121" s="38"/>
      <c r="GWO121" s="36"/>
      <c r="GWP121" s="38"/>
      <c r="GWQ121" s="38"/>
      <c r="GWW121" s="36"/>
      <c r="GWX121" s="38"/>
      <c r="GWY121" s="38"/>
      <c r="GXE121" s="36"/>
      <c r="GXF121" s="38"/>
      <c r="GXG121" s="38"/>
      <c r="GXM121" s="36"/>
      <c r="GXN121" s="38"/>
      <c r="GXO121" s="38"/>
      <c r="GXU121" s="36"/>
      <c r="GXV121" s="38"/>
      <c r="GXW121" s="38"/>
      <c r="GYC121" s="36"/>
      <c r="GYD121" s="38"/>
      <c r="GYE121" s="38"/>
      <c r="GYK121" s="36"/>
      <c r="GYL121" s="38"/>
      <c r="GYM121" s="38"/>
      <c r="GYS121" s="36"/>
      <c r="GYT121" s="38"/>
      <c r="GYU121" s="38"/>
      <c r="GZA121" s="36"/>
      <c r="GZB121" s="38"/>
      <c r="GZC121" s="38"/>
      <c r="GZI121" s="36"/>
      <c r="GZJ121" s="38"/>
      <c r="GZK121" s="38"/>
      <c r="GZQ121" s="36"/>
      <c r="GZR121" s="38"/>
      <c r="GZS121" s="38"/>
      <c r="GZY121" s="36"/>
      <c r="GZZ121" s="38"/>
      <c r="HAA121" s="38"/>
      <c r="HAG121" s="36"/>
      <c r="HAH121" s="38"/>
      <c r="HAI121" s="38"/>
      <c r="HAO121" s="36"/>
      <c r="HAP121" s="38"/>
      <c r="HAQ121" s="38"/>
      <c r="HAW121" s="36"/>
      <c r="HAX121" s="38"/>
      <c r="HAY121" s="38"/>
      <c r="HBE121" s="36"/>
      <c r="HBF121" s="38"/>
      <c r="HBG121" s="38"/>
      <c r="HBM121" s="36"/>
      <c r="HBN121" s="38"/>
      <c r="HBO121" s="38"/>
      <c r="HBU121" s="36"/>
      <c r="HBV121" s="38"/>
      <c r="HBW121" s="38"/>
      <c r="HCC121" s="36"/>
      <c r="HCD121" s="38"/>
      <c r="HCE121" s="38"/>
      <c r="HCK121" s="36"/>
      <c r="HCL121" s="38"/>
      <c r="HCM121" s="38"/>
      <c r="HCS121" s="36"/>
      <c r="HCT121" s="38"/>
      <c r="HCU121" s="38"/>
      <c r="HDA121" s="36"/>
      <c r="HDB121" s="38"/>
      <c r="HDC121" s="38"/>
      <c r="HDI121" s="36"/>
      <c r="HDJ121" s="38"/>
      <c r="HDK121" s="38"/>
      <c r="HDQ121" s="36"/>
      <c r="HDR121" s="38"/>
      <c r="HDS121" s="38"/>
      <c r="HDY121" s="36"/>
      <c r="HDZ121" s="38"/>
      <c r="HEA121" s="38"/>
      <c r="HEG121" s="36"/>
      <c r="HEH121" s="38"/>
      <c r="HEI121" s="38"/>
      <c r="HEO121" s="36"/>
      <c r="HEP121" s="38"/>
      <c r="HEQ121" s="38"/>
      <c r="HEW121" s="36"/>
      <c r="HEX121" s="38"/>
      <c r="HEY121" s="38"/>
      <c r="HFE121" s="36"/>
      <c r="HFF121" s="38"/>
      <c r="HFG121" s="38"/>
      <c r="HFM121" s="36"/>
      <c r="HFN121" s="38"/>
      <c r="HFO121" s="38"/>
      <c r="HFU121" s="36"/>
      <c r="HFV121" s="38"/>
      <c r="HFW121" s="38"/>
      <c r="HGC121" s="36"/>
      <c r="HGD121" s="38"/>
      <c r="HGE121" s="38"/>
      <c r="HGK121" s="36"/>
      <c r="HGL121" s="38"/>
      <c r="HGM121" s="38"/>
      <c r="HGS121" s="36"/>
      <c r="HGT121" s="38"/>
      <c r="HGU121" s="38"/>
      <c r="HHA121" s="36"/>
      <c r="HHB121" s="38"/>
      <c r="HHC121" s="38"/>
      <c r="HHI121" s="36"/>
      <c r="HHJ121" s="38"/>
      <c r="HHK121" s="38"/>
      <c r="HHQ121" s="36"/>
      <c r="HHR121" s="38"/>
      <c r="HHS121" s="38"/>
      <c r="HHY121" s="36"/>
      <c r="HHZ121" s="38"/>
      <c r="HIA121" s="38"/>
      <c r="HIG121" s="36"/>
      <c r="HIH121" s="38"/>
      <c r="HII121" s="38"/>
      <c r="HIO121" s="36"/>
      <c r="HIP121" s="38"/>
      <c r="HIQ121" s="38"/>
      <c r="HIW121" s="36"/>
      <c r="HIX121" s="38"/>
      <c r="HIY121" s="38"/>
      <c r="HJE121" s="36"/>
      <c r="HJF121" s="38"/>
      <c r="HJG121" s="38"/>
      <c r="HJM121" s="36"/>
      <c r="HJN121" s="38"/>
      <c r="HJO121" s="38"/>
      <c r="HJU121" s="36"/>
      <c r="HJV121" s="38"/>
      <c r="HJW121" s="38"/>
      <c r="HKC121" s="36"/>
      <c r="HKD121" s="38"/>
      <c r="HKE121" s="38"/>
      <c r="HKK121" s="36"/>
      <c r="HKL121" s="38"/>
      <c r="HKM121" s="38"/>
      <c r="HKS121" s="36"/>
      <c r="HKT121" s="38"/>
      <c r="HKU121" s="38"/>
      <c r="HLA121" s="36"/>
      <c r="HLB121" s="38"/>
      <c r="HLC121" s="38"/>
      <c r="HLI121" s="36"/>
      <c r="HLJ121" s="38"/>
      <c r="HLK121" s="38"/>
      <c r="HLQ121" s="36"/>
      <c r="HLR121" s="38"/>
      <c r="HLS121" s="38"/>
      <c r="HLY121" s="36"/>
      <c r="HLZ121" s="38"/>
      <c r="HMA121" s="38"/>
      <c r="HMG121" s="36"/>
      <c r="HMH121" s="38"/>
      <c r="HMI121" s="38"/>
      <c r="HMO121" s="36"/>
      <c r="HMP121" s="38"/>
      <c r="HMQ121" s="38"/>
      <c r="HMW121" s="36"/>
      <c r="HMX121" s="38"/>
      <c r="HMY121" s="38"/>
      <c r="HNE121" s="36"/>
      <c r="HNF121" s="38"/>
      <c r="HNG121" s="38"/>
      <c r="HNM121" s="36"/>
      <c r="HNN121" s="38"/>
      <c r="HNO121" s="38"/>
      <c r="HNU121" s="36"/>
      <c r="HNV121" s="38"/>
      <c r="HNW121" s="38"/>
      <c r="HOC121" s="36"/>
      <c r="HOD121" s="38"/>
      <c r="HOE121" s="38"/>
      <c r="HOK121" s="36"/>
      <c r="HOL121" s="38"/>
      <c r="HOM121" s="38"/>
      <c r="HOS121" s="36"/>
      <c r="HOT121" s="38"/>
      <c r="HOU121" s="38"/>
      <c r="HPA121" s="36"/>
      <c r="HPB121" s="38"/>
      <c r="HPC121" s="38"/>
      <c r="HPI121" s="36"/>
      <c r="HPJ121" s="38"/>
      <c r="HPK121" s="38"/>
      <c r="HPQ121" s="36"/>
      <c r="HPR121" s="38"/>
      <c r="HPS121" s="38"/>
      <c r="HPY121" s="36"/>
      <c r="HPZ121" s="38"/>
      <c r="HQA121" s="38"/>
      <c r="HQG121" s="36"/>
      <c r="HQH121" s="38"/>
      <c r="HQI121" s="38"/>
      <c r="HQO121" s="36"/>
      <c r="HQP121" s="38"/>
      <c r="HQQ121" s="38"/>
      <c r="HQW121" s="36"/>
      <c r="HQX121" s="38"/>
      <c r="HQY121" s="38"/>
      <c r="HRE121" s="36"/>
      <c r="HRF121" s="38"/>
      <c r="HRG121" s="38"/>
      <c r="HRM121" s="36"/>
      <c r="HRN121" s="38"/>
      <c r="HRO121" s="38"/>
      <c r="HRU121" s="36"/>
      <c r="HRV121" s="38"/>
      <c r="HRW121" s="38"/>
      <c r="HSC121" s="36"/>
      <c r="HSD121" s="38"/>
      <c r="HSE121" s="38"/>
      <c r="HSK121" s="36"/>
      <c r="HSL121" s="38"/>
      <c r="HSM121" s="38"/>
      <c r="HSS121" s="36"/>
      <c r="HST121" s="38"/>
      <c r="HSU121" s="38"/>
      <c r="HTA121" s="36"/>
      <c r="HTB121" s="38"/>
      <c r="HTC121" s="38"/>
      <c r="HTI121" s="36"/>
      <c r="HTJ121" s="38"/>
      <c r="HTK121" s="38"/>
      <c r="HTQ121" s="36"/>
      <c r="HTR121" s="38"/>
      <c r="HTS121" s="38"/>
      <c r="HTY121" s="36"/>
      <c r="HTZ121" s="38"/>
      <c r="HUA121" s="38"/>
      <c r="HUG121" s="36"/>
      <c r="HUH121" s="38"/>
      <c r="HUI121" s="38"/>
      <c r="HUO121" s="36"/>
      <c r="HUP121" s="38"/>
      <c r="HUQ121" s="38"/>
      <c r="HUW121" s="36"/>
      <c r="HUX121" s="38"/>
      <c r="HUY121" s="38"/>
      <c r="HVE121" s="36"/>
      <c r="HVF121" s="38"/>
      <c r="HVG121" s="38"/>
      <c r="HVM121" s="36"/>
      <c r="HVN121" s="38"/>
      <c r="HVO121" s="38"/>
      <c r="HVU121" s="36"/>
      <c r="HVV121" s="38"/>
      <c r="HVW121" s="38"/>
      <c r="HWC121" s="36"/>
      <c r="HWD121" s="38"/>
      <c r="HWE121" s="38"/>
      <c r="HWK121" s="36"/>
      <c r="HWL121" s="38"/>
      <c r="HWM121" s="38"/>
      <c r="HWS121" s="36"/>
      <c r="HWT121" s="38"/>
      <c r="HWU121" s="38"/>
      <c r="HXA121" s="36"/>
      <c r="HXB121" s="38"/>
      <c r="HXC121" s="38"/>
      <c r="HXI121" s="36"/>
      <c r="HXJ121" s="38"/>
      <c r="HXK121" s="38"/>
      <c r="HXQ121" s="36"/>
      <c r="HXR121" s="38"/>
      <c r="HXS121" s="38"/>
      <c r="HXY121" s="36"/>
      <c r="HXZ121" s="38"/>
      <c r="HYA121" s="38"/>
      <c r="HYG121" s="36"/>
      <c r="HYH121" s="38"/>
      <c r="HYI121" s="38"/>
      <c r="HYO121" s="36"/>
      <c r="HYP121" s="38"/>
      <c r="HYQ121" s="38"/>
      <c r="HYW121" s="36"/>
      <c r="HYX121" s="38"/>
      <c r="HYY121" s="38"/>
      <c r="HZE121" s="36"/>
      <c r="HZF121" s="38"/>
      <c r="HZG121" s="38"/>
      <c r="HZM121" s="36"/>
      <c r="HZN121" s="38"/>
      <c r="HZO121" s="38"/>
      <c r="HZU121" s="36"/>
      <c r="HZV121" s="38"/>
      <c r="HZW121" s="38"/>
      <c r="IAC121" s="36"/>
      <c r="IAD121" s="38"/>
      <c r="IAE121" s="38"/>
      <c r="IAK121" s="36"/>
      <c r="IAL121" s="38"/>
      <c r="IAM121" s="38"/>
      <c r="IAS121" s="36"/>
      <c r="IAT121" s="38"/>
      <c r="IAU121" s="38"/>
      <c r="IBA121" s="36"/>
      <c r="IBB121" s="38"/>
      <c r="IBC121" s="38"/>
      <c r="IBI121" s="36"/>
      <c r="IBJ121" s="38"/>
      <c r="IBK121" s="38"/>
      <c r="IBQ121" s="36"/>
      <c r="IBR121" s="38"/>
      <c r="IBS121" s="38"/>
      <c r="IBY121" s="36"/>
      <c r="IBZ121" s="38"/>
      <c r="ICA121" s="38"/>
      <c r="ICG121" s="36"/>
      <c r="ICH121" s="38"/>
      <c r="ICI121" s="38"/>
      <c r="ICO121" s="36"/>
      <c r="ICP121" s="38"/>
      <c r="ICQ121" s="38"/>
      <c r="ICW121" s="36"/>
      <c r="ICX121" s="38"/>
      <c r="ICY121" s="38"/>
      <c r="IDE121" s="36"/>
      <c r="IDF121" s="38"/>
      <c r="IDG121" s="38"/>
      <c r="IDM121" s="36"/>
      <c r="IDN121" s="38"/>
      <c r="IDO121" s="38"/>
      <c r="IDU121" s="36"/>
      <c r="IDV121" s="38"/>
      <c r="IDW121" s="38"/>
      <c r="IEC121" s="36"/>
      <c r="IED121" s="38"/>
      <c r="IEE121" s="38"/>
      <c r="IEK121" s="36"/>
      <c r="IEL121" s="38"/>
      <c r="IEM121" s="38"/>
      <c r="IES121" s="36"/>
      <c r="IET121" s="38"/>
      <c r="IEU121" s="38"/>
      <c r="IFA121" s="36"/>
      <c r="IFB121" s="38"/>
      <c r="IFC121" s="38"/>
      <c r="IFI121" s="36"/>
      <c r="IFJ121" s="38"/>
      <c r="IFK121" s="38"/>
      <c r="IFQ121" s="36"/>
      <c r="IFR121" s="38"/>
      <c r="IFS121" s="38"/>
      <c r="IFY121" s="36"/>
      <c r="IFZ121" s="38"/>
      <c r="IGA121" s="38"/>
      <c r="IGG121" s="36"/>
      <c r="IGH121" s="38"/>
      <c r="IGI121" s="38"/>
      <c r="IGO121" s="36"/>
      <c r="IGP121" s="38"/>
      <c r="IGQ121" s="38"/>
      <c r="IGW121" s="36"/>
      <c r="IGX121" s="38"/>
      <c r="IGY121" s="38"/>
      <c r="IHE121" s="36"/>
      <c r="IHF121" s="38"/>
      <c r="IHG121" s="38"/>
      <c r="IHM121" s="36"/>
      <c r="IHN121" s="38"/>
      <c r="IHO121" s="38"/>
      <c r="IHU121" s="36"/>
      <c r="IHV121" s="38"/>
      <c r="IHW121" s="38"/>
      <c r="IIC121" s="36"/>
      <c r="IID121" s="38"/>
      <c r="IIE121" s="38"/>
      <c r="IIK121" s="36"/>
      <c r="IIL121" s="38"/>
      <c r="IIM121" s="38"/>
      <c r="IIS121" s="36"/>
      <c r="IIT121" s="38"/>
      <c r="IIU121" s="38"/>
      <c r="IJA121" s="36"/>
      <c r="IJB121" s="38"/>
      <c r="IJC121" s="38"/>
      <c r="IJI121" s="36"/>
      <c r="IJJ121" s="38"/>
      <c r="IJK121" s="38"/>
      <c r="IJQ121" s="36"/>
      <c r="IJR121" s="38"/>
      <c r="IJS121" s="38"/>
      <c r="IJY121" s="36"/>
      <c r="IJZ121" s="38"/>
      <c r="IKA121" s="38"/>
      <c r="IKG121" s="36"/>
      <c r="IKH121" s="38"/>
      <c r="IKI121" s="38"/>
      <c r="IKO121" s="36"/>
      <c r="IKP121" s="38"/>
      <c r="IKQ121" s="38"/>
      <c r="IKW121" s="36"/>
      <c r="IKX121" s="38"/>
      <c r="IKY121" s="38"/>
      <c r="ILE121" s="36"/>
      <c r="ILF121" s="38"/>
      <c r="ILG121" s="38"/>
      <c r="ILM121" s="36"/>
      <c r="ILN121" s="38"/>
      <c r="ILO121" s="38"/>
      <c r="ILU121" s="36"/>
      <c r="ILV121" s="38"/>
      <c r="ILW121" s="38"/>
      <c r="IMC121" s="36"/>
      <c r="IMD121" s="38"/>
      <c r="IME121" s="38"/>
      <c r="IMK121" s="36"/>
      <c r="IML121" s="38"/>
      <c r="IMM121" s="38"/>
      <c r="IMS121" s="36"/>
      <c r="IMT121" s="38"/>
      <c r="IMU121" s="38"/>
      <c r="INA121" s="36"/>
      <c r="INB121" s="38"/>
      <c r="INC121" s="38"/>
      <c r="INI121" s="36"/>
      <c r="INJ121" s="38"/>
      <c r="INK121" s="38"/>
      <c r="INQ121" s="36"/>
      <c r="INR121" s="38"/>
      <c r="INS121" s="38"/>
      <c r="INY121" s="36"/>
      <c r="INZ121" s="38"/>
      <c r="IOA121" s="38"/>
      <c r="IOG121" s="36"/>
      <c r="IOH121" s="38"/>
      <c r="IOI121" s="38"/>
      <c r="IOO121" s="36"/>
      <c r="IOP121" s="38"/>
      <c r="IOQ121" s="38"/>
      <c r="IOW121" s="36"/>
      <c r="IOX121" s="38"/>
      <c r="IOY121" s="38"/>
      <c r="IPE121" s="36"/>
      <c r="IPF121" s="38"/>
      <c r="IPG121" s="38"/>
      <c r="IPM121" s="36"/>
      <c r="IPN121" s="38"/>
      <c r="IPO121" s="38"/>
      <c r="IPU121" s="36"/>
      <c r="IPV121" s="38"/>
      <c r="IPW121" s="38"/>
      <c r="IQC121" s="36"/>
      <c r="IQD121" s="38"/>
      <c r="IQE121" s="38"/>
      <c r="IQK121" s="36"/>
      <c r="IQL121" s="38"/>
      <c r="IQM121" s="38"/>
      <c r="IQS121" s="36"/>
      <c r="IQT121" s="38"/>
      <c r="IQU121" s="38"/>
      <c r="IRA121" s="36"/>
      <c r="IRB121" s="38"/>
      <c r="IRC121" s="38"/>
      <c r="IRI121" s="36"/>
      <c r="IRJ121" s="38"/>
      <c r="IRK121" s="38"/>
      <c r="IRQ121" s="36"/>
      <c r="IRR121" s="38"/>
      <c r="IRS121" s="38"/>
      <c r="IRY121" s="36"/>
      <c r="IRZ121" s="38"/>
      <c r="ISA121" s="38"/>
      <c r="ISG121" s="36"/>
      <c r="ISH121" s="38"/>
      <c r="ISI121" s="38"/>
      <c r="ISO121" s="36"/>
      <c r="ISP121" s="38"/>
      <c r="ISQ121" s="38"/>
      <c r="ISW121" s="36"/>
      <c r="ISX121" s="38"/>
      <c r="ISY121" s="38"/>
      <c r="ITE121" s="36"/>
      <c r="ITF121" s="38"/>
      <c r="ITG121" s="38"/>
      <c r="ITM121" s="36"/>
      <c r="ITN121" s="38"/>
      <c r="ITO121" s="38"/>
      <c r="ITU121" s="36"/>
      <c r="ITV121" s="38"/>
      <c r="ITW121" s="38"/>
      <c r="IUC121" s="36"/>
      <c r="IUD121" s="38"/>
      <c r="IUE121" s="38"/>
      <c r="IUK121" s="36"/>
      <c r="IUL121" s="38"/>
      <c r="IUM121" s="38"/>
      <c r="IUS121" s="36"/>
      <c r="IUT121" s="38"/>
      <c r="IUU121" s="38"/>
      <c r="IVA121" s="36"/>
      <c r="IVB121" s="38"/>
      <c r="IVC121" s="38"/>
      <c r="IVI121" s="36"/>
      <c r="IVJ121" s="38"/>
      <c r="IVK121" s="38"/>
      <c r="IVQ121" s="36"/>
      <c r="IVR121" s="38"/>
      <c r="IVS121" s="38"/>
      <c r="IVY121" s="36"/>
      <c r="IVZ121" s="38"/>
      <c r="IWA121" s="38"/>
      <c r="IWG121" s="36"/>
      <c r="IWH121" s="38"/>
      <c r="IWI121" s="38"/>
      <c r="IWO121" s="36"/>
      <c r="IWP121" s="38"/>
      <c r="IWQ121" s="38"/>
      <c r="IWW121" s="36"/>
      <c r="IWX121" s="38"/>
      <c r="IWY121" s="38"/>
      <c r="IXE121" s="36"/>
      <c r="IXF121" s="38"/>
      <c r="IXG121" s="38"/>
      <c r="IXM121" s="36"/>
      <c r="IXN121" s="38"/>
      <c r="IXO121" s="38"/>
      <c r="IXU121" s="36"/>
      <c r="IXV121" s="38"/>
      <c r="IXW121" s="38"/>
      <c r="IYC121" s="36"/>
      <c r="IYD121" s="38"/>
      <c r="IYE121" s="38"/>
      <c r="IYK121" s="36"/>
      <c r="IYL121" s="38"/>
      <c r="IYM121" s="38"/>
      <c r="IYS121" s="36"/>
      <c r="IYT121" s="38"/>
      <c r="IYU121" s="38"/>
      <c r="IZA121" s="36"/>
      <c r="IZB121" s="38"/>
      <c r="IZC121" s="38"/>
      <c r="IZI121" s="36"/>
      <c r="IZJ121" s="38"/>
      <c r="IZK121" s="38"/>
      <c r="IZQ121" s="36"/>
      <c r="IZR121" s="38"/>
      <c r="IZS121" s="38"/>
      <c r="IZY121" s="36"/>
      <c r="IZZ121" s="38"/>
      <c r="JAA121" s="38"/>
      <c r="JAG121" s="36"/>
      <c r="JAH121" s="38"/>
      <c r="JAI121" s="38"/>
      <c r="JAO121" s="36"/>
      <c r="JAP121" s="38"/>
      <c r="JAQ121" s="38"/>
      <c r="JAW121" s="36"/>
      <c r="JAX121" s="38"/>
      <c r="JAY121" s="38"/>
      <c r="JBE121" s="36"/>
      <c r="JBF121" s="38"/>
      <c r="JBG121" s="38"/>
      <c r="JBM121" s="36"/>
      <c r="JBN121" s="38"/>
      <c r="JBO121" s="38"/>
      <c r="JBU121" s="36"/>
      <c r="JBV121" s="38"/>
      <c r="JBW121" s="38"/>
      <c r="JCC121" s="36"/>
      <c r="JCD121" s="38"/>
      <c r="JCE121" s="38"/>
      <c r="JCK121" s="36"/>
      <c r="JCL121" s="38"/>
      <c r="JCM121" s="38"/>
      <c r="JCS121" s="36"/>
      <c r="JCT121" s="38"/>
      <c r="JCU121" s="38"/>
      <c r="JDA121" s="36"/>
      <c r="JDB121" s="38"/>
      <c r="JDC121" s="38"/>
      <c r="JDI121" s="36"/>
      <c r="JDJ121" s="38"/>
      <c r="JDK121" s="38"/>
      <c r="JDQ121" s="36"/>
      <c r="JDR121" s="38"/>
      <c r="JDS121" s="38"/>
      <c r="JDY121" s="36"/>
      <c r="JDZ121" s="38"/>
      <c r="JEA121" s="38"/>
      <c r="JEG121" s="36"/>
      <c r="JEH121" s="38"/>
      <c r="JEI121" s="38"/>
      <c r="JEO121" s="36"/>
      <c r="JEP121" s="38"/>
      <c r="JEQ121" s="38"/>
      <c r="JEW121" s="36"/>
      <c r="JEX121" s="38"/>
      <c r="JEY121" s="38"/>
      <c r="JFE121" s="36"/>
      <c r="JFF121" s="38"/>
      <c r="JFG121" s="38"/>
      <c r="JFM121" s="36"/>
      <c r="JFN121" s="38"/>
      <c r="JFO121" s="38"/>
      <c r="JFU121" s="36"/>
      <c r="JFV121" s="38"/>
      <c r="JFW121" s="38"/>
      <c r="JGC121" s="36"/>
      <c r="JGD121" s="38"/>
      <c r="JGE121" s="38"/>
      <c r="JGK121" s="36"/>
      <c r="JGL121" s="38"/>
      <c r="JGM121" s="38"/>
      <c r="JGS121" s="36"/>
      <c r="JGT121" s="38"/>
      <c r="JGU121" s="38"/>
      <c r="JHA121" s="36"/>
      <c r="JHB121" s="38"/>
      <c r="JHC121" s="38"/>
      <c r="JHI121" s="36"/>
      <c r="JHJ121" s="38"/>
      <c r="JHK121" s="38"/>
      <c r="JHQ121" s="36"/>
      <c r="JHR121" s="38"/>
      <c r="JHS121" s="38"/>
      <c r="JHY121" s="36"/>
      <c r="JHZ121" s="38"/>
      <c r="JIA121" s="38"/>
      <c r="JIG121" s="36"/>
      <c r="JIH121" s="38"/>
      <c r="JII121" s="38"/>
      <c r="JIO121" s="36"/>
      <c r="JIP121" s="38"/>
      <c r="JIQ121" s="38"/>
      <c r="JIW121" s="36"/>
      <c r="JIX121" s="38"/>
      <c r="JIY121" s="38"/>
      <c r="JJE121" s="36"/>
      <c r="JJF121" s="38"/>
      <c r="JJG121" s="38"/>
      <c r="JJM121" s="36"/>
      <c r="JJN121" s="38"/>
      <c r="JJO121" s="38"/>
      <c r="JJU121" s="36"/>
      <c r="JJV121" s="38"/>
      <c r="JJW121" s="38"/>
      <c r="JKC121" s="36"/>
      <c r="JKD121" s="38"/>
      <c r="JKE121" s="38"/>
      <c r="JKK121" s="36"/>
      <c r="JKL121" s="38"/>
      <c r="JKM121" s="38"/>
      <c r="JKS121" s="36"/>
      <c r="JKT121" s="38"/>
      <c r="JKU121" s="38"/>
      <c r="JLA121" s="36"/>
      <c r="JLB121" s="38"/>
      <c r="JLC121" s="38"/>
      <c r="JLI121" s="36"/>
      <c r="JLJ121" s="38"/>
      <c r="JLK121" s="38"/>
      <c r="JLQ121" s="36"/>
      <c r="JLR121" s="38"/>
      <c r="JLS121" s="38"/>
      <c r="JLY121" s="36"/>
      <c r="JLZ121" s="38"/>
      <c r="JMA121" s="38"/>
      <c r="JMG121" s="36"/>
      <c r="JMH121" s="38"/>
      <c r="JMI121" s="38"/>
      <c r="JMO121" s="36"/>
      <c r="JMP121" s="38"/>
      <c r="JMQ121" s="38"/>
      <c r="JMW121" s="36"/>
      <c r="JMX121" s="38"/>
      <c r="JMY121" s="38"/>
      <c r="JNE121" s="36"/>
      <c r="JNF121" s="38"/>
      <c r="JNG121" s="38"/>
      <c r="JNM121" s="36"/>
      <c r="JNN121" s="38"/>
      <c r="JNO121" s="38"/>
      <c r="JNU121" s="36"/>
      <c r="JNV121" s="38"/>
      <c r="JNW121" s="38"/>
      <c r="JOC121" s="36"/>
      <c r="JOD121" s="38"/>
      <c r="JOE121" s="38"/>
      <c r="JOK121" s="36"/>
      <c r="JOL121" s="38"/>
      <c r="JOM121" s="38"/>
      <c r="JOS121" s="36"/>
      <c r="JOT121" s="38"/>
      <c r="JOU121" s="38"/>
      <c r="JPA121" s="36"/>
      <c r="JPB121" s="38"/>
      <c r="JPC121" s="38"/>
      <c r="JPI121" s="36"/>
      <c r="JPJ121" s="38"/>
      <c r="JPK121" s="38"/>
      <c r="JPQ121" s="36"/>
      <c r="JPR121" s="38"/>
      <c r="JPS121" s="38"/>
      <c r="JPY121" s="36"/>
      <c r="JPZ121" s="38"/>
      <c r="JQA121" s="38"/>
      <c r="JQG121" s="36"/>
      <c r="JQH121" s="38"/>
      <c r="JQI121" s="38"/>
      <c r="JQO121" s="36"/>
      <c r="JQP121" s="38"/>
      <c r="JQQ121" s="38"/>
      <c r="JQW121" s="36"/>
      <c r="JQX121" s="38"/>
      <c r="JQY121" s="38"/>
      <c r="JRE121" s="36"/>
      <c r="JRF121" s="38"/>
      <c r="JRG121" s="38"/>
      <c r="JRM121" s="36"/>
      <c r="JRN121" s="38"/>
      <c r="JRO121" s="38"/>
      <c r="JRU121" s="36"/>
      <c r="JRV121" s="38"/>
      <c r="JRW121" s="38"/>
      <c r="JSC121" s="36"/>
      <c r="JSD121" s="38"/>
      <c r="JSE121" s="38"/>
      <c r="JSK121" s="36"/>
      <c r="JSL121" s="38"/>
      <c r="JSM121" s="38"/>
      <c r="JSS121" s="36"/>
      <c r="JST121" s="38"/>
      <c r="JSU121" s="38"/>
      <c r="JTA121" s="36"/>
      <c r="JTB121" s="38"/>
      <c r="JTC121" s="38"/>
      <c r="JTI121" s="36"/>
      <c r="JTJ121" s="38"/>
      <c r="JTK121" s="38"/>
      <c r="JTQ121" s="36"/>
      <c r="JTR121" s="38"/>
      <c r="JTS121" s="38"/>
      <c r="JTY121" s="36"/>
      <c r="JTZ121" s="38"/>
      <c r="JUA121" s="38"/>
      <c r="JUG121" s="36"/>
      <c r="JUH121" s="38"/>
      <c r="JUI121" s="38"/>
      <c r="JUO121" s="36"/>
      <c r="JUP121" s="38"/>
      <c r="JUQ121" s="38"/>
      <c r="JUW121" s="36"/>
      <c r="JUX121" s="38"/>
      <c r="JUY121" s="38"/>
      <c r="JVE121" s="36"/>
      <c r="JVF121" s="38"/>
      <c r="JVG121" s="38"/>
      <c r="JVM121" s="36"/>
      <c r="JVN121" s="38"/>
      <c r="JVO121" s="38"/>
      <c r="JVU121" s="36"/>
      <c r="JVV121" s="38"/>
      <c r="JVW121" s="38"/>
      <c r="JWC121" s="36"/>
      <c r="JWD121" s="38"/>
      <c r="JWE121" s="38"/>
      <c r="JWK121" s="36"/>
      <c r="JWL121" s="38"/>
      <c r="JWM121" s="38"/>
      <c r="JWS121" s="36"/>
      <c r="JWT121" s="38"/>
      <c r="JWU121" s="38"/>
      <c r="JXA121" s="36"/>
      <c r="JXB121" s="38"/>
      <c r="JXC121" s="38"/>
      <c r="JXI121" s="36"/>
      <c r="JXJ121" s="38"/>
      <c r="JXK121" s="38"/>
      <c r="JXQ121" s="36"/>
      <c r="JXR121" s="38"/>
      <c r="JXS121" s="38"/>
      <c r="JXY121" s="36"/>
      <c r="JXZ121" s="38"/>
      <c r="JYA121" s="38"/>
      <c r="JYG121" s="36"/>
      <c r="JYH121" s="38"/>
      <c r="JYI121" s="38"/>
      <c r="JYO121" s="36"/>
      <c r="JYP121" s="38"/>
      <c r="JYQ121" s="38"/>
      <c r="JYW121" s="36"/>
      <c r="JYX121" s="38"/>
      <c r="JYY121" s="38"/>
      <c r="JZE121" s="36"/>
      <c r="JZF121" s="38"/>
      <c r="JZG121" s="38"/>
      <c r="JZM121" s="36"/>
      <c r="JZN121" s="38"/>
      <c r="JZO121" s="38"/>
      <c r="JZU121" s="36"/>
      <c r="JZV121" s="38"/>
      <c r="JZW121" s="38"/>
      <c r="KAC121" s="36"/>
      <c r="KAD121" s="38"/>
      <c r="KAE121" s="38"/>
      <c r="KAK121" s="36"/>
      <c r="KAL121" s="38"/>
      <c r="KAM121" s="38"/>
      <c r="KAS121" s="36"/>
      <c r="KAT121" s="38"/>
      <c r="KAU121" s="38"/>
      <c r="KBA121" s="36"/>
      <c r="KBB121" s="38"/>
      <c r="KBC121" s="38"/>
      <c r="KBI121" s="36"/>
      <c r="KBJ121" s="38"/>
      <c r="KBK121" s="38"/>
      <c r="KBQ121" s="36"/>
      <c r="KBR121" s="38"/>
      <c r="KBS121" s="38"/>
      <c r="KBY121" s="36"/>
      <c r="KBZ121" s="38"/>
      <c r="KCA121" s="38"/>
      <c r="KCG121" s="36"/>
      <c r="KCH121" s="38"/>
      <c r="KCI121" s="38"/>
      <c r="KCO121" s="36"/>
      <c r="KCP121" s="38"/>
      <c r="KCQ121" s="38"/>
      <c r="KCW121" s="36"/>
      <c r="KCX121" s="38"/>
      <c r="KCY121" s="38"/>
      <c r="KDE121" s="36"/>
      <c r="KDF121" s="38"/>
      <c r="KDG121" s="38"/>
      <c r="KDM121" s="36"/>
      <c r="KDN121" s="38"/>
      <c r="KDO121" s="38"/>
      <c r="KDU121" s="36"/>
      <c r="KDV121" s="38"/>
      <c r="KDW121" s="38"/>
      <c r="KEC121" s="36"/>
      <c r="KED121" s="38"/>
      <c r="KEE121" s="38"/>
      <c r="KEK121" s="36"/>
      <c r="KEL121" s="38"/>
      <c r="KEM121" s="38"/>
      <c r="KES121" s="36"/>
      <c r="KET121" s="38"/>
      <c r="KEU121" s="38"/>
      <c r="KFA121" s="36"/>
      <c r="KFB121" s="38"/>
      <c r="KFC121" s="38"/>
      <c r="KFI121" s="36"/>
      <c r="KFJ121" s="38"/>
      <c r="KFK121" s="38"/>
      <c r="KFQ121" s="36"/>
      <c r="KFR121" s="38"/>
      <c r="KFS121" s="38"/>
      <c r="KFY121" s="36"/>
      <c r="KFZ121" s="38"/>
      <c r="KGA121" s="38"/>
      <c r="KGG121" s="36"/>
      <c r="KGH121" s="38"/>
      <c r="KGI121" s="38"/>
      <c r="KGO121" s="36"/>
      <c r="KGP121" s="38"/>
      <c r="KGQ121" s="38"/>
      <c r="KGW121" s="36"/>
      <c r="KGX121" s="38"/>
      <c r="KGY121" s="38"/>
      <c r="KHE121" s="36"/>
      <c r="KHF121" s="38"/>
      <c r="KHG121" s="38"/>
      <c r="KHM121" s="36"/>
      <c r="KHN121" s="38"/>
      <c r="KHO121" s="38"/>
      <c r="KHU121" s="36"/>
      <c r="KHV121" s="38"/>
      <c r="KHW121" s="38"/>
      <c r="KIC121" s="36"/>
      <c r="KID121" s="38"/>
      <c r="KIE121" s="38"/>
      <c r="KIK121" s="36"/>
      <c r="KIL121" s="38"/>
      <c r="KIM121" s="38"/>
      <c r="KIS121" s="36"/>
      <c r="KIT121" s="38"/>
      <c r="KIU121" s="38"/>
      <c r="KJA121" s="36"/>
      <c r="KJB121" s="38"/>
      <c r="KJC121" s="38"/>
      <c r="KJI121" s="36"/>
      <c r="KJJ121" s="38"/>
      <c r="KJK121" s="38"/>
      <c r="KJQ121" s="36"/>
      <c r="KJR121" s="38"/>
      <c r="KJS121" s="38"/>
      <c r="KJY121" s="36"/>
      <c r="KJZ121" s="38"/>
      <c r="KKA121" s="38"/>
      <c r="KKG121" s="36"/>
      <c r="KKH121" s="38"/>
      <c r="KKI121" s="38"/>
      <c r="KKO121" s="36"/>
      <c r="KKP121" s="38"/>
      <c r="KKQ121" s="38"/>
      <c r="KKW121" s="36"/>
      <c r="KKX121" s="38"/>
      <c r="KKY121" s="38"/>
      <c r="KLE121" s="36"/>
      <c r="KLF121" s="38"/>
      <c r="KLG121" s="38"/>
      <c r="KLM121" s="36"/>
      <c r="KLN121" s="38"/>
      <c r="KLO121" s="38"/>
      <c r="KLU121" s="36"/>
      <c r="KLV121" s="38"/>
      <c r="KLW121" s="38"/>
      <c r="KMC121" s="36"/>
      <c r="KMD121" s="38"/>
      <c r="KME121" s="38"/>
      <c r="KMK121" s="36"/>
      <c r="KML121" s="38"/>
      <c r="KMM121" s="38"/>
      <c r="KMS121" s="36"/>
      <c r="KMT121" s="38"/>
      <c r="KMU121" s="38"/>
      <c r="KNA121" s="36"/>
      <c r="KNB121" s="38"/>
      <c r="KNC121" s="38"/>
      <c r="KNI121" s="36"/>
      <c r="KNJ121" s="38"/>
      <c r="KNK121" s="38"/>
      <c r="KNQ121" s="36"/>
      <c r="KNR121" s="38"/>
      <c r="KNS121" s="38"/>
      <c r="KNY121" s="36"/>
      <c r="KNZ121" s="38"/>
      <c r="KOA121" s="38"/>
      <c r="KOG121" s="36"/>
      <c r="KOH121" s="38"/>
      <c r="KOI121" s="38"/>
      <c r="KOO121" s="36"/>
      <c r="KOP121" s="38"/>
      <c r="KOQ121" s="38"/>
      <c r="KOW121" s="36"/>
      <c r="KOX121" s="38"/>
      <c r="KOY121" s="38"/>
      <c r="KPE121" s="36"/>
      <c r="KPF121" s="38"/>
      <c r="KPG121" s="38"/>
      <c r="KPM121" s="36"/>
      <c r="KPN121" s="38"/>
      <c r="KPO121" s="38"/>
      <c r="KPU121" s="36"/>
      <c r="KPV121" s="38"/>
      <c r="KPW121" s="38"/>
      <c r="KQC121" s="36"/>
      <c r="KQD121" s="38"/>
      <c r="KQE121" s="38"/>
      <c r="KQK121" s="36"/>
      <c r="KQL121" s="38"/>
      <c r="KQM121" s="38"/>
      <c r="KQS121" s="36"/>
      <c r="KQT121" s="38"/>
      <c r="KQU121" s="38"/>
      <c r="KRA121" s="36"/>
      <c r="KRB121" s="38"/>
      <c r="KRC121" s="38"/>
      <c r="KRI121" s="36"/>
      <c r="KRJ121" s="38"/>
      <c r="KRK121" s="38"/>
      <c r="KRQ121" s="36"/>
      <c r="KRR121" s="38"/>
      <c r="KRS121" s="38"/>
      <c r="KRY121" s="36"/>
      <c r="KRZ121" s="38"/>
      <c r="KSA121" s="38"/>
      <c r="KSG121" s="36"/>
      <c r="KSH121" s="38"/>
      <c r="KSI121" s="38"/>
      <c r="KSO121" s="36"/>
      <c r="KSP121" s="38"/>
      <c r="KSQ121" s="38"/>
      <c r="KSW121" s="36"/>
      <c r="KSX121" s="38"/>
      <c r="KSY121" s="38"/>
      <c r="KTE121" s="36"/>
      <c r="KTF121" s="38"/>
      <c r="KTG121" s="38"/>
      <c r="KTM121" s="36"/>
      <c r="KTN121" s="38"/>
      <c r="KTO121" s="38"/>
      <c r="KTU121" s="36"/>
      <c r="KTV121" s="38"/>
      <c r="KTW121" s="38"/>
      <c r="KUC121" s="36"/>
      <c r="KUD121" s="38"/>
      <c r="KUE121" s="38"/>
      <c r="KUK121" s="36"/>
      <c r="KUL121" s="38"/>
      <c r="KUM121" s="38"/>
      <c r="KUS121" s="36"/>
      <c r="KUT121" s="38"/>
      <c r="KUU121" s="38"/>
      <c r="KVA121" s="36"/>
      <c r="KVB121" s="38"/>
      <c r="KVC121" s="38"/>
      <c r="KVI121" s="36"/>
      <c r="KVJ121" s="38"/>
      <c r="KVK121" s="38"/>
      <c r="KVQ121" s="36"/>
      <c r="KVR121" s="38"/>
      <c r="KVS121" s="38"/>
      <c r="KVY121" s="36"/>
      <c r="KVZ121" s="38"/>
      <c r="KWA121" s="38"/>
      <c r="KWG121" s="36"/>
      <c r="KWH121" s="38"/>
      <c r="KWI121" s="38"/>
      <c r="KWO121" s="36"/>
      <c r="KWP121" s="38"/>
      <c r="KWQ121" s="38"/>
      <c r="KWW121" s="36"/>
      <c r="KWX121" s="38"/>
      <c r="KWY121" s="38"/>
      <c r="KXE121" s="36"/>
      <c r="KXF121" s="38"/>
      <c r="KXG121" s="38"/>
      <c r="KXM121" s="36"/>
      <c r="KXN121" s="38"/>
      <c r="KXO121" s="38"/>
      <c r="KXU121" s="36"/>
      <c r="KXV121" s="38"/>
      <c r="KXW121" s="38"/>
      <c r="KYC121" s="36"/>
      <c r="KYD121" s="38"/>
      <c r="KYE121" s="38"/>
      <c r="KYK121" s="36"/>
      <c r="KYL121" s="38"/>
      <c r="KYM121" s="38"/>
      <c r="KYS121" s="36"/>
      <c r="KYT121" s="38"/>
      <c r="KYU121" s="38"/>
      <c r="KZA121" s="36"/>
      <c r="KZB121" s="38"/>
      <c r="KZC121" s="38"/>
      <c r="KZI121" s="36"/>
      <c r="KZJ121" s="38"/>
      <c r="KZK121" s="38"/>
      <c r="KZQ121" s="36"/>
      <c r="KZR121" s="38"/>
      <c r="KZS121" s="38"/>
      <c r="KZY121" s="36"/>
      <c r="KZZ121" s="38"/>
      <c r="LAA121" s="38"/>
      <c r="LAG121" s="36"/>
      <c r="LAH121" s="38"/>
      <c r="LAI121" s="38"/>
      <c r="LAO121" s="36"/>
      <c r="LAP121" s="38"/>
      <c r="LAQ121" s="38"/>
      <c r="LAW121" s="36"/>
      <c r="LAX121" s="38"/>
      <c r="LAY121" s="38"/>
      <c r="LBE121" s="36"/>
      <c r="LBF121" s="38"/>
      <c r="LBG121" s="38"/>
      <c r="LBM121" s="36"/>
      <c r="LBN121" s="38"/>
      <c r="LBO121" s="38"/>
      <c r="LBU121" s="36"/>
      <c r="LBV121" s="38"/>
      <c r="LBW121" s="38"/>
      <c r="LCC121" s="36"/>
      <c r="LCD121" s="38"/>
      <c r="LCE121" s="38"/>
      <c r="LCK121" s="36"/>
      <c r="LCL121" s="38"/>
      <c r="LCM121" s="38"/>
      <c r="LCS121" s="36"/>
      <c r="LCT121" s="38"/>
      <c r="LCU121" s="38"/>
      <c r="LDA121" s="36"/>
      <c r="LDB121" s="38"/>
      <c r="LDC121" s="38"/>
      <c r="LDI121" s="36"/>
      <c r="LDJ121" s="38"/>
      <c r="LDK121" s="38"/>
      <c r="LDQ121" s="36"/>
      <c r="LDR121" s="38"/>
      <c r="LDS121" s="38"/>
      <c r="LDY121" s="36"/>
      <c r="LDZ121" s="38"/>
      <c r="LEA121" s="38"/>
      <c r="LEG121" s="36"/>
      <c r="LEH121" s="38"/>
      <c r="LEI121" s="38"/>
      <c r="LEO121" s="36"/>
      <c r="LEP121" s="38"/>
      <c r="LEQ121" s="38"/>
      <c r="LEW121" s="36"/>
      <c r="LEX121" s="38"/>
      <c r="LEY121" s="38"/>
      <c r="LFE121" s="36"/>
      <c r="LFF121" s="38"/>
      <c r="LFG121" s="38"/>
      <c r="LFM121" s="36"/>
      <c r="LFN121" s="38"/>
      <c r="LFO121" s="38"/>
      <c r="LFU121" s="36"/>
      <c r="LFV121" s="38"/>
      <c r="LFW121" s="38"/>
      <c r="LGC121" s="36"/>
      <c r="LGD121" s="38"/>
      <c r="LGE121" s="38"/>
      <c r="LGK121" s="36"/>
      <c r="LGL121" s="38"/>
      <c r="LGM121" s="38"/>
      <c r="LGS121" s="36"/>
      <c r="LGT121" s="38"/>
      <c r="LGU121" s="38"/>
      <c r="LHA121" s="36"/>
      <c r="LHB121" s="38"/>
      <c r="LHC121" s="38"/>
      <c r="LHI121" s="36"/>
      <c r="LHJ121" s="38"/>
      <c r="LHK121" s="38"/>
      <c r="LHQ121" s="36"/>
      <c r="LHR121" s="38"/>
      <c r="LHS121" s="38"/>
      <c r="LHY121" s="36"/>
      <c r="LHZ121" s="38"/>
      <c r="LIA121" s="38"/>
      <c r="LIG121" s="36"/>
      <c r="LIH121" s="38"/>
      <c r="LII121" s="38"/>
      <c r="LIO121" s="36"/>
      <c r="LIP121" s="38"/>
      <c r="LIQ121" s="38"/>
      <c r="LIW121" s="36"/>
      <c r="LIX121" s="38"/>
      <c r="LIY121" s="38"/>
      <c r="LJE121" s="36"/>
      <c r="LJF121" s="38"/>
      <c r="LJG121" s="38"/>
      <c r="LJM121" s="36"/>
      <c r="LJN121" s="38"/>
      <c r="LJO121" s="38"/>
      <c r="LJU121" s="36"/>
      <c r="LJV121" s="38"/>
      <c r="LJW121" s="38"/>
      <c r="LKC121" s="36"/>
      <c r="LKD121" s="38"/>
      <c r="LKE121" s="38"/>
      <c r="LKK121" s="36"/>
      <c r="LKL121" s="38"/>
      <c r="LKM121" s="38"/>
      <c r="LKS121" s="36"/>
      <c r="LKT121" s="38"/>
      <c r="LKU121" s="38"/>
      <c r="LLA121" s="36"/>
      <c r="LLB121" s="38"/>
      <c r="LLC121" s="38"/>
      <c r="LLI121" s="36"/>
      <c r="LLJ121" s="38"/>
      <c r="LLK121" s="38"/>
      <c r="LLQ121" s="36"/>
      <c r="LLR121" s="38"/>
      <c r="LLS121" s="38"/>
      <c r="LLY121" s="36"/>
      <c r="LLZ121" s="38"/>
      <c r="LMA121" s="38"/>
      <c r="LMG121" s="36"/>
      <c r="LMH121" s="38"/>
      <c r="LMI121" s="38"/>
      <c r="LMO121" s="36"/>
      <c r="LMP121" s="38"/>
      <c r="LMQ121" s="38"/>
      <c r="LMW121" s="36"/>
      <c r="LMX121" s="38"/>
      <c r="LMY121" s="38"/>
      <c r="LNE121" s="36"/>
      <c r="LNF121" s="38"/>
      <c r="LNG121" s="38"/>
      <c r="LNM121" s="36"/>
      <c r="LNN121" s="38"/>
      <c r="LNO121" s="38"/>
      <c r="LNU121" s="36"/>
      <c r="LNV121" s="38"/>
      <c r="LNW121" s="38"/>
      <c r="LOC121" s="36"/>
      <c r="LOD121" s="38"/>
      <c r="LOE121" s="38"/>
      <c r="LOK121" s="36"/>
      <c r="LOL121" s="38"/>
      <c r="LOM121" s="38"/>
      <c r="LOS121" s="36"/>
      <c r="LOT121" s="38"/>
      <c r="LOU121" s="38"/>
      <c r="LPA121" s="36"/>
      <c r="LPB121" s="38"/>
      <c r="LPC121" s="38"/>
      <c r="LPI121" s="36"/>
      <c r="LPJ121" s="38"/>
      <c r="LPK121" s="38"/>
      <c r="LPQ121" s="36"/>
      <c r="LPR121" s="38"/>
      <c r="LPS121" s="38"/>
      <c r="LPY121" s="36"/>
      <c r="LPZ121" s="38"/>
      <c r="LQA121" s="38"/>
      <c r="LQG121" s="36"/>
      <c r="LQH121" s="38"/>
      <c r="LQI121" s="38"/>
      <c r="LQO121" s="36"/>
      <c r="LQP121" s="38"/>
      <c r="LQQ121" s="38"/>
      <c r="LQW121" s="36"/>
      <c r="LQX121" s="38"/>
      <c r="LQY121" s="38"/>
      <c r="LRE121" s="36"/>
      <c r="LRF121" s="38"/>
      <c r="LRG121" s="38"/>
      <c r="LRM121" s="36"/>
      <c r="LRN121" s="38"/>
      <c r="LRO121" s="38"/>
      <c r="LRU121" s="36"/>
      <c r="LRV121" s="38"/>
      <c r="LRW121" s="38"/>
      <c r="LSC121" s="36"/>
      <c r="LSD121" s="38"/>
      <c r="LSE121" s="38"/>
      <c r="LSK121" s="36"/>
      <c r="LSL121" s="38"/>
      <c r="LSM121" s="38"/>
      <c r="LSS121" s="36"/>
      <c r="LST121" s="38"/>
      <c r="LSU121" s="38"/>
      <c r="LTA121" s="36"/>
      <c r="LTB121" s="38"/>
      <c r="LTC121" s="38"/>
      <c r="LTI121" s="36"/>
      <c r="LTJ121" s="38"/>
      <c r="LTK121" s="38"/>
      <c r="LTQ121" s="36"/>
      <c r="LTR121" s="38"/>
      <c r="LTS121" s="38"/>
      <c r="LTY121" s="36"/>
      <c r="LTZ121" s="38"/>
      <c r="LUA121" s="38"/>
      <c r="LUG121" s="36"/>
      <c r="LUH121" s="38"/>
      <c r="LUI121" s="38"/>
      <c r="LUO121" s="36"/>
      <c r="LUP121" s="38"/>
      <c r="LUQ121" s="38"/>
      <c r="LUW121" s="36"/>
      <c r="LUX121" s="38"/>
      <c r="LUY121" s="38"/>
      <c r="LVE121" s="36"/>
      <c r="LVF121" s="38"/>
      <c r="LVG121" s="38"/>
      <c r="LVM121" s="36"/>
      <c r="LVN121" s="38"/>
      <c r="LVO121" s="38"/>
      <c r="LVU121" s="36"/>
      <c r="LVV121" s="38"/>
      <c r="LVW121" s="38"/>
      <c r="LWC121" s="36"/>
      <c r="LWD121" s="38"/>
      <c r="LWE121" s="38"/>
      <c r="LWK121" s="36"/>
      <c r="LWL121" s="38"/>
      <c r="LWM121" s="38"/>
      <c r="LWS121" s="36"/>
      <c r="LWT121" s="38"/>
      <c r="LWU121" s="38"/>
      <c r="LXA121" s="36"/>
      <c r="LXB121" s="38"/>
      <c r="LXC121" s="38"/>
      <c r="LXI121" s="36"/>
      <c r="LXJ121" s="38"/>
      <c r="LXK121" s="38"/>
      <c r="LXQ121" s="36"/>
      <c r="LXR121" s="38"/>
      <c r="LXS121" s="38"/>
      <c r="LXY121" s="36"/>
      <c r="LXZ121" s="38"/>
      <c r="LYA121" s="38"/>
      <c r="LYG121" s="36"/>
      <c r="LYH121" s="38"/>
      <c r="LYI121" s="38"/>
      <c r="LYO121" s="36"/>
      <c r="LYP121" s="38"/>
      <c r="LYQ121" s="38"/>
      <c r="LYW121" s="36"/>
      <c r="LYX121" s="38"/>
      <c r="LYY121" s="38"/>
      <c r="LZE121" s="36"/>
      <c r="LZF121" s="38"/>
      <c r="LZG121" s="38"/>
      <c r="LZM121" s="36"/>
      <c r="LZN121" s="38"/>
      <c r="LZO121" s="38"/>
      <c r="LZU121" s="36"/>
      <c r="LZV121" s="38"/>
      <c r="LZW121" s="38"/>
      <c r="MAC121" s="36"/>
      <c r="MAD121" s="38"/>
      <c r="MAE121" s="38"/>
      <c r="MAK121" s="36"/>
      <c r="MAL121" s="38"/>
      <c r="MAM121" s="38"/>
      <c r="MAS121" s="36"/>
      <c r="MAT121" s="38"/>
      <c r="MAU121" s="38"/>
      <c r="MBA121" s="36"/>
      <c r="MBB121" s="38"/>
      <c r="MBC121" s="38"/>
      <c r="MBI121" s="36"/>
      <c r="MBJ121" s="38"/>
      <c r="MBK121" s="38"/>
      <c r="MBQ121" s="36"/>
      <c r="MBR121" s="38"/>
      <c r="MBS121" s="38"/>
      <c r="MBY121" s="36"/>
      <c r="MBZ121" s="38"/>
      <c r="MCA121" s="38"/>
      <c r="MCG121" s="36"/>
      <c r="MCH121" s="38"/>
      <c r="MCI121" s="38"/>
      <c r="MCO121" s="36"/>
      <c r="MCP121" s="38"/>
      <c r="MCQ121" s="38"/>
      <c r="MCW121" s="36"/>
      <c r="MCX121" s="38"/>
      <c r="MCY121" s="38"/>
      <c r="MDE121" s="36"/>
      <c r="MDF121" s="38"/>
      <c r="MDG121" s="38"/>
      <c r="MDM121" s="36"/>
      <c r="MDN121" s="38"/>
      <c r="MDO121" s="38"/>
      <c r="MDU121" s="36"/>
      <c r="MDV121" s="38"/>
      <c r="MDW121" s="38"/>
      <c r="MEC121" s="36"/>
      <c r="MED121" s="38"/>
      <c r="MEE121" s="38"/>
      <c r="MEK121" s="36"/>
      <c r="MEL121" s="38"/>
      <c r="MEM121" s="38"/>
      <c r="MES121" s="36"/>
      <c r="MET121" s="38"/>
      <c r="MEU121" s="38"/>
      <c r="MFA121" s="36"/>
      <c r="MFB121" s="38"/>
      <c r="MFC121" s="38"/>
      <c r="MFI121" s="36"/>
      <c r="MFJ121" s="38"/>
      <c r="MFK121" s="38"/>
      <c r="MFQ121" s="36"/>
      <c r="MFR121" s="38"/>
      <c r="MFS121" s="38"/>
      <c r="MFY121" s="36"/>
      <c r="MFZ121" s="38"/>
      <c r="MGA121" s="38"/>
      <c r="MGG121" s="36"/>
      <c r="MGH121" s="38"/>
      <c r="MGI121" s="38"/>
      <c r="MGO121" s="36"/>
      <c r="MGP121" s="38"/>
      <c r="MGQ121" s="38"/>
      <c r="MGW121" s="36"/>
      <c r="MGX121" s="38"/>
      <c r="MGY121" s="38"/>
      <c r="MHE121" s="36"/>
      <c r="MHF121" s="38"/>
      <c r="MHG121" s="38"/>
      <c r="MHM121" s="36"/>
      <c r="MHN121" s="38"/>
      <c r="MHO121" s="38"/>
      <c r="MHU121" s="36"/>
      <c r="MHV121" s="38"/>
      <c r="MHW121" s="38"/>
      <c r="MIC121" s="36"/>
      <c r="MID121" s="38"/>
      <c r="MIE121" s="38"/>
      <c r="MIK121" s="36"/>
      <c r="MIL121" s="38"/>
      <c r="MIM121" s="38"/>
      <c r="MIS121" s="36"/>
      <c r="MIT121" s="38"/>
      <c r="MIU121" s="38"/>
      <c r="MJA121" s="36"/>
      <c r="MJB121" s="38"/>
      <c r="MJC121" s="38"/>
      <c r="MJI121" s="36"/>
      <c r="MJJ121" s="38"/>
      <c r="MJK121" s="38"/>
      <c r="MJQ121" s="36"/>
      <c r="MJR121" s="38"/>
      <c r="MJS121" s="38"/>
      <c r="MJY121" s="36"/>
      <c r="MJZ121" s="38"/>
      <c r="MKA121" s="38"/>
      <c r="MKG121" s="36"/>
      <c r="MKH121" s="38"/>
      <c r="MKI121" s="38"/>
      <c r="MKO121" s="36"/>
      <c r="MKP121" s="38"/>
      <c r="MKQ121" s="38"/>
      <c r="MKW121" s="36"/>
      <c r="MKX121" s="38"/>
      <c r="MKY121" s="38"/>
      <c r="MLE121" s="36"/>
      <c r="MLF121" s="38"/>
      <c r="MLG121" s="38"/>
      <c r="MLM121" s="36"/>
      <c r="MLN121" s="38"/>
      <c r="MLO121" s="38"/>
      <c r="MLU121" s="36"/>
      <c r="MLV121" s="38"/>
      <c r="MLW121" s="38"/>
      <c r="MMC121" s="36"/>
      <c r="MMD121" s="38"/>
      <c r="MME121" s="38"/>
      <c r="MMK121" s="36"/>
      <c r="MML121" s="38"/>
      <c r="MMM121" s="38"/>
      <c r="MMS121" s="36"/>
      <c r="MMT121" s="38"/>
      <c r="MMU121" s="38"/>
      <c r="MNA121" s="36"/>
      <c r="MNB121" s="38"/>
      <c r="MNC121" s="38"/>
      <c r="MNI121" s="36"/>
      <c r="MNJ121" s="38"/>
      <c r="MNK121" s="38"/>
      <c r="MNQ121" s="36"/>
      <c r="MNR121" s="38"/>
      <c r="MNS121" s="38"/>
      <c r="MNY121" s="36"/>
      <c r="MNZ121" s="38"/>
      <c r="MOA121" s="38"/>
      <c r="MOG121" s="36"/>
      <c r="MOH121" s="38"/>
      <c r="MOI121" s="38"/>
      <c r="MOO121" s="36"/>
      <c r="MOP121" s="38"/>
      <c r="MOQ121" s="38"/>
      <c r="MOW121" s="36"/>
      <c r="MOX121" s="38"/>
      <c r="MOY121" s="38"/>
      <c r="MPE121" s="36"/>
      <c r="MPF121" s="38"/>
      <c r="MPG121" s="38"/>
      <c r="MPM121" s="36"/>
      <c r="MPN121" s="38"/>
      <c r="MPO121" s="38"/>
      <c r="MPU121" s="36"/>
      <c r="MPV121" s="38"/>
      <c r="MPW121" s="38"/>
      <c r="MQC121" s="36"/>
      <c r="MQD121" s="38"/>
      <c r="MQE121" s="38"/>
      <c r="MQK121" s="36"/>
      <c r="MQL121" s="38"/>
      <c r="MQM121" s="38"/>
      <c r="MQS121" s="36"/>
      <c r="MQT121" s="38"/>
      <c r="MQU121" s="38"/>
      <c r="MRA121" s="36"/>
      <c r="MRB121" s="38"/>
      <c r="MRC121" s="38"/>
      <c r="MRI121" s="36"/>
      <c r="MRJ121" s="38"/>
      <c r="MRK121" s="38"/>
      <c r="MRQ121" s="36"/>
      <c r="MRR121" s="38"/>
      <c r="MRS121" s="38"/>
      <c r="MRY121" s="36"/>
      <c r="MRZ121" s="38"/>
      <c r="MSA121" s="38"/>
      <c r="MSG121" s="36"/>
      <c r="MSH121" s="38"/>
      <c r="MSI121" s="38"/>
      <c r="MSO121" s="36"/>
      <c r="MSP121" s="38"/>
      <c r="MSQ121" s="38"/>
      <c r="MSW121" s="36"/>
      <c r="MSX121" s="38"/>
      <c r="MSY121" s="38"/>
      <c r="MTE121" s="36"/>
      <c r="MTF121" s="38"/>
      <c r="MTG121" s="38"/>
      <c r="MTM121" s="36"/>
      <c r="MTN121" s="38"/>
      <c r="MTO121" s="38"/>
      <c r="MTU121" s="36"/>
      <c r="MTV121" s="38"/>
      <c r="MTW121" s="38"/>
      <c r="MUC121" s="36"/>
      <c r="MUD121" s="38"/>
      <c r="MUE121" s="38"/>
      <c r="MUK121" s="36"/>
      <c r="MUL121" s="38"/>
      <c r="MUM121" s="38"/>
      <c r="MUS121" s="36"/>
      <c r="MUT121" s="38"/>
      <c r="MUU121" s="38"/>
      <c r="MVA121" s="36"/>
      <c r="MVB121" s="38"/>
      <c r="MVC121" s="38"/>
      <c r="MVI121" s="36"/>
      <c r="MVJ121" s="38"/>
      <c r="MVK121" s="38"/>
      <c r="MVQ121" s="36"/>
      <c r="MVR121" s="38"/>
      <c r="MVS121" s="38"/>
      <c r="MVY121" s="36"/>
      <c r="MVZ121" s="38"/>
      <c r="MWA121" s="38"/>
      <c r="MWG121" s="36"/>
      <c r="MWH121" s="38"/>
      <c r="MWI121" s="38"/>
      <c r="MWO121" s="36"/>
      <c r="MWP121" s="38"/>
      <c r="MWQ121" s="38"/>
      <c r="MWW121" s="36"/>
      <c r="MWX121" s="38"/>
      <c r="MWY121" s="38"/>
      <c r="MXE121" s="36"/>
      <c r="MXF121" s="38"/>
      <c r="MXG121" s="38"/>
      <c r="MXM121" s="36"/>
      <c r="MXN121" s="38"/>
      <c r="MXO121" s="38"/>
      <c r="MXU121" s="36"/>
      <c r="MXV121" s="38"/>
      <c r="MXW121" s="38"/>
      <c r="MYC121" s="36"/>
      <c r="MYD121" s="38"/>
      <c r="MYE121" s="38"/>
      <c r="MYK121" s="36"/>
      <c r="MYL121" s="38"/>
      <c r="MYM121" s="38"/>
      <c r="MYS121" s="36"/>
      <c r="MYT121" s="38"/>
      <c r="MYU121" s="38"/>
      <c r="MZA121" s="36"/>
      <c r="MZB121" s="38"/>
      <c r="MZC121" s="38"/>
      <c r="MZI121" s="36"/>
      <c r="MZJ121" s="38"/>
      <c r="MZK121" s="38"/>
      <c r="MZQ121" s="36"/>
      <c r="MZR121" s="38"/>
      <c r="MZS121" s="38"/>
      <c r="MZY121" s="36"/>
      <c r="MZZ121" s="38"/>
      <c r="NAA121" s="38"/>
      <c r="NAG121" s="36"/>
      <c r="NAH121" s="38"/>
      <c r="NAI121" s="38"/>
      <c r="NAO121" s="36"/>
      <c r="NAP121" s="38"/>
      <c r="NAQ121" s="38"/>
      <c r="NAW121" s="36"/>
      <c r="NAX121" s="38"/>
      <c r="NAY121" s="38"/>
      <c r="NBE121" s="36"/>
      <c r="NBF121" s="38"/>
      <c r="NBG121" s="38"/>
      <c r="NBM121" s="36"/>
      <c r="NBN121" s="38"/>
      <c r="NBO121" s="38"/>
      <c r="NBU121" s="36"/>
      <c r="NBV121" s="38"/>
      <c r="NBW121" s="38"/>
      <c r="NCC121" s="36"/>
      <c r="NCD121" s="38"/>
      <c r="NCE121" s="38"/>
      <c r="NCK121" s="36"/>
      <c r="NCL121" s="38"/>
      <c r="NCM121" s="38"/>
      <c r="NCS121" s="36"/>
      <c r="NCT121" s="38"/>
      <c r="NCU121" s="38"/>
      <c r="NDA121" s="36"/>
      <c r="NDB121" s="38"/>
      <c r="NDC121" s="38"/>
      <c r="NDI121" s="36"/>
      <c r="NDJ121" s="38"/>
      <c r="NDK121" s="38"/>
      <c r="NDQ121" s="36"/>
      <c r="NDR121" s="38"/>
      <c r="NDS121" s="38"/>
      <c r="NDY121" s="36"/>
      <c r="NDZ121" s="38"/>
      <c r="NEA121" s="38"/>
      <c r="NEG121" s="36"/>
      <c r="NEH121" s="38"/>
      <c r="NEI121" s="38"/>
      <c r="NEO121" s="36"/>
      <c r="NEP121" s="38"/>
      <c r="NEQ121" s="38"/>
      <c r="NEW121" s="36"/>
      <c r="NEX121" s="38"/>
      <c r="NEY121" s="38"/>
      <c r="NFE121" s="36"/>
      <c r="NFF121" s="38"/>
      <c r="NFG121" s="38"/>
      <c r="NFM121" s="36"/>
      <c r="NFN121" s="38"/>
      <c r="NFO121" s="38"/>
      <c r="NFU121" s="36"/>
      <c r="NFV121" s="38"/>
      <c r="NFW121" s="38"/>
      <c r="NGC121" s="36"/>
      <c r="NGD121" s="38"/>
      <c r="NGE121" s="38"/>
      <c r="NGK121" s="36"/>
      <c r="NGL121" s="38"/>
      <c r="NGM121" s="38"/>
      <c r="NGS121" s="36"/>
      <c r="NGT121" s="38"/>
      <c r="NGU121" s="38"/>
      <c r="NHA121" s="36"/>
      <c r="NHB121" s="38"/>
      <c r="NHC121" s="38"/>
      <c r="NHI121" s="36"/>
      <c r="NHJ121" s="38"/>
      <c r="NHK121" s="38"/>
      <c r="NHQ121" s="36"/>
      <c r="NHR121" s="38"/>
      <c r="NHS121" s="38"/>
      <c r="NHY121" s="36"/>
      <c r="NHZ121" s="38"/>
      <c r="NIA121" s="38"/>
      <c r="NIG121" s="36"/>
      <c r="NIH121" s="38"/>
      <c r="NII121" s="38"/>
      <c r="NIO121" s="36"/>
      <c r="NIP121" s="38"/>
      <c r="NIQ121" s="38"/>
      <c r="NIW121" s="36"/>
      <c r="NIX121" s="38"/>
      <c r="NIY121" s="38"/>
      <c r="NJE121" s="36"/>
      <c r="NJF121" s="38"/>
      <c r="NJG121" s="38"/>
      <c r="NJM121" s="36"/>
      <c r="NJN121" s="38"/>
      <c r="NJO121" s="38"/>
      <c r="NJU121" s="36"/>
      <c r="NJV121" s="38"/>
      <c r="NJW121" s="38"/>
      <c r="NKC121" s="36"/>
      <c r="NKD121" s="38"/>
      <c r="NKE121" s="38"/>
      <c r="NKK121" s="36"/>
      <c r="NKL121" s="38"/>
      <c r="NKM121" s="38"/>
      <c r="NKS121" s="36"/>
      <c r="NKT121" s="38"/>
      <c r="NKU121" s="38"/>
      <c r="NLA121" s="36"/>
      <c r="NLB121" s="38"/>
      <c r="NLC121" s="38"/>
      <c r="NLI121" s="36"/>
      <c r="NLJ121" s="38"/>
      <c r="NLK121" s="38"/>
      <c r="NLQ121" s="36"/>
      <c r="NLR121" s="38"/>
      <c r="NLS121" s="38"/>
      <c r="NLY121" s="36"/>
      <c r="NLZ121" s="38"/>
      <c r="NMA121" s="38"/>
      <c r="NMG121" s="36"/>
      <c r="NMH121" s="38"/>
      <c r="NMI121" s="38"/>
      <c r="NMO121" s="36"/>
      <c r="NMP121" s="38"/>
      <c r="NMQ121" s="38"/>
      <c r="NMW121" s="36"/>
      <c r="NMX121" s="38"/>
      <c r="NMY121" s="38"/>
      <c r="NNE121" s="36"/>
      <c r="NNF121" s="38"/>
      <c r="NNG121" s="38"/>
      <c r="NNM121" s="36"/>
      <c r="NNN121" s="38"/>
      <c r="NNO121" s="38"/>
      <c r="NNU121" s="36"/>
      <c r="NNV121" s="38"/>
      <c r="NNW121" s="38"/>
      <c r="NOC121" s="36"/>
      <c r="NOD121" s="38"/>
      <c r="NOE121" s="38"/>
      <c r="NOK121" s="36"/>
      <c r="NOL121" s="38"/>
      <c r="NOM121" s="38"/>
      <c r="NOS121" s="36"/>
      <c r="NOT121" s="38"/>
      <c r="NOU121" s="38"/>
      <c r="NPA121" s="36"/>
      <c r="NPB121" s="38"/>
      <c r="NPC121" s="38"/>
      <c r="NPI121" s="36"/>
      <c r="NPJ121" s="38"/>
      <c r="NPK121" s="38"/>
      <c r="NPQ121" s="36"/>
      <c r="NPR121" s="38"/>
      <c r="NPS121" s="38"/>
      <c r="NPY121" s="36"/>
      <c r="NPZ121" s="38"/>
      <c r="NQA121" s="38"/>
      <c r="NQG121" s="36"/>
      <c r="NQH121" s="38"/>
      <c r="NQI121" s="38"/>
      <c r="NQO121" s="36"/>
      <c r="NQP121" s="38"/>
      <c r="NQQ121" s="38"/>
      <c r="NQW121" s="36"/>
      <c r="NQX121" s="38"/>
      <c r="NQY121" s="38"/>
      <c r="NRE121" s="36"/>
      <c r="NRF121" s="38"/>
      <c r="NRG121" s="38"/>
      <c r="NRM121" s="36"/>
      <c r="NRN121" s="38"/>
      <c r="NRO121" s="38"/>
      <c r="NRU121" s="36"/>
      <c r="NRV121" s="38"/>
      <c r="NRW121" s="38"/>
      <c r="NSC121" s="36"/>
      <c r="NSD121" s="38"/>
      <c r="NSE121" s="38"/>
      <c r="NSK121" s="36"/>
      <c r="NSL121" s="38"/>
      <c r="NSM121" s="38"/>
      <c r="NSS121" s="36"/>
      <c r="NST121" s="38"/>
      <c r="NSU121" s="38"/>
      <c r="NTA121" s="36"/>
      <c r="NTB121" s="38"/>
      <c r="NTC121" s="38"/>
      <c r="NTI121" s="36"/>
      <c r="NTJ121" s="38"/>
      <c r="NTK121" s="38"/>
      <c r="NTQ121" s="36"/>
      <c r="NTR121" s="38"/>
      <c r="NTS121" s="38"/>
      <c r="NTY121" s="36"/>
      <c r="NTZ121" s="38"/>
      <c r="NUA121" s="38"/>
      <c r="NUG121" s="36"/>
      <c r="NUH121" s="38"/>
      <c r="NUI121" s="38"/>
      <c r="NUO121" s="36"/>
      <c r="NUP121" s="38"/>
      <c r="NUQ121" s="38"/>
      <c r="NUW121" s="36"/>
      <c r="NUX121" s="38"/>
      <c r="NUY121" s="38"/>
      <c r="NVE121" s="36"/>
      <c r="NVF121" s="38"/>
      <c r="NVG121" s="38"/>
      <c r="NVM121" s="36"/>
      <c r="NVN121" s="38"/>
      <c r="NVO121" s="38"/>
      <c r="NVU121" s="36"/>
      <c r="NVV121" s="38"/>
      <c r="NVW121" s="38"/>
      <c r="NWC121" s="36"/>
      <c r="NWD121" s="38"/>
      <c r="NWE121" s="38"/>
      <c r="NWK121" s="36"/>
      <c r="NWL121" s="38"/>
      <c r="NWM121" s="38"/>
      <c r="NWS121" s="36"/>
      <c r="NWT121" s="38"/>
      <c r="NWU121" s="38"/>
      <c r="NXA121" s="36"/>
      <c r="NXB121" s="38"/>
      <c r="NXC121" s="38"/>
      <c r="NXI121" s="36"/>
      <c r="NXJ121" s="38"/>
      <c r="NXK121" s="38"/>
      <c r="NXQ121" s="36"/>
      <c r="NXR121" s="38"/>
      <c r="NXS121" s="38"/>
      <c r="NXY121" s="36"/>
      <c r="NXZ121" s="38"/>
      <c r="NYA121" s="38"/>
      <c r="NYG121" s="36"/>
      <c r="NYH121" s="38"/>
      <c r="NYI121" s="38"/>
      <c r="NYO121" s="36"/>
      <c r="NYP121" s="38"/>
      <c r="NYQ121" s="38"/>
      <c r="NYW121" s="36"/>
      <c r="NYX121" s="38"/>
      <c r="NYY121" s="38"/>
      <c r="NZE121" s="36"/>
      <c r="NZF121" s="38"/>
      <c r="NZG121" s="38"/>
      <c r="NZM121" s="36"/>
      <c r="NZN121" s="38"/>
      <c r="NZO121" s="38"/>
      <c r="NZU121" s="36"/>
      <c r="NZV121" s="38"/>
      <c r="NZW121" s="38"/>
      <c r="OAC121" s="36"/>
      <c r="OAD121" s="38"/>
      <c r="OAE121" s="38"/>
      <c r="OAK121" s="36"/>
      <c r="OAL121" s="38"/>
      <c r="OAM121" s="38"/>
      <c r="OAS121" s="36"/>
      <c r="OAT121" s="38"/>
      <c r="OAU121" s="38"/>
      <c r="OBA121" s="36"/>
      <c r="OBB121" s="38"/>
      <c r="OBC121" s="38"/>
      <c r="OBI121" s="36"/>
      <c r="OBJ121" s="38"/>
      <c r="OBK121" s="38"/>
      <c r="OBQ121" s="36"/>
      <c r="OBR121" s="38"/>
      <c r="OBS121" s="38"/>
      <c r="OBY121" s="36"/>
      <c r="OBZ121" s="38"/>
      <c r="OCA121" s="38"/>
      <c r="OCG121" s="36"/>
      <c r="OCH121" s="38"/>
      <c r="OCI121" s="38"/>
      <c r="OCO121" s="36"/>
      <c r="OCP121" s="38"/>
      <c r="OCQ121" s="38"/>
      <c r="OCW121" s="36"/>
      <c r="OCX121" s="38"/>
      <c r="OCY121" s="38"/>
      <c r="ODE121" s="36"/>
      <c r="ODF121" s="38"/>
      <c r="ODG121" s="38"/>
      <c r="ODM121" s="36"/>
      <c r="ODN121" s="38"/>
      <c r="ODO121" s="38"/>
      <c r="ODU121" s="36"/>
      <c r="ODV121" s="38"/>
      <c r="ODW121" s="38"/>
      <c r="OEC121" s="36"/>
      <c r="OED121" s="38"/>
      <c r="OEE121" s="38"/>
      <c r="OEK121" s="36"/>
      <c r="OEL121" s="38"/>
      <c r="OEM121" s="38"/>
      <c r="OES121" s="36"/>
      <c r="OET121" s="38"/>
      <c r="OEU121" s="38"/>
      <c r="OFA121" s="36"/>
      <c r="OFB121" s="38"/>
      <c r="OFC121" s="38"/>
      <c r="OFI121" s="36"/>
      <c r="OFJ121" s="38"/>
      <c r="OFK121" s="38"/>
      <c r="OFQ121" s="36"/>
      <c r="OFR121" s="38"/>
      <c r="OFS121" s="38"/>
      <c r="OFY121" s="36"/>
      <c r="OFZ121" s="38"/>
      <c r="OGA121" s="38"/>
      <c r="OGG121" s="36"/>
      <c r="OGH121" s="38"/>
      <c r="OGI121" s="38"/>
      <c r="OGO121" s="36"/>
      <c r="OGP121" s="38"/>
      <c r="OGQ121" s="38"/>
      <c r="OGW121" s="36"/>
      <c r="OGX121" s="38"/>
      <c r="OGY121" s="38"/>
      <c r="OHE121" s="36"/>
      <c r="OHF121" s="38"/>
      <c r="OHG121" s="38"/>
      <c r="OHM121" s="36"/>
      <c r="OHN121" s="38"/>
      <c r="OHO121" s="38"/>
      <c r="OHU121" s="36"/>
      <c r="OHV121" s="38"/>
      <c r="OHW121" s="38"/>
      <c r="OIC121" s="36"/>
      <c r="OID121" s="38"/>
      <c r="OIE121" s="38"/>
      <c r="OIK121" s="36"/>
      <c r="OIL121" s="38"/>
      <c r="OIM121" s="38"/>
      <c r="OIS121" s="36"/>
      <c r="OIT121" s="38"/>
      <c r="OIU121" s="38"/>
      <c r="OJA121" s="36"/>
      <c r="OJB121" s="38"/>
      <c r="OJC121" s="38"/>
      <c r="OJI121" s="36"/>
      <c r="OJJ121" s="38"/>
      <c r="OJK121" s="38"/>
      <c r="OJQ121" s="36"/>
      <c r="OJR121" s="38"/>
      <c r="OJS121" s="38"/>
      <c r="OJY121" s="36"/>
      <c r="OJZ121" s="38"/>
      <c r="OKA121" s="38"/>
      <c r="OKG121" s="36"/>
      <c r="OKH121" s="38"/>
      <c r="OKI121" s="38"/>
      <c r="OKO121" s="36"/>
      <c r="OKP121" s="38"/>
      <c r="OKQ121" s="38"/>
      <c r="OKW121" s="36"/>
      <c r="OKX121" s="38"/>
      <c r="OKY121" s="38"/>
      <c r="OLE121" s="36"/>
      <c r="OLF121" s="38"/>
      <c r="OLG121" s="38"/>
      <c r="OLM121" s="36"/>
      <c r="OLN121" s="38"/>
      <c r="OLO121" s="38"/>
      <c r="OLU121" s="36"/>
      <c r="OLV121" s="38"/>
      <c r="OLW121" s="38"/>
      <c r="OMC121" s="36"/>
      <c r="OMD121" s="38"/>
      <c r="OME121" s="38"/>
      <c r="OMK121" s="36"/>
      <c r="OML121" s="38"/>
      <c r="OMM121" s="38"/>
      <c r="OMS121" s="36"/>
      <c r="OMT121" s="38"/>
      <c r="OMU121" s="38"/>
      <c r="ONA121" s="36"/>
      <c r="ONB121" s="38"/>
      <c r="ONC121" s="38"/>
      <c r="ONI121" s="36"/>
      <c r="ONJ121" s="38"/>
      <c r="ONK121" s="38"/>
      <c r="ONQ121" s="36"/>
      <c r="ONR121" s="38"/>
      <c r="ONS121" s="38"/>
      <c r="ONY121" s="36"/>
      <c r="ONZ121" s="38"/>
      <c r="OOA121" s="38"/>
      <c r="OOG121" s="36"/>
      <c r="OOH121" s="38"/>
      <c r="OOI121" s="38"/>
      <c r="OOO121" s="36"/>
      <c r="OOP121" s="38"/>
      <c r="OOQ121" s="38"/>
      <c r="OOW121" s="36"/>
      <c r="OOX121" s="38"/>
      <c r="OOY121" s="38"/>
      <c r="OPE121" s="36"/>
      <c r="OPF121" s="38"/>
      <c r="OPG121" s="38"/>
      <c r="OPM121" s="36"/>
      <c r="OPN121" s="38"/>
      <c r="OPO121" s="38"/>
      <c r="OPU121" s="36"/>
      <c r="OPV121" s="38"/>
      <c r="OPW121" s="38"/>
      <c r="OQC121" s="36"/>
      <c r="OQD121" s="38"/>
      <c r="OQE121" s="38"/>
      <c r="OQK121" s="36"/>
      <c r="OQL121" s="38"/>
      <c r="OQM121" s="38"/>
      <c r="OQS121" s="36"/>
      <c r="OQT121" s="38"/>
      <c r="OQU121" s="38"/>
      <c r="ORA121" s="36"/>
      <c r="ORB121" s="38"/>
      <c r="ORC121" s="38"/>
      <c r="ORI121" s="36"/>
      <c r="ORJ121" s="38"/>
      <c r="ORK121" s="38"/>
      <c r="ORQ121" s="36"/>
      <c r="ORR121" s="38"/>
      <c r="ORS121" s="38"/>
      <c r="ORY121" s="36"/>
      <c r="ORZ121" s="38"/>
      <c r="OSA121" s="38"/>
      <c r="OSG121" s="36"/>
      <c r="OSH121" s="38"/>
      <c r="OSI121" s="38"/>
      <c r="OSO121" s="36"/>
      <c r="OSP121" s="38"/>
      <c r="OSQ121" s="38"/>
      <c r="OSW121" s="36"/>
      <c r="OSX121" s="38"/>
      <c r="OSY121" s="38"/>
      <c r="OTE121" s="36"/>
      <c r="OTF121" s="38"/>
      <c r="OTG121" s="38"/>
      <c r="OTM121" s="36"/>
      <c r="OTN121" s="38"/>
      <c r="OTO121" s="38"/>
      <c r="OTU121" s="36"/>
      <c r="OTV121" s="38"/>
      <c r="OTW121" s="38"/>
      <c r="OUC121" s="36"/>
      <c r="OUD121" s="38"/>
      <c r="OUE121" s="38"/>
      <c r="OUK121" s="36"/>
      <c r="OUL121" s="38"/>
      <c r="OUM121" s="38"/>
      <c r="OUS121" s="36"/>
      <c r="OUT121" s="38"/>
      <c r="OUU121" s="38"/>
      <c r="OVA121" s="36"/>
      <c r="OVB121" s="38"/>
      <c r="OVC121" s="38"/>
      <c r="OVI121" s="36"/>
      <c r="OVJ121" s="38"/>
      <c r="OVK121" s="38"/>
      <c r="OVQ121" s="36"/>
      <c r="OVR121" s="38"/>
      <c r="OVS121" s="38"/>
      <c r="OVY121" s="36"/>
      <c r="OVZ121" s="38"/>
      <c r="OWA121" s="38"/>
      <c r="OWG121" s="36"/>
      <c r="OWH121" s="38"/>
      <c r="OWI121" s="38"/>
      <c r="OWO121" s="36"/>
      <c r="OWP121" s="38"/>
      <c r="OWQ121" s="38"/>
      <c r="OWW121" s="36"/>
      <c r="OWX121" s="38"/>
      <c r="OWY121" s="38"/>
      <c r="OXE121" s="36"/>
      <c r="OXF121" s="38"/>
      <c r="OXG121" s="38"/>
      <c r="OXM121" s="36"/>
      <c r="OXN121" s="38"/>
      <c r="OXO121" s="38"/>
      <c r="OXU121" s="36"/>
      <c r="OXV121" s="38"/>
      <c r="OXW121" s="38"/>
      <c r="OYC121" s="36"/>
      <c r="OYD121" s="38"/>
      <c r="OYE121" s="38"/>
      <c r="OYK121" s="36"/>
      <c r="OYL121" s="38"/>
      <c r="OYM121" s="38"/>
      <c r="OYS121" s="36"/>
      <c r="OYT121" s="38"/>
      <c r="OYU121" s="38"/>
      <c r="OZA121" s="36"/>
      <c r="OZB121" s="38"/>
      <c r="OZC121" s="38"/>
      <c r="OZI121" s="36"/>
      <c r="OZJ121" s="38"/>
      <c r="OZK121" s="38"/>
      <c r="OZQ121" s="36"/>
      <c r="OZR121" s="38"/>
      <c r="OZS121" s="38"/>
      <c r="OZY121" s="36"/>
      <c r="OZZ121" s="38"/>
      <c r="PAA121" s="38"/>
      <c r="PAG121" s="36"/>
      <c r="PAH121" s="38"/>
      <c r="PAI121" s="38"/>
      <c r="PAO121" s="36"/>
      <c r="PAP121" s="38"/>
      <c r="PAQ121" s="38"/>
      <c r="PAW121" s="36"/>
      <c r="PAX121" s="38"/>
      <c r="PAY121" s="38"/>
      <c r="PBE121" s="36"/>
      <c r="PBF121" s="38"/>
      <c r="PBG121" s="38"/>
      <c r="PBM121" s="36"/>
      <c r="PBN121" s="38"/>
      <c r="PBO121" s="38"/>
      <c r="PBU121" s="36"/>
      <c r="PBV121" s="38"/>
      <c r="PBW121" s="38"/>
      <c r="PCC121" s="36"/>
      <c r="PCD121" s="38"/>
      <c r="PCE121" s="38"/>
      <c r="PCK121" s="36"/>
      <c r="PCL121" s="38"/>
      <c r="PCM121" s="38"/>
      <c r="PCS121" s="36"/>
      <c r="PCT121" s="38"/>
      <c r="PCU121" s="38"/>
      <c r="PDA121" s="36"/>
      <c r="PDB121" s="38"/>
      <c r="PDC121" s="38"/>
      <c r="PDI121" s="36"/>
      <c r="PDJ121" s="38"/>
      <c r="PDK121" s="38"/>
      <c r="PDQ121" s="36"/>
      <c r="PDR121" s="38"/>
      <c r="PDS121" s="38"/>
      <c r="PDY121" s="36"/>
      <c r="PDZ121" s="38"/>
      <c r="PEA121" s="38"/>
      <c r="PEG121" s="36"/>
      <c r="PEH121" s="38"/>
      <c r="PEI121" s="38"/>
      <c r="PEO121" s="36"/>
      <c r="PEP121" s="38"/>
      <c r="PEQ121" s="38"/>
      <c r="PEW121" s="36"/>
      <c r="PEX121" s="38"/>
      <c r="PEY121" s="38"/>
      <c r="PFE121" s="36"/>
      <c r="PFF121" s="38"/>
      <c r="PFG121" s="38"/>
      <c r="PFM121" s="36"/>
      <c r="PFN121" s="38"/>
      <c r="PFO121" s="38"/>
      <c r="PFU121" s="36"/>
      <c r="PFV121" s="38"/>
      <c r="PFW121" s="38"/>
      <c r="PGC121" s="36"/>
      <c r="PGD121" s="38"/>
      <c r="PGE121" s="38"/>
      <c r="PGK121" s="36"/>
      <c r="PGL121" s="38"/>
      <c r="PGM121" s="38"/>
      <c r="PGS121" s="36"/>
      <c r="PGT121" s="38"/>
      <c r="PGU121" s="38"/>
      <c r="PHA121" s="36"/>
      <c r="PHB121" s="38"/>
      <c r="PHC121" s="38"/>
      <c r="PHI121" s="36"/>
      <c r="PHJ121" s="38"/>
      <c r="PHK121" s="38"/>
      <c r="PHQ121" s="36"/>
      <c r="PHR121" s="38"/>
      <c r="PHS121" s="38"/>
      <c r="PHY121" s="36"/>
      <c r="PHZ121" s="38"/>
      <c r="PIA121" s="38"/>
      <c r="PIG121" s="36"/>
      <c r="PIH121" s="38"/>
      <c r="PII121" s="38"/>
      <c r="PIO121" s="36"/>
      <c r="PIP121" s="38"/>
      <c r="PIQ121" s="38"/>
      <c r="PIW121" s="36"/>
      <c r="PIX121" s="38"/>
      <c r="PIY121" s="38"/>
      <c r="PJE121" s="36"/>
      <c r="PJF121" s="38"/>
      <c r="PJG121" s="38"/>
      <c r="PJM121" s="36"/>
      <c r="PJN121" s="38"/>
      <c r="PJO121" s="38"/>
      <c r="PJU121" s="36"/>
      <c r="PJV121" s="38"/>
      <c r="PJW121" s="38"/>
      <c r="PKC121" s="36"/>
      <c r="PKD121" s="38"/>
      <c r="PKE121" s="38"/>
      <c r="PKK121" s="36"/>
      <c r="PKL121" s="38"/>
      <c r="PKM121" s="38"/>
      <c r="PKS121" s="36"/>
      <c r="PKT121" s="38"/>
      <c r="PKU121" s="38"/>
      <c r="PLA121" s="36"/>
      <c r="PLB121" s="38"/>
      <c r="PLC121" s="38"/>
      <c r="PLI121" s="36"/>
      <c r="PLJ121" s="38"/>
      <c r="PLK121" s="38"/>
      <c r="PLQ121" s="36"/>
      <c r="PLR121" s="38"/>
      <c r="PLS121" s="38"/>
      <c r="PLY121" s="36"/>
      <c r="PLZ121" s="38"/>
      <c r="PMA121" s="38"/>
      <c r="PMG121" s="36"/>
      <c r="PMH121" s="38"/>
      <c r="PMI121" s="38"/>
      <c r="PMO121" s="36"/>
      <c r="PMP121" s="38"/>
      <c r="PMQ121" s="38"/>
      <c r="PMW121" s="36"/>
      <c r="PMX121" s="38"/>
      <c r="PMY121" s="38"/>
      <c r="PNE121" s="36"/>
      <c r="PNF121" s="38"/>
      <c r="PNG121" s="38"/>
      <c r="PNM121" s="36"/>
      <c r="PNN121" s="38"/>
      <c r="PNO121" s="38"/>
      <c r="PNU121" s="36"/>
      <c r="PNV121" s="38"/>
      <c r="PNW121" s="38"/>
      <c r="POC121" s="36"/>
      <c r="POD121" s="38"/>
      <c r="POE121" s="38"/>
      <c r="POK121" s="36"/>
      <c r="POL121" s="38"/>
      <c r="POM121" s="38"/>
      <c r="POS121" s="36"/>
      <c r="POT121" s="38"/>
      <c r="POU121" s="38"/>
      <c r="PPA121" s="36"/>
      <c r="PPB121" s="38"/>
      <c r="PPC121" s="38"/>
      <c r="PPI121" s="36"/>
      <c r="PPJ121" s="38"/>
      <c r="PPK121" s="38"/>
      <c r="PPQ121" s="36"/>
      <c r="PPR121" s="38"/>
      <c r="PPS121" s="38"/>
      <c r="PPY121" s="36"/>
      <c r="PPZ121" s="38"/>
      <c r="PQA121" s="38"/>
      <c r="PQG121" s="36"/>
      <c r="PQH121" s="38"/>
      <c r="PQI121" s="38"/>
      <c r="PQO121" s="36"/>
      <c r="PQP121" s="38"/>
      <c r="PQQ121" s="38"/>
      <c r="PQW121" s="36"/>
      <c r="PQX121" s="38"/>
      <c r="PQY121" s="38"/>
      <c r="PRE121" s="36"/>
      <c r="PRF121" s="38"/>
      <c r="PRG121" s="38"/>
      <c r="PRM121" s="36"/>
      <c r="PRN121" s="38"/>
      <c r="PRO121" s="38"/>
      <c r="PRU121" s="36"/>
      <c r="PRV121" s="38"/>
      <c r="PRW121" s="38"/>
      <c r="PSC121" s="36"/>
      <c r="PSD121" s="38"/>
      <c r="PSE121" s="38"/>
      <c r="PSK121" s="36"/>
      <c r="PSL121" s="38"/>
      <c r="PSM121" s="38"/>
      <c r="PSS121" s="36"/>
      <c r="PST121" s="38"/>
      <c r="PSU121" s="38"/>
      <c r="PTA121" s="36"/>
      <c r="PTB121" s="38"/>
      <c r="PTC121" s="38"/>
      <c r="PTI121" s="36"/>
      <c r="PTJ121" s="38"/>
      <c r="PTK121" s="38"/>
      <c r="PTQ121" s="36"/>
      <c r="PTR121" s="38"/>
      <c r="PTS121" s="38"/>
      <c r="PTY121" s="36"/>
      <c r="PTZ121" s="38"/>
      <c r="PUA121" s="38"/>
      <c r="PUG121" s="36"/>
      <c r="PUH121" s="38"/>
      <c r="PUI121" s="38"/>
      <c r="PUO121" s="36"/>
      <c r="PUP121" s="38"/>
      <c r="PUQ121" s="38"/>
      <c r="PUW121" s="36"/>
      <c r="PUX121" s="38"/>
      <c r="PUY121" s="38"/>
      <c r="PVE121" s="36"/>
      <c r="PVF121" s="38"/>
      <c r="PVG121" s="38"/>
      <c r="PVM121" s="36"/>
      <c r="PVN121" s="38"/>
      <c r="PVO121" s="38"/>
      <c r="PVU121" s="36"/>
      <c r="PVV121" s="38"/>
      <c r="PVW121" s="38"/>
      <c r="PWC121" s="36"/>
      <c r="PWD121" s="38"/>
      <c r="PWE121" s="38"/>
      <c r="PWK121" s="36"/>
      <c r="PWL121" s="38"/>
      <c r="PWM121" s="38"/>
      <c r="PWS121" s="36"/>
      <c r="PWT121" s="38"/>
      <c r="PWU121" s="38"/>
      <c r="PXA121" s="36"/>
      <c r="PXB121" s="38"/>
      <c r="PXC121" s="38"/>
      <c r="PXI121" s="36"/>
      <c r="PXJ121" s="38"/>
      <c r="PXK121" s="38"/>
      <c r="PXQ121" s="36"/>
      <c r="PXR121" s="38"/>
      <c r="PXS121" s="38"/>
      <c r="PXY121" s="36"/>
      <c r="PXZ121" s="38"/>
      <c r="PYA121" s="38"/>
      <c r="PYG121" s="36"/>
      <c r="PYH121" s="38"/>
      <c r="PYI121" s="38"/>
      <c r="PYO121" s="36"/>
      <c r="PYP121" s="38"/>
      <c r="PYQ121" s="38"/>
      <c r="PYW121" s="36"/>
      <c r="PYX121" s="38"/>
      <c r="PYY121" s="38"/>
      <c r="PZE121" s="36"/>
      <c r="PZF121" s="38"/>
      <c r="PZG121" s="38"/>
      <c r="PZM121" s="36"/>
      <c r="PZN121" s="38"/>
      <c r="PZO121" s="38"/>
      <c r="PZU121" s="36"/>
      <c r="PZV121" s="38"/>
      <c r="PZW121" s="38"/>
      <c r="QAC121" s="36"/>
      <c r="QAD121" s="38"/>
      <c r="QAE121" s="38"/>
      <c r="QAK121" s="36"/>
      <c r="QAL121" s="38"/>
      <c r="QAM121" s="38"/>
      <c r="QAS121" s="36"/>
      <c r="QAT121" s="38"/>
      <c r="QAU121" s="38"/>
      <c r="QBA121" s="36"/>
      <c r="QBB121" s="38"/>
      <c r="QBC121" s="38"/>
      <c r="QBI121" s="36"/>
      <c r="QBJ121" s="38"/>
      <c r="QBK121" s="38"/>
      <c r="QBQ121" s="36"/>
      <c r="QBR121" s="38"/>
      <c r="QBS121" s="38"/>
      <c r="QBY121" s="36"/>
      <c r="QBZ121" s="38"/>
      <c r="QCA121" s="38"/>
      <c r="QCG121" s="36"/>
      <c r="QCH121" s="38"/>
      <c r="QCI121" s="38"/>
      <c r="QCO121" s="36"/>
      <c r="QCP121" s="38"/>
      <c r="QCQ121" s="38"/>
      <c r="QCW121" s="36"/>
      <c r="QCX121" s="38"/>
      <c r="QCY121" s="38"/>
      <c r="QDE121" s="36"/>
      <c r="QDF121" s="38"/>
      <c r="QDG121" s="38"/>
      <c r="QDM121" s="36"/>
      <c r="QDN121" s="38"/>
      <c r="QDO121" s="38"/>
      <c r="QDU121" s="36"/>
      <c r="QDV121" s="38"/>
      <c r="QDW121" s="38"/>
      <c r="QEC121" s="36"/>
      <c r="QED121" s="38"/>
      <c r="QEE121" s="38"/>
      <c r="QEK121" s="36"/>
      <c r="QEL121" s="38"/>
      <c r="QEM121" s="38"/>
      <c r="QES121" s="36"/>
      <c r="QET121" s="38"/>
      <c r="QEU121" s="38"/>
      <c r="QFA121" s="36"/>
      <c r="QFB121" s="38"/>
      <c r="QFC121" s="38"/>
      <c r="QFI121" s="36"/>
      <c r="QFJ121" s="38"/>
      <c r="QFK121" s="38"/>
      <c r="QFQ121" s="36"/>
      <c r="QFR121" s="38"/>
      <c r="QFS121" s="38"/>
      <c r="QFY121" s="36"/>
      <c r="QFZ121" s="38"/>
      <c r="QGA121" s="38"/>
      <c r="QGG121" s="36"/>
      <c r="QGH121" s="38"/>
      <c r="QGI121" s="38"/>
      <c r="QGO121" s="36"/>
      <c r="QGP121" s="38"/>
      <c r="QGQ121" s="38"/>
      <c r="QGW121" s="36"/>
      <c r="QGX121" s="38"/>
      <c r="QGY121" s="38"/>
      <c r="QHE121" s="36"/>
      <c r="QHF121" s="38"/>
      <c r="QHG121" s="38"/>
      <c r="QHM121" s="36"/>
      <c r="QHN121" s="38"/>
      <c r="QHO121" s="38"/>
      <c r="QHU121" s="36"/>
      <c r="QHV121" s="38"/>
      <c r="QHW121" s="38"/>
      <c r="QIC121" s="36"/>
      <c r="QID121" s="38"/>
      <c r="QIE121" s="38"/>
      <c r="QIK121" s="36"/>
      <c r="QIL121" s="38"/>
      <c r="QIM121" s="38"/>
      <c r="QIS121" s="36"/>
      <c r="QIT121" s="38"/>
      <c r="QIU121" s="38"/>
      <c r="QJA121" s="36"/>
      <c r="QJB121" s="38"/>
      <c r="QJC121" s="38"/>
      <c r="QJI121" s="36"/>
      <c r="QJJ121" s="38"/>
      <c r="QJK121" s="38"/>
      <c r="QJQ121" s="36"/>
      <c r="QJR121" s="38"/>
      <c r="QJS121" s="38"/>
      <c r="QJY121" s="36"/>
      <c r="QJZ121" s="38"/>
      <c r="QKA121" s="38"/>
      <c r="QKG121" s="36"/>
      <c r="QKH121" s="38"/>
      <c r="QKI121" s="38"/>
      <c r="QKO121" s="36"/>
      <c r="QKP121" s="38"/>
      <c r="QKQ121" s="38"/>
      <c r="QKW121" s="36"/>
      <c r="QKX121" s="38"/>
      <c r="QKY121" s="38"/>
      <c r="QLE121" s="36"/>
      <c r="QLF121" s="38"/>
      <c r="QLG121" s="38"/>
      <c r="QLM121" s="36"/>
      <c r="QLN121" s="38"/>
      <c r="QLO121" s="38"/>
      <c r="QLU121" s="36"/>
      <c r="QLV121" s="38"/>
      <c r="QLW121" s="38"/>
      <c r="QMC121" s="36"/>
      <c r="QMD121" s="38"/>
      <c r="QME121" s="38"/>
      <c r="QMK121" s="36"/>
      <c r="QML121" s="38"/>
      <c r="QMM121" s="38"/>
      <c r="QMS121" s="36"/>
      <c r="QMT121" s="38"/>
      <c r="QMU121" s="38"/>
      <c r="QNA121" s="36"/>
      <c r="QNB121" s="38"/>
      <c r="QNC121" s="38"/>
      <c r="QNI121" s="36"/>
      <c r="QNJ121" s="38"/>
      <c r="QNK121" s="38"/>
      <c r="QNQ121" s="36"/>
      <c r="QNR121" s="38"/>
      <c r="QNS121" s="38"/>
      <c r="QNY121" s="36"/>
      <c r="QNZ121" s="38"/>
      <c r="QOA121" s="38"/>
      <c r="QOG121" s="36"/>
      <c r="QOH121" s="38"/>
      <c r="QOI121" s="38"/>
      <c r="QOO121" s="36"/>
      <c r="QOP121" s="38"/>
      <c r="QOQ121" s="38"/>
      <c r="QOW121" s="36"/>
      <c r="QOX121" s="38"/>
      <c r="QOY121" s="38"/>
      <c r="QPE121" s="36"/>
      <c r="QPF121" s="38"/>
      <c r="QPG121" s="38"/>
      <c r="QPM121" s="36"/>
      <c r="QPN121" s="38"/>
      <c r="QPO121" s="38"/>
      <c r="QPU121" s="36"/>
      <c r="QPV121" s="38"/>
      <c r="QPW121" s="38"/>
      <c r="QQC121" s="36"/>
      <c r="QQD121" s="38"/>
      <c r="QQE121" s="38"/>
      <c r="QQK121" s="36"/>
      <c r="QQL121" s="38"/>
      <c r="QQM121" s="38"/>
      <c r="QQS121" s="36"/>
      <c r="QQT121" s="38"/>
      <c r="QQU121" s="38"/>
      <c r="QRA121" s="36"/>
      <c r="QRB121" s="38"/>
      <c r="QRC121" s="38"/>
      <c r="QRI121" s="36"/>
      <c r="QRJ121" s="38"/>
      <c r="QRK121" s="38"/>
      <c r="QRQ121" s="36"/>
      <c r="QRR121" s="38"/>
      <c r="QRS121" s="38"/>
      <c r="QRY121" s="36"/>
      <c r="QRZ121" s="38"/>
      <c r="QSA121" s="38"/>
      <c r="QSG121" s="36"/>
      <c r="QSH121" s="38"/>
      <c r="QSI121" s="38"/>
      <c r="QSO121" s="36"/>
      <c r="QSP121" s="38"/>
      <c r="QSQ121" s="38"/>
      <c r="QSW121" s="36"/>
      <c r="QSX121" s="38"/>
      <c r="QSY121" s="38"/>
      <c r="QTE121" s="36"/>
      <c r="QTF121" s="38"/>
      <c r="QTG121" s="38"/>
      <c r="QTM121" s="36"/>
      <c r="QTN121" s="38"/>
      <c r="QTO121" s="38"/>
      <c r="QTU121" s="36"/>
      <c r="QTV121" s="38"/>
      <c r="QTW121" s="38"/>
      <c r="QUC121" s="36"/>
      <c r="QUD121" s="38"/>
      <c r="QUE121" s="38"/>
      <c r="QUK121" s="36"/>
      <c r="QUL121" s="38"/>
      <c r="QUM121" s="38"/>
      <c r="QUS121" s="36"/>
      <c r="QUT121" s="38"/>
      <c r="QUU121" s="38"/>
      <c r="QVA121" s="36"/>
      <c r="QVB121" s="38"/>
      <c r="QVC121" s="38"/>
      <c r="QVI121" s="36"/>
      <c r="QVJ121" s="38"/>
      <c r="QVK121" s="38"/>
      <c r="QVQ121" s="36"/>
      <c r="QVR121" s="38"/>
      <c r="QVS121" s="38"/>
      <c r="QVY121" s="36"/>
      <c r="QVZ121" s="38"/>
      <c r="QWA121" s="38"/>
      <c r="QWG121" s="36"/>
      <c r="QWH121" s="38"/>
      <c r="QWI121" s="38"/>
      <c r="QWO121" s="36"/>
      <c r="QWP121" s="38"/>
      <c r="QWQ121" s="38"/>
      <c r="QWW121" s="36"/>
      <c r="QWX121" s="38"/>
      <c r="QWY121" s="38"/>
      <c r="QXE121" s="36"/>
      <c r="QXF121" s="38"/>
      <c r="QXG121" s="38"/>
      <c r="QXM121" s="36"/>
      <c r="QXN121" s="38"/>
      <c r="QXO121" s="38"/>
      <c r="QXU121" s="36"/>
      <c r="QXV121" s="38"/>
      <c r="QXW121" s="38"/>
      <c r="QYC121" s="36"/>
      <c r="QYD121" s="38"/>
      <c r="QYE121" s="38"/>
      <c r="QYK121" s="36"/>
      <c r="QYL121" s="38"/>
      <c r="QYM121" s="38"/>
      <c r="QYS121" s="36"/>
      <c r="QYT121" s="38"/>
      <c r="QYU121" s="38"/>
      <c r="QZA121" s="36"/>
      <c r="QZB121" s="38"/>
      <c r="QZC121" s="38"/>
      <c r="QZI121" s="36"/>
      <c r="QZJ121" s="38"/>
      <c r="QZK121" s="38"/>
      <c r="QZQ121" s="36"/>
      <c r="QZR121" s="38"/>
      <c r="QZS121" s="38"/>
      <c r="QZY121" s="36"/>
      <c r="QZZ121" s="38"/>
      <c r="RAA121" s="38"/>
      <c r="RAG121" s="36"/>
      <c r="RAH121" s="38"/>
      <c r="RAI121" s="38"/>
      <c r="RAO121" s="36"/>
      <c r="RAP121" s="38"/>
      <c r="RAQ121" s="38"/>
      <c r="RAW121" s="36"/>
      <c r="RAX121" s="38"/>
      <c r="RAY121" s="38"/>
      <c r="RBE121" s="36"/>
      <c r="RBF121" s="38"/>
      <c r="RBG121" s="38"/>
      <c r="RBM121" s="36"/>
      <c r="RBN121" s="38"/>
      <c r="RBO121" s="38"/>
      <c r="RBU121" s="36"/>
      <c r="RBV121" s="38"/>
      <c r="RBW121" s="38"/>
      <c r="RCC121" s="36"/>
      <c r="RCD121" s="38"/>
      <c r="RCE121" s="38"/>
      <c r="RCK121" s="36"/>
      <c r="RCL121" s="38"/>
      <c r="RCM121" s="38"/>
      <c r="RCS121" s="36"/>
      <c r="RCT121" s="38"/>
      <c r="RCU121" s="38"/>
      <c r="RDA121" s="36"/>
      <c r="RDB121" s="38"/>
      <c r="RDC121" s="38"/>
      <c r="RDI121" s="36"/>
      <c r="RDJ121" s="38"/>
      <c r="RDK121" s="38"/>
      <c r="RDQ121" s="36"/>
      <c r="RDR121" s="38"/>
      <c r="RDS121" s="38"/>
      <c r="RDY121" s="36"/>
      <c r="RDZ121" s="38"/>
      <c r="REA121" s="38"/>
      <c r="REG121" s="36"/>
      <c r="REH121" s="38"/>
      <c r="REI121" s="38"/>
      <c r="REO121" s="36"/>
      <c r="REP121" s="38"/>
      <c r="REQ121" s="38"/>
      <c r="REW121" s="36"/>
      <c r="REX121" s="38"/>
      <c r="REY121" s="38"/>
      <c r="RFE121" s="36"/>
      <c r="RFF121" s="38"/>
      <c r="RFG121" s="38"/>
      <c r="RFM121" s="36"/>
      <c r="RFN121" s="38"/>
      <c r="RFO121" s="38"/>
      <c r="RFU121" s="36"/>
      <c r="RFV121" s="38"/>
      <c r="RFW121" s="38"/>
      <c r="RGC121" s="36"/>
      <c r="RGD121" s="38"/>
      <c r="RGE121" s="38"/>
      <c r="RGK121" s="36"/>
      <c r="RGL121" s="38"/>
      <c r="RGM121" s="38"/>
      <c r="RGS121" s="36"/>
      <c r="RGT121" s="38"/>
      <c r="RGU121" s="38"/>
      <c r="RHA121" s="36"/>
      <c r="RHB121" s="38"/>
      <c r="RHC121" s="38"/>
      <c r="RHI121" s="36"/>
      <c r="RHJ121" s="38"/>
      <c r="RHK121" s="38"/>
      <c r="RHQ121" s="36"/>
      <c r="RHR121" s="38"/>
      <c r="RHS121" s="38"/>
      <c r="RHY121" s="36"/>
      <c r="RHZ121" s="38"/>
      <c r="RIA121" s="38"/>
      <c r="RIG121" s="36"/>
      <c r="RIH121" s="38"/>
      <c r="RII121" s="38"/>
      <c r="RIO121" s="36"/>
      <c r="RIP121" s="38"/>
      <c r="RIQ121" s="38"/>
      <c r="RIW121" s="36"/>
      <c r="RIX121" s="38"/>
      <c r="RIY121" s="38"/>
      <c r="RJE121" s="36"/>
      <c r="RJF121" s="38"/>
      <c r="RJG121" s="38"/>
      <c r="RJM121" s="36"/>
      <c r="RJN121" s="38"/>
      <c r="RJO121" s="38"/>
      <c r="RJU121" s="36"/>
      <c r="RJV121" s="38"/>
      <c r="RJW121" s="38"/>
      <c r="RKC121" s="36"/>
      <c r="RKD121" s="38"/>
      <c r="RKE121" s="38"/>
      <c r="RKK121" s="36"/>
      <c r="RKL121" s="38"/>
      <c r="RKM121" s="38"/>
      <c r="RKS121" s="36"/>
      <c r="RKT121" s="38"/>
      <c r="RKU121" s="38"/>
      <c r="RLA121" s="36"/>
      <c r="RLB121" s="38"/>
      <c r="RLC121" s="38"/>
      <c r="RLI121" s="36"/>
      <c r="RLJ121" s="38"/>
      <c r="RLK121" s="38"/>
      <c r="RLQ121" s="36"/>
      <c r="RLR121" s="38"/>
      <c r="RLS121" s="38"/>
      <c r="RLY121" s="36"/>
      <c r="RLZ121" s="38"/>
      <c r="RMA121" s="38"/>
      <c r="RMG121" s="36"/>
      <c r="RMH121" s="38"/>
      <c r="RMI121" s="38"/>
      <c r="RMO121" s="36"/>
      <c r="RMP121" s="38"/>
      <c r="RMQ121" s="38"/>
      <c r="RMW121" s="36"/>
      <c r="RMX121" s="38"/>
      <c r="RMY121" s="38"/>
      <c r="RNE121" s="36"/>
      <c r="RNF121" s="38"/>
      <c r="RNG121" s="38"/>
      <c r="RNM121" s="36"/>
      <c r="RNN121" s="38"/>
      <c r="RNO121" s="38"/>
      <c r="RNU121" s="36"/>
      <c r="RNV121" s="38"/>
      <c r="RNW121" s="38"/>
      <c r="ROC121" s="36"/>
      <c r="ROD121" s="38"/>
      <c r="ROE121" s="38"/>
      <c r="ROK121" s="36"/>
      <c r="ROL121" s="38"/>
      <c r="ROM121" s="38"/>
      <c r="ROS121" s="36"/>
      <c r="ROT121" s="38"/>
      <c r="ROU121" s="38"/>
      <c r="RPA121" s="36"/>
      <c r="RPB121" s="38"/>
      <c r="RPC121" s="38"/>
      <c r="RPI121" s="36"/>
      <c r="RPJ121" s="38"/>
      <c r="RPK121" s="38"/>
      <c r="RPQ121" s="36"/>
      <c r="RPR121" s="38"/>
      <c r="RPS121" s="38"/>
      <c r="RPY121" s="36"/>
      <c r="RPZ121" s="38"/>
      <c r="RQA121" s="38"/>
      <c r="RQG121" s="36"/>
      <c r="RQH121" s="38"/>
      <c r="RQI121" s="38"/>
      <c r="RQO121" s="36"/>
      <c r="RQP121" s="38"/>
      <c r="RQQ121" s="38"/>
      <c r="RQW121" s="36"/>
      <c r="RQX121" s="38"/>
      <c r="RQY121" s="38"/>
      <c r="RRE121" s="36"/>
      <c r="RRF121" s="38"/>
      <c r="RRG121" s="38"/>
      <c r="RRM121" s="36"/>
      <c r="RRN121" s="38"/>
      <c r="RRO121" s="38"/>
      <c r="RRU121" s="36"/>
      <c r="RRV121" s="38"/>
      <c r="RRW121" s="38"/>
      <c r="RSC121" s="36"/>
      <c r="RSD121" s="38"/>
      <c r="RSE121" s="38"/>
      <c r="RSK121" s="36"/>
      <c r="RSL121" s="38"/>
      <c r="RSM121" s="38"/>
      <c r="RSS121" s="36"/>
      <c r="RST121" s="38"/>
      <c r="RSU121" s="38"/>
      <c r="RTA121" s="36"/>
      <c r="RTB121" s="38"/>
      <c r="RTC121" s="38"/>
      <c r="RTI121" s="36"/>
      <c r="RTJ121" s="38"/>
      <c r="RTK121" s="38"/>
      <c r="RTQ121" s="36"/>
      <c r="RTR121" s="38"/>
      <c r="RTS121" s="38"/>
      <c r="RTY121" s="36"/>
      <c r="RTZ121" s="38"/>
      <c r="RUA121" s="38"/>
      <c r="RUG121" s="36"/>
      <c r="RUH121" s="38"/>
      <c r="RUI121" s="38"/>
      <c r="RUO121" s="36"/>
      <c r="RUP121" s="38"/>
      <c r="RUQ121" s="38"/>
      <c r="RUW121" s="36"/>
      <c r="RUX121" s="38"/>
      <c r="RUY121" s="38"/>
      <c r="RVE121" s="36"/>
      <c r="RVF121" s="38"/>
      <c r="RVG121" s="38"/>
      <c r="RVM121" s="36"/>
      <c r="RVN121" s="38"/>
      <c r="RVO121" s="38"/>
      <c r="RVU121" s="36"/>
      <c r="RVV121" s="38"/>
      <c r="RVW121" s="38"/>
      <c r="RWC121" s="36"/>
      <c r="RWD121" s="38"/>
      <c r="RWE121" s="38"/>
      <c r="RWK121" s="36"/>
      <c r="RWL121" s="38"/>
      <c r="RWM121" s="38"/>
      <c r="RWS121" s="36"/>
      <c r="RWT121" s="38"/>
      <c r="RWU121" s="38"/>
      <c r="RXA121" s="36"/>
      <c r="RXB121" s="38"/>
      <c r="RXC121" s="38"/>
      <c r="RXI121" s="36"/>
      <c r="RXJ121" s="38"/>
      <c r="RXK121" s="38"/>
      <c r="RXQ121" s="36"/>
      <c r="RXR121" s="38"/>
      <c r="RXS121" s="38"/>
      <c r="RXY121" s="36"/>
      <c r="RXZ121" s="38"/>
      <c r="RYA121" s="38"/>
      <c r="RYG121" s="36"/>
      <c r="RYH121" s="38"/>
      <c r="RYI121" s="38"/>
      <c r="RYO121" s="36"/>
      <c r="RYP121" s="38"/>
      <c r="RYQ121" s="38"/>
      <c r="RYW121" s="36"/>
      <c r="RYX121" s="38"/>
      <c r="RYY121" s="38"/>
      <c r="RZE121" s="36"/>
      <c r="RZF121" s="38"/>
      <c r="RZG121" s="38"/>
      <c r="RZM121" s="36"/>
      <c r="RZN121" s="38"/>
      <c r="RZO121" s="38"/>
      <c r="RZU121" s="36"/>
      <c r="RZV121" s="38"/>
      <c r="RZW121" s="38"/>
      <c r="SAC121" s="36"/>
      <c r="SAD121" s="38"/>
      <c r="SAE121" s="38"/>
      <c r="SAK121" s="36"/>
      <c r="SAL121" s="38"/>
      <c r="SAM121" s="38"/>
      <c r="SAS121" s="36"/>
      <c r="SAT121" s="38"/>
      <c r="SAU121" s="38"/>
      <c r="SBA121" s="36"/>
      <c r="SBB121" s="38"/>
      <c r="SBC121" s="38"/>
      <c r="SBI121" s="36"/>
      <c r="SBJ121" s="38"/>
      <c r="SBK121" s="38"/>
      <c r="SBQ121" s="36"/>
      <c r="SBR121" s="38"/>
      <c r="SBS121" s="38"/>
      <c r="SBY121" s="36"/>
      <c r="SBZ121" s="38"/>
      <c r="SCA121" s="38"/>
      <c r="SCG121" s="36"/>
      <c r="SCH121" s="38"/>
      <c r="SCI121" s="38"/>
      <c r="SCO121" s="36"/>
      <c r="SCP121" s="38"/>
      <c r="SCQ121" s="38"/>
      <c r="SCW121" s="36"/>
      <c r="SCX121" s="38"/>
      <c r="SCY121" s="38"/>
      <c r="SDE121" s="36"/>
      <c r="SDF121" s="38"/>
      <c r="SDG121" s="38"/>
      <c r="SDM121" s="36"/>
      <c r="SDN121" s="38"/>
      <c r="SDO121" s="38"/>
      <c r="SDU121" s="36"/>
      <c r="SDV121" s="38"/>
      <c r="SDW121" s="38"/>
      <c r="SEC121" s="36"/>
      <c r="SED121" s="38"/>
      <c r="SEE121" s="38"/>
      <c r="SEK121" s="36"/>
      <c r="SEL121" s="38"/>
      <c r="SEM121" s="38"/>
      <c r="SES121" s="36"/>
      <c r="SET121" s="38"/>
      <c r="SEU121" s="38"/>
      <c r="SFA121" s="36"/>
      <c r="SFB121" s="38"/>
      <c r="SFC121" s="38"/>
      <c r="SFI121" s="36"/>
      <c r="SFJ121" s="38"/>
      <c r="SFK121" s="38"/>
      <c r="SFQ121" s="36"/>
      <c r="SFR121" s="38"/>
      <c r="SFS121" s="38"/>
      <c r="SFY121" s="36"/>
      <c r="SFZ121" s="38"/>
      <c r="SGA121" s="38"/>
      <c r="SGG121" s="36"/>
      <c r="SGH121" s="38"/>
      <c r="SGI121" s="38"/>
      <c r="SGO121" s="36"/>
      <c r="SGP121" s="38"/>
      <c r="SGQ121" s="38"/>
      <c r="SGW121" s="36"/>
      <c r="SGX121" s="38"/>
      <c r="SGY121" s="38"/>
      <c r="SHE121" s="36"/>
      <c r="SHF121" s="38"/>
      <c r="SHG121" s="38"/>
      <c r="SHM121" s="36"/>
      <c r="SHN121" s="38"/>
      <c r="SHO121" s="38"/>
      <c r="SHU121" s="36"/>
      <c r="SHV121" s="38"/>
      <c r="SHW121" s="38"/>
      <c r="SIC121" s="36"/>
      <c r="SID121" s="38"/>
      <c r="SIE121" s="38"/>
      <c r="SIK121" s="36"/>
      <c r="SIL121" s="38"/>
      <c r="SIM121" s="38"/>
      <c r="SIS121" s="36"/>
      <c r="SIT121" s="38"/>
      <c r="SIU121" s="38"/>
      <c r="SJA121" s="36"/>
      <c r="SJB121" s="38"/>
      <c r="SJC121" s="38"/>
      <c r="SJI121" s="36"/>
      <c r="SJJ121" s="38"/>
      <c r="SJK121" s="38"/>
      <c r="SJQ121" s="36"/>
      <c r="SJR121" s="38"/>
      <c r="SJS121" s="38"/>
      <c r="SJY121" s="36"/>
      <c r="SJZ121" s="38"/>
      <c r="SKA121" s="38"/>
      <c r="SKG121" s="36"/>
      <c r="SKH121" s="38"/>
      <c r="SKI121" s="38"/>
      <c r="SKO121" s="36"/>
      <c r="SKP121" s="38"/>
      <c r="SKQ121" s="38"/>
      <c r="SKW121" s="36"/>
      <c r="SKX121" s="38"/>
      <c r="SKY121" s="38"/>
      <c r="SLE121" s="36"/>
      <c r="SLF121" s="38"/>
      <c r="SLG121" s="38"/>
      <c r="SLM121" s="36"/>
      <c r="SLN121" s="38"/>
      <c r="SLO121" s="38"/>
      <c r="SLU121" s="36"/>
      <c r="SLV121" s="38"/>
      <c r="SLW121" s="38"/>
      <c r="SMC121" s="36"/>
      <c r="SMD121" s="38"/>
      <c r="SME121" s="38"/>
      <c r="SMK121" s="36"/>
      <c r="SML121" s="38"/>
      <c r="SMM121" s="38"/>
      <c r="SMS121" s="36"/>
      <c r="SMT121" s="38"/>
      <c r="SMU121" s="38"/>
      <c r="SNA121" s="36"/>
      <c r="SNB121" s="38"/>
      <c r="SNC121" s="38"/>
      <c r="SNI121" s="36"/>
      <c r="SNJ121" s="38"/>
      <c r="SNK121" s="38"/>
      <c r="SNQ121" s="36"/>
      <c r="SNR121" s="38"/>
      <c r="SNS121" s="38"/>
      <c r="SNY121" s="36"/>
      <c r="SNZ121" s="38"/>
      <c r="SOA121" s="38"/>
      <c r="SOG121" s="36"/>
      <c r="SOH121" s="38"/>
      <c r="SOI121" s="38"/>
      <c r="SOO121" s="36"/>
      <c r="SOP121" s="38"/>
      <c r="SOQ121" s="38"/>
      <c r="SOW121" s="36"/>
      <c r="SOX121" s="38"/>
      <c r="SOY121" s="38"/>
      <c r="SPE121" s="36"/>
      <c r="SPF121" s="38"/>
      <c r="SPG121" s="38"/>
      <c r="SPM121" s="36"/>
      <c r="SPN121" s="38"/>
      <c r="SPO121" s="38"/>
      <c r="SPU121" s="36"/>
      <c r="SPV121" s="38"/>
      <c r="SPW121" s="38"/>
      <c r="SQC121" s="36"/>
      <c r="SQD121" s="38"/>
      <c r="SQE121" s="38"/>
      <c r="SQK121" s="36"/>
      <c r="SQL121" s="38"/>
      <c r="SQM121" s="38"/>
      <c r="SQS121" s="36"/>
      <c r="SQT121" s="38"/>
      <c r="SQU121" s="38"/>
      <c r="SRA121" s="36"/>
      <c r="SRB121" s="38"/>
      <c r="SRC121" s="38"/>
      <c r="SRI121" s="36"/>
      <c r="SRJ121" s="38"/>
      <c r="SRK121" s="38"/>
      <c r="SRQ121" s="36"/>
      <c r="SRR121" s="38"/>
      <c r="SRS121" s="38"/>
      <c r="SRY121" s="36"/>
      <c r="SRZ121" s="38"/>
      <c r="SSA121" s="38"/>
      <c r="SSG121" s="36"/>
      <c r="SSH121" s="38"/>
      <c r="SSI121" s="38"/>
      <c r="SSO121" s="36"/>
      <c r="SSP121" s="38"/>
      <c r="SSQ121" s="38"/>
      <c r="SSW121" s="36"/>
      <c r="SSX121" s="38"/>
      <c r="SSY121" s="38"/>
      <c r="STE121" s="36"/>
      <c r="STF121" s="38"/>
      <c r="STG121" s="38"/>
      <c r="STM121" s="36"/>
      <c r="STN121" s="38"/>
      <c r="STO121" s="38"/>
      <c r="STU121" s="36"/>
      <c r="STV121" s="38"/>
      <c r="STW121" s="38"/>
      <c r="SUC121" s="36"/>
      <c r="SUD121" s="38"/>
      <c r="SUE121" s="38"/>
      <c r="SUK121" s="36"/>
      <c r="SUL121" s="38"/>
      <c r="SUM121" s="38"/>
      <c r="SUS121" s="36"/>
      <c r="SUT121" s="38"/>
      <c r="SUU121" s="38"/>
      <c r="SVA121" s="36"/>
      <c r="SVB121" s="38"/>
      <c r="SVC121" s="38"/>
      <c r="SVI121" s="36"/>
      <c r="SVJ121" s="38"/>
      <c r="SVK121" s="38"/>
      <c r="SVQ121" s="36"/>
      <c r="SVR121" s="38"/>
      <c r="SVS121" s="38"/>
      <c r="SVY121" s="36"/>
      <c r="SVZ121" s="38"/>
      <c r="SWA121" s="38"/>
      <c r="SWG121" s="36"/>
      <c r="SWH121" s="38"/>
      <c r="SWI121" s="38"/>
      <c r="SWO121" s="36"/>
      <c r="SWP121" s="38"/>
      <c r="SWQ121" s="38"/>
      <c r="SWW121" s="36"/>
      <c r="SWX121" s="38"/>
      <c r="SWY121" s="38"/>
      <c r="SXE121" s="36"/>
      <c r="SXF121" s="38"/>
      <c r="SXG121" s="38"/>
      <c r="SXM121" s="36"/>
      <c r="SXN121" s="38"/>
      <c r="SXO121" s="38"/>
      <c r="SXU121" s="36"/>
      <c r="SXV121" s="38"/>
      <c r="SXW121" s="38"/>
      <c r="SYC121" s="36"/>
      <c r="SYD121" s="38"/>
      <c r="SYE121" s="38"/>
      <c r="SYK121" s="36"/>
      <c r="SYL121" s="38"/>
      <c r="SYM121" s="38"/>
      <c r="SYS121" s="36"/>
      <c r="SYT121" s="38"/>
      <c r="SYU121" s="38"/>
      <c r="SZA121" s="36"/>
      <c r="SZB121" s="38"/>
      <c r="SZC121" s="38"/>
      <c r="SZI121" s="36"/>
      <c r="SZJ121" s="38"/>
      <c r="SZK121" s="38"/>
      <c r="SZQ121" s="36"/>
      <c r="SZR121" s="38"/>
      <c r="SZS121" s="38"/>
      <c r="SZY121" s="36"/>
      <c r="SZZ121" s="38"/>
      <c r="TAA121" s="38"/>
      <c r="TAG121" s="36"/>
      <c r="TAH121" s="38"/>
      <c r="TAI121" s="38"/>
      <c r="TAO121" s="36"/>
      <c r="TAP121" s="38"/>
      <c r="TAQ121" s="38"/>
      <c r="TAW121" s="36"/>
      <c r="TAX121" s="38"/>
      <c r="TAY121" s="38"/>
      <c r="TBE121" s="36"/>
      <c r="TBF121" s="38"/>
      <c r="TBG121" s="38"/>
      <c r="TBM121" s="36"/>
      <c r="TBN121" s="38"/>
      <c r="TBO121" s="38"/>
      <c r="TBU121" s="36"/>
      <c r="TBV121" s="38"/>
      <c r="TBW121" s="38"/>
      <c r="TCC121" s="36"/>
      <c r="TCD121" s="38"/>
      <c r="TCE121" s="38"/>
      <c r="TCK121" s="36"/>
      <c r="TCL121" s="38"/>
      <c r="TCM121" s="38"/>
      <c r="TCS121" s="36"/>
      <c r="TCT121" s="38"/>
      <c r="TCU121" s="38"/>
      <c r="TDA121" s="36"/>
      <c r="TDB121" s="38"/>
      <c r="TDC121" s="38"/>
      <c r="TDI121" s="36"/>
      <c r="TDJ121" s="38"/>
      <c r="TDK121" s="38"/>
      <c r="TDQ121" s="36"/>
      <c r="TDR121" s="38"/>
      <c r="TDS121" s="38"/>
      <c r="TDY121" s="36"/>
      <c r="TDZ121" s="38"/>
      <c r="TEA121" s="38"/>
      <c r="TEG121" s="36"/>
      <c r="TEH121" s="38"/>
      <c r="TEI121" s="38"/>
      <c r="TEO121" s="36"/>
      <c r="TEP121" s="38"/>
      <c r="TEQ121" s="38"/>
      <c r="TEW121" s="36"/>
      <c r="TEX121" s="38"/>
      <c r="TEY121" s="38"/>
      <c r="TFE121" s="36"/>
      <c r="TFF121" s="38"/>
      <c r="TFG121" s="38"/>
      <c r="TFM121" s="36"/>
      <c r="TFN121" s="38"/>
      <c r="TFO121" s="38"/>
      <c r="TFU121" s="36"/>
      <c r="TFV121" s="38"/>
      <c r="TFW121" s="38"/>
      <c r="TGC121" s="36"/>
      <c r="TGD121" s="38"/>
      <c r="TGE121" s="38"/>
      <c r="TGK121" s="36"/>
      <c r="TGL121" s="38"/>
      <c r="TGM121" s="38"/>
      <c r="TGS121" s="36"/>
      <c r="TGT121" s="38"/>
      <c r="TGU121" s="38"/>
      <c r="THA121" s="36"/>
      <c r="THB121" s="38"/>
      <c r="THC121" s="38"/>
      <c r="THI121" s="36"/>
      <c r="THJ121" s="38"/>
      <c r="THK121" s="38"/>
      <c r="THQ121" s="36"/>
      <c r="THR121" s="38"/>
      <c r="THS121" s="38"/>
      <c r="THY121" s="36"/>
      <c r="THZ121" s="38"/>
      <c r="TIA121" s="38"/>
      <c r="TIG121" s="36"/>
      <c r="TIH121" s="38"/>
      <c r="TII121" s="38"/>
      <c r="TIO121" s="36"/>
      <c r="TIP121" s="38"/>
      <c r="TIQ121" s="38"/>
      <c r="TIW121" s="36"/>
      <c r="TIX121" s="38"/>
      <c r="TIY121" s="38"/>
      <c r="TJE121" s="36"/>
      <c r="TJF121" s="38"/>
      <c r="TJG121" s="38"/>
      <c r="TJM121" s="36"/>
      <c r="TJN121" s="38"/>
      <c r="TJO121" s="38"/>
      <c r="TJU121" s="36"/>
      <c r="TJV121" s="38"/>
      <c r="TJW121" s="38"/>
      <c r="TKC121" s="36"/>
      <c r="TKD121" s="38"/>
      <c r="TKE121" s="38"/>
      <c r="TKK121" s="36"/>
      <c r="TKL121" s="38"/>
      <c r="TKM121" s="38"/>
      <c r="TKS121" s="36"/>
      <c r="TKT121" s="38"/>
      <c r="TKU121" s="38"/>
      <c r="TLA121" s="36"/>
      <c r="TLB121" s="38"/>
      <c r="TLC121" s="38"/>
      <c r="TLI121" s="36"/>
      <c r="TLJ121" s="38"/>
      <c r="TLK121" s="38"/>
      <c r="TLQ121" s="36"/>
      <c r="TLR121" s="38"/>
      <c r="TLS121" s="38"/>
      <c r="TLY121" s="36"/>
      <c r="TLZ121" s="38"/>
      <c r="TMA121" s="38"/>
      <c r="TMG121" s="36"/>
      <c r="TMH121" s="38"/>
      <c r="TMI121" s="38"/>
      <c r="TMO121" s="36"/>
      <c r="TMP121" s="38"/>
      <c r="TMQ121" s="38"/>
      <c r="TMW121" s="36"/>
      <c r="TMX121" s="38"/>
      <c r="TMY121" s="38"/>
      <c r="TNE121" s="36"/>
      <c r="TNF121" s="38"/>
      <c r="TNG121" s="38"/>
      <c r="TNM121" s="36"/>
      <c r="TNN121" s="38"/>
      <c r="TNO121" s="38"/>
      <c r="TNU121" s="36"/>
      <c r="TNV121" s="38"/>
      <c r="TNW121" s="38"/>
      <c r="TOC121" s="36"/>
      <c r="TOD121" s="38"/>
      <c r="TOE121" s="38"/>
      <c r="TOK121" s="36"/>
      <c r="TOL121" s="38"/>
      <c r="TOM121" s="38"/>
      <c r="TOS121" s="36"/>
      <c r="TOT121" s="38"/>
      <c r="TOU121" s="38"/>
      <c r="TPA121" s="36"/>
      <c r="TPB121" s="38"/>
      <c r="TPC121" s="38"/>
      <c r="TPI121" s="36"/>
      <c r="TPJ121" s="38"/>
      <c r="TPK121" s="38"/>
      <c r="TPQ121" s="36"/>
      <c r="TPR121" s="38"/>
      <c r="TPS121" s="38"/>
      <c r="TPY121" s="36"/>
      <c r="TPZ121" s="38"/>
      <c r="TQA121" s="38"/>
      <c r="TQG121" s="36"/>
      <c r="TQH121" s="38"/>
      <c r="TQI121" s="38"/>
      <c r="TQO121" s="36"/>
      <c r="TQP121" s="38"/>
      <c r="TQQ121" s="38"/>
      <c r="TQW121" s="36"/>
      <c r="TQX121" s="38"/>
      <c r="TQY121" s="38"/>
      <c r="TRE121" s="36"/>
      <c r="TRF121" s="38"/>
      <c r="TRG121" s="38"/>
      <c r="TRM121" s="36"/>
      <c r="TRN121" s="38"/>
      <c r="TRO121" s="38"/>
      <c r="TRU121" s="36"/>
      <c r="TRV121" s="38"/>
      <c r="TRW121" s="38"/>
      <c r="TSC121" s="36"/>
      <c r="TSD121" s="38"/>
      <c r="TSE121" s="38"/>
      <c r="TSK121" s="36"/>
      <c r="TSL121" s="38"/>
      <c r="TSM121" s="38"/>
      <c r="TSS121" s="36"/>
      <c r="TST121" s="38"/>
      <c r="TSU121" s="38"/>
      <c r="TTA121" s="36"/>
      <c r="TTB121" s="38"/>
      <c r="TTC121" s="38"/>
      <c r="TTI121" s="36"/>
      <c r="TTJ121" s="38"/>
      <c r="TTK121" s="38"/>
      <c r="TTQ121" s="36"/>
      <c r="TTR121" s="38"/>
      <c r="TTS121" s="38"/>
      <c r="TTY121" s="36"/>
      <c r="TTZ121" s="38"/>
      <c r="TUA121" s="38"/>
      <c r="TUG121" s="36"/>
      <c r="TUH121" s="38"/>
      <c r="TUI121" s="38"/>
      <c r="TUO121" s="36"/>
      <c r="TUP121" s="38"/>
      <c r="TUQ121" s="38"/>
      <c r="TUW121" s="36"/>
      <c r="TUX121" s="38"/>
      <c r="TUY121" s="38"/>
      <c r="TVE121" s="36"/>
      <c r="TVF121" s="38"/>
      <c r="TVG121" s="38"/>
      <c r="TVM121" s="36"/>
      <c r="TVN121" s="38"/>
      <c r="TVO121" s="38"/>
      <c r="TVU121" s="36"/>
      <c r="TVV121" s="38"/>
      <c r="TVW121" s="38"/>
      <c r="TWC121" s="36"/>
      <c r="TWD121" s="38"/>
      <c r="TWE121" s="38"/>
      <c r="TWK121" s="36"/>
      <c r="TWL121" s="38"/>
      <c r="TWM121" s="38"/>
      <c r="TWS121" s="36"/>
      <c r="TWT121" s="38"/>
      <c r="TWU121" s="38"/>
      <c r="TXA121" s="36"/>
      <c r="TXB121" s="38"/>
      <c r="TXC121" s="38"/>
      <c r="TXI121" s="36"/>
      <c r="TXJ121" s="38"/>
      <c r="TXK121" s="38"/>
      <c r="TXQ121" s="36"/>
      <c r="TXR121" s="38"/>
      <c r="TXS121" s="38"/>
      <c r="TXY121" s="36"/>
      <c r="TXZ121" s="38"/>
      <c r="TYA121" s="38"/>
      <c r="TYG121" s="36"/>
      <c r="TYH121" s="38"/>
      <c r="TYI121" s="38"/>
      <c r="TYO121" s="36"/>
      <c r="TYP121" s="38"/>
      <c r="TYQ121" s="38"/>
      <c r="TYW121" s="36"/>
      <c r="TYX121" s="38"/>
      <c r="TYY121" s="38"/>
      <c r="TZE121" s="36"/>
      <c r="TZF121" s="38"/>
      <c r="TZG121" s="38"/>
      <c r="TZM121" s="36"/>
      <c r="TZN121" s="38"/>
      <c r="TZO121" s="38"/>
      <c r="TZU121" s="36"/>
      <c r="TZV121" s="38"/>
      <c r="TZW121" s="38"/>
      <c r="UAC121" s="36"/>
      <c r="UAD121" s="38"/>
      <c r="UAE121" s="38"/>
      <c r="UAK121" s="36"/>
      <c r="UAL121" s="38"/>
      <c r="UAM121" s="38"/>
      <c r="UAS121" s="36"/>
      <c r="UAT121" s="38"/>
      <c r="UAU121" s="38"/>
      <c r="UBA121" s="36"/>
      <c r="UBB121" s="38"/>
      <c r="UBC121" s="38"/>
      <c r="UBI121" s="36"/>
      <c r="UBJ121" s="38"/>
      <c r="UBK121" s="38"/>
      <c r="UBQ121" s="36"/>
      <c r="UBR121" s="38"/>
      <c r="UBS121" s="38"/>
      <c r="UBY121" s="36"/>
      <c r="UBZ121" s="38"/>
      <c r="UCA121" s="38"/>
      <c r="UCG121" s="36"/>
      <c r="UCH121" s="38"/>
      <c r="UCI121" s="38"/>
      <c r="UCO121" s="36"/>
      <c r="UCP121" s="38"/>
      <c r="UCQ121" s="38"/>
      <c r="UCW121" s="36"/>
      <c r="UCX121" s="38"/>
      <c r="UCY121" s="38"/>
      <c r="UDE121" s="36"/>
      <c r="UDF121" s="38"/>
      <c r="UDG121" s="38"/>
      <c r="UDM121" s="36"/>
      <c r="UDN121" s="38"/>
      <c r="UDO121" s="38"/>
      <c r="UDU121" s="36"/>
      <c r="UDV121" s="38"/>
      <c r="UDW121" s="38"/>
      <c r="UEC121" s="36"/>
      <c r="UED121" s="38"/>
      <c r="UEE121" s="38"/>
      <c r="UEK121" s="36"/>
      <c r="UEL121" s="38"/>
      <c r="UEM121" s="38"/>
      <c r="UES121" s="36"/>
      <c r="UET121" s="38"/>
      <c r="UEU121" s="38"/>
      <c r="UFA121" s="36"/>
      <c r="UFB121" s="38"/>
      <c r="UFC121" s="38"/>
      <c r="UFI121" s="36"/>
      <c r="UFJ121" s="38"/>
      <c r="UFK121" s="38"/>
      <c r="UFQ121" s="36"/>
      <c r="UFR121" s="38"/>
      <c r="UFS121" s="38"/>
      <c r="UFY121" s="36"/>
      <c r="UFZ121" s="38"/>
      <c r="UGA121" s="38"/>
      <c r="UGG121" s="36"/>
      <c r="UGH121" s="38"/>
      <c r="UGI121" s="38"/>
      <c r="UGO121" s="36"/>
      <c r="UGP121" s="38"/>
      <c r="UGQ121" s="38"/>
      <c r="UGW121" s="36"/>
      <c r="UGX121" s="38"/>
      <c r="UGY121" s="38"/>
      <c r="UHE121" s="36"/>
      <c r="UHF121" s="38"/>
      <c r="UHG121" s="38"/>
      <c r="UHM121" s="36"/>
      <c r="UHN121" s="38"/>
      <c r="UHO121" s="38"/>
      <c r="UHU121" s="36"/>
      <c r="UHV121" s="38"/>
      <c r="UHW121" s="38"/>
      <c r="UIC121" s="36"/>
      <c r="UID121" s="38"/>
      <c r="UIE121" s="38"/>
      <c r="UIK121" s="36"/>
      <c r="UIL121" s="38"/>
      <c r="UIM121" s="38"/>
      <c r="UIS121" s="36"/>
      <c r="UIT121" s="38"/>
      <c r="UIU121" s="38"/>
      <c r="UJA121" s="36"/>
      <c r="UJB121" s="38"/>
      <c r="UJC121" s="38"/>
      <c r="UJI121" s="36"/>
      <c r="UJJ121" s="38"/>
      <c r="UJK121" s="38"/>
      <c r="UJQ121" s="36"/>
      <c r="UJR121" s="38"/>
      <c r="UJS121" s="38"/>
      <c r="UJY121" s="36"/>
      <c r="UJZ121" s="38"/>
      <c r="UKA121" s="38"/>
      <c r="UKG121" s="36"/>
      <c r="UKH121" s="38"/>
      <c r="UKI121" s="38"/>
      <c r="UKO121" s="36"/>
      <c r="UKP121" s="38"/>
      <c r="UKQ121" s="38"/>
      <c r="UKW121" s="36"/>
      <c r="UKX121" s="38"/>
      <c r="UKY121" s="38"/>
      <c r="ULE121" s="36"/>
      <c r="ULF121" s="38"/>
      <c r="ULG121" s="38"/>
      <c r="ULM121" s="36"/>
      <c r="ULN121" s="38"/>
      <c r="ULO121" s="38"/>
      <c r="ULU121" s="36"/>
      <c r="ULV121" s="38"/>
      <c r="ULW121" s="38"/>
      <c r="UMC121" s="36"/>
      <c r="UMD121" s="38"/>
      <c r="UME121" s="38"/>
      <c r="UMK121" s="36"/>
      <c r="UML121" s="38"/>
      <c r="UMM121" s="38"/>
      <c r="UMS121" s="36"/>
      <c r="UMT121" s="38"/>
      <c r="UMU121" s="38"/>
      <c r="UNA121" s="36"/>
      <c r="UNB121" s="38"/>
      <c r="UNC121" s="38"/>
      <c r="UNI121" s="36"/>
      <c r="UNJ121" s="38"/>
      <c r="UNK121" s="38"/>
      <c r="UNQ121" s="36"/>
      <c r="UNR121" s="38"/>
      <c r="UNS121" s="38"/>
      <c r="UNY121" s="36"/>
      <c r="UNZ121" s="38"/>
      <c r="UOA121" s="38"/>
      <c r="UOG121" s="36"/>
      <c r="UOH121" s="38"/>
      <c r="UOI121" s="38"/>
      <c r="UOO121" s="36"/>
      <c r="UOP121" s="38"/>
      <c r="UOQ121" s="38"/>
      <c r="UOW121" s="36"/>
      <c r="UOX121" s="38"/>
      <c r="UOY121" s="38"/>
      <c r="UPE121" s="36"/>
      <c r="UPF121" s="38"/>
      <c r="UPG121" s="38"/>
      <c r="UPM121" s="36"/>
      <c r="UPN121" s="38"/>
      <c r="UPO121" s="38"/>
      <c r="UPU121" s="36"/>
      <c r="UPV121" s="38"/>
      <c r="UPW121" s="38"/>
      <c r="UQC121" s="36"/>
      <c r="UQD121" s="38"/>
      <c r="UQE121" s="38"/>
      <c r="UQK121" s="36"/>
      <c r="UQL121" s="38"/>
      <c r="UQM121" s="38"/>
      <c r="UQS121" s="36"/>
      <c r="UQT121" s="38"/>
      <c r="UQU121" s="38"/>
      <c r="URA121" s="36"/>
      <c r="URB121" s="38"/>
      <c r="URC121" s="38"/>
      <c r="URI121" s="36"/>
      <c r="URJ121" s="38"/>
      <c r="URK121" s="38"/>
      <c r="URQ121" s="36"/>
      <c r="URR121" s="38"/>
      <c r="URS121" s="38"/>
      <c r="URY121" s="36"/>
      <c r="URZ121" s="38"/>
      <c r="USA121" s="38"/>
      <c r="USG121" s="36"/>
      <c r="USH121" s="38"/>
      <c r="USI121" s="38"/>
      <c r="USO121" s="36"/>
      <c r="USP121" s="38"/>
      <c r="USQ121" s="38"/>
      <c r="USW121" s="36"/>
      <c r="USX121" s="38"/>
      <c r="USY121" s="38"/>
      <c r="UTE121" s="36"/>
      <c r="UTF121" s="38"/>
      <c r="UTG121" s="38"/>
      <c r="UTM121" s="36"/>
      <c r="UTN121" s="38"/>
      <c r="UTO121" s="38"/>
      <c r="UTU121" s="36"/>
      <c r="UTV121" s="38"/>
      <c r="UTW121" s="38"/>
      <c r="UUC121" s="36"/>
      <c r="UUD121" s="38"/>
      <c r="UUE121" s="38"/>
      <c r="UUK121" s="36"/>
      <c r="UUL121" s="38"/>
      <c r="UUM121" s="38"/>
      <c r="UUS121" s="36"/>
      <c r="UUT121" s="38"/>
      <c r="UUU121" s="38"/>
      <c r="UVA121" s="36"/>
      <c r="UVB121" s="38"/>
      <c r="UVC121" s="38"/>
      <c r="UVI121" s="36"/>
      <c r="UVJ121" s="38"/>
      <c r="UVK121" s="38"/>
      <c r="UVQ121" s="36"/>
      <c r="UVR121" s="38"/>
      <c r="UVS121" s="38"/>
      <c r="UVY121" s="36"/>
      <c r="UVZ121" s="38"/>
      <c r="UWA121" s="38"/>
      <c r="UWG121" s="36"/>
      <c r="UWH121" s="38"/>
      <c r="UWI121" s="38"/>
      <c r="UWO121" s="36"/>
      <c r="UWP121" s="38"/>
      <c r="UWQ121" s="38"/>
      <c r="UWW121" s="36"/>
      <c r="UWX121" s="38"/>
      <c r="UWY121" s="38"/>
      <c r="UXE121" s="36"/>
      <c r="UXF121" s="38"/>
      <c r="UXG121" s="38"/>
      <c r="UXM121" s="36"/>
      <c r="UXN121" s="38"/>
      <c r="UXO121" s="38"/>
      <c r="UXU121" s="36"/>
      <c r="UXV121" s="38"/>
      <c r="UXW121" s="38"/>
      <c r="UYC121" s="36"/>
      <c r="UYD121" s="38"/>
      <c r="UYE121" s="38"/>
      <c r="UYK121" s="36"/>
      <c r="UYL121" s="38"/>
      <c r="UYM121" s="38"/>
      <c r="UYS121" s="36"/>
      <c r="UYT121" s="38"/>
      <c r="UYU121" s="38"/>
      <c r="UZA121" s="36"/>
      <c r="UZB121" s="38"/>
      <c r="UZC121" s="38"/>
      <c r="UZI121" s="36"/>
      <c r="UZJ121" s="38"/>
      <c r="UZK121" s="38"/>
      <c r="UZQ121" s="36"/>
      <c r="UZR121" s="38"/>
      <c r="UZS121" s="38"/>
      <c r="UZY121" s="36"/>
      <c r="UZZ121" s="38"/>
      <c r="VAA121" s="38"/>
      <c r="VAG121" s="36"/>
      <c r="VAH121" s="38"/>
      <c r="VAI121" s="38"/>
      <c r="VAO121" s="36"/>
      <c r="VAP121" s="38"/>
      <c r="VAQ121" s="38"/>
      <c r="VAW121" s="36"/>
      <c r="VAX121" s="38"/>
      <c r="VAY121" s="38"/>
      <c r="VBE121" s="36"/>
      <c r="VBF121" s="38"/>
      <c r="VBG121" s="38"/>
      <c r="VBM121" s="36"/>
      <c r="VBN121" s="38"/>
      <c r="VBO121" s="38"/>
      <c r="VBU121" s="36"/>
      <c r="VBV121" s="38"/>
      <c r="VBW121" s="38"/>
      <c r="VCC121" s="36"/>
      <c r="VCD121" s="38"/>
      <c r="VCE121" s="38"/>
      <c r="VCK121" s="36"/>
      <c r="VCL121" s="38"/>
      <c r="VCM121" s="38"/>
      <c r="VCS121" s="36"/>
      <c r="VCT121" s="38"/>
      <c r="VCU121" s="38"/>
      <c r="VDA121" s="36"/>
      <c r="VDB121" s="38"/>
      <c r="VDC121" s="38"/>
      <c r="VDI121" s="36"/>
      <c r="VDJ121" s="38"/>
      <c r="VDK121" s="38"/>
      <c r="VDQ121" s="36"/>
      <c r="VDR121" s="38"/>
      <c r="VDS121" s="38"/>
      <c r="VDY121" s="36"/>
      <c r="VDZ121" s="38"/>
      <c r="VEA121" s="38"/>
      <c r="VEG121" s="36"/>
      <c r="VEH121" s="38"/>
      <c r="VEI121" s="38"/>
      <c r="VEO121" s="36"/>
      <c r="VEP121" s="38"/>
      <c r="VEQ121" s="38"/>
      <c r="VEW121" s="36"/>
      <c r="VEX121" s="38"/>
      <c r="VEY121" s="38"/>
      <c r="VFE121" s="36"/>
      <c r="VFF121" s="38"/>
      <c r="VFG121" s="38"/>
      <c r="VFM121" s="36"/>
      <c r="VFN121" s="38"/>
      <c r="VFO121" s="38"/>
      <c r="VFU121" s="36"/>
      <c r="VFV121" s="38"/>
      <c r="VFW121" s="38"/>
      <c r="VGC121" s="36"/>
      <c r="VGD121" s="38"/>
      <c r="VGE121" s="38"/>
      <c r="VGK121" s="36"/>
      <c r="VGL121" s="38"/>
      <c r="VGM121" s="38"/>
      <c r="VGS121" s="36"/>
      <c r="VGT121" s="38"/>
      <c r="VGU121" s="38"/>
      <c r="VHA121" s="36"/>
      <c r="VHB121" s="38"/>
      <c r="VHC121" s="38"/>
      <c r="VHI121" s="36"/>
      <c r="VHJ121" s="38"/>
      <c r="VHK121" s="38"/>
      <c r="VHQ121" s="36"/>
      <c r="VHR121" s="38"/>
      <c r="VHS121" s="38"/>
      <c r="VHY121" s="36"/>
      <c r="VHZ121" s="38"/>
      <c r="VIA121" s="38"/>
      <c r="VIG121" s="36"/>
      <c r="VIH121" s="38"/>
      <c r="VII121" s="38"/>
      <c r="VIO121" s="36"/>
      <c r="VIP121" s="38"/>
      <c r="VIQ121" s="38"/>
      <c r="VIW121" s="36"/>
      <c r="VIX121" s="38"/>
      <c r="VIY121" s="38"/>
      <c r="VJE121" s="36"/>
      <c r="VJF121" s="38"/>
      <c r="VJG121" s="38"/>
      <c r="VJM121" s="36"/>
      <c r="VJN121" s="38"/>
      <c r="VJO121" s="38"/>
      <c r="VJU121" s="36"/>
      <c r="VJV121" s="38"/>
      <c r="VJW121" s="38"/>
      <c r="VKC121" s="36"/>
      <c r="VKD121" s="38"/>
      <c r="VKE121" s="38"/>
      <c r="VKK121" s="36"/>
      <c r="VKL121" s="38"/>
      <c r="VKM121" s="38"/>
      <c r="VKS121" s="36"/>
      <c r="VKT121" s="38"/>
      <c r="VKU121" s="38"/>
      <c r="VLA121" s="36"/>
      <c r="VLB121" s="38"/>
      <c r="VLC121" s="38"/>
      <c r="VLI121" s="36"/>
      <c r="VLJ121" s="38"/>
      <c r="VLK121" s="38"/>
      <c r="VLQ121" s="36"/>
      <c r="VLR121" s="38"/>
      <c r="VLS121" s="38"/>
      <c r="VLY121" s="36"/>
      <c r="VLZ121" s="38"/>
      <c r="VMA121" s="38"/>
      <c r="VMG121" s="36"/>
      <c r="VMH121" s="38"/>
      <c r="VMI121" s="38"/>
      <c r="VMO121" s="36"/>
      <c r="VMP121" s="38"/>
      <c r="VMQ121" s="38"/>
      <c r="VMW121" s="36"/>
      <c r="VMX121" s="38"/>
      <c r="VMY121" s="38"/>
      <c r="VNE121" s="36"/>
      <c r="VNF121" s="38"/>
      <c r="VNG121" s="38"/>
      <c r="VNM121" s="36"/>
      <c r="VNN121" s="38"/>
      <c r="VNO121" s="38"/>
      <c r="VNU121" s="36"/>
      <c r="VNV121" s="38"/>
      <c r="VNW121" s="38"/>
      <c r="VOC121" s="36"/>
      <c r="VOD121" s="38"/>
      <c r="VOE121" s="38"/>
      <c r="VOK121" s="36"/>
      <c r="VOL121" s="38"/>
      <c r="VOM121" s="38"/>
      <c r="VOS121" s="36"/>
      <c r="VOT121" s="38"/>
      <c r="VOU121" s="38"/>
      <c r="VPA121" s="36"/>
      <c r="VPB121" s="38"/>
      <c r="VPC121" s="38"/>
      <c r="VPI121" s="36"/>
      <c r="VPJ121" s="38"/>
      <c r="VPK121" s="38"/>
      <c r="VPQ121" s="36"/>
      <c r="VPR121" s="38"/>
      <c r="VPS121" s="38"/>
      <c r="VPY121" s="36"/>
      <c r="VPZ121" s="38"/>
      <c r="VQA121" s="38"/>
      <c r="VQG121" s="36"/>
      <c r="VQH121" s="38"/>
      <c r="VQI121" s="38"/>
      <c r="VQO121" s="36"/>
      <c r="VQP121" s="38"/>
      <c r="VQQ121" s="38"/>
      <c r="VQW121" s="36"/>
      <c r="VQX121" s="38"/>
      <c r="VQY121" s="38"/>
      <c r="VRE121" s="36"/>
      <c r="VRF121" s="38"/>
      <c r="VRG121" s="38"/>
      <c r="VRM121" s="36"/>
      <c r="VRN121" s="38"/>
      <c r="VRO121" s="38"/>
      <c r="VRU121" s="36"/>
      <c r="VRV121" s="38"/>
      <c r="VRW121" s="38"/>
      <c r="VSC121" s="36"/>
      <c r="VSD121" s="38"/>
      <c r="VSE121" s="38"/>
      <c r="VSK121" s="36"/>
      <c r="VSL121" s="38"/>
      <c r="VSM121" s="38"/>
      <c r="VSS121" s="36"/>
      <c r="VST121" s="38"/>
      <c r="VSU121" s="38"/>
      <c r="VTA121" s="36"/>
      <c r="VTB121" s="38"/>
      <c r="VTC121" s="38"/>
      <c r="VTI121" s="36"/>
      <c r="VTJ121" s="38"/>
      <c r="VTK121" s="38"/>
      <c r="VTQ121" s="36"/>
      <c r="VTR121" s="38"/>
      <c r="VTS121" s="38"/>
      <c r="VTY121" s="36"/>
      <c r="VTZ121" s="38"/>
      <c r="VUA121" s="38"/>
      <c r="VUG121" s="36"/>
      <c r="VUH121" s="38"/>
      <c r="VUI121" s="38"/>
      <c r="VUO121" s="36"/>
      <c r="VUP121" s="38"/>
      <c r="VUQ121" s="38"/>
      <c r="VUW121" s="36"/>
      <c r="VUX121" s="38"/>
      <c r="VUY121" s="38"/>
      <c r="VVE121" s="36"/>
      <c r="VVF121" s="38"/>
      <c r="VVG121" s="38"/>
      <c r="VVM121" s="36"/>
      <c r="VVN121" s="38"/>
      <c r="VVO121" s="38"/>
      <c r="VVU121" s="36"/>
      <c r="VVV121" s="38"/>
      <c r="VVW121" s="38"/>
      <c r="VWC121" s="36"/>
      <c r="VWD121" s="38"/>
      <c r="VWE121" s="38"/>
      <c r="VWK121" s="36"/>
      <c r="VWL121" s="38"/>
      <c r="VWM121" s="38"/>
      <c r="VWS121" s="36"/>
      <c r="VWT121" s="38"/>
      <c r="VWU121" s="38"/>
      <c r="VXA121" s="36"/>
      <c r="VXB121" s="38"/>
      <c r="VXC121" s="38"/>
      <c r="VXI121" s="36"/>
      <c r="VXJ121" s="38"/>
      <c r="VXK121" s="38"/>
      <c r="VXQ121" s="36"/>
      <c r="VXR121" s="38"/>
      <c r="VXS121" s="38"/>
      <c r="VXY121" s="36"/>
      <c r="VXZ121" s="38"/>
      <c r="VYA121" s="38"/>
      <c r="VYG121" s="36"/>
      <c r="VYH121" s="38"/>
      <c r="VYI121" s="38"/>
      <c r="VYO121" s="36"/>
      <c r="VYP121" s="38"/>
      <c r="VYQ121" s="38"/>
      <c r="VYW121" s="36"/>
      <c r="VYX121" s="38"/>
      <c r="VYY121" s="38"/>
      <c r="VZE121" s="36"/>
      <c r="VZF121" s="38"/>
      <c r="VZG121" s="38"/>
      <c r="VZM121" s="36"/>
      <c r="VZN121" s="38"/>
      <c r="VZO121" s="38"/>
      <c r="VZU121" s="36"/>
      <c r="VZV121" s="38"/>
      <c r="VZW121" s="38"/>
      <c r="WAC121" s="36"/>
      <c r="WAD121" s="38"/>
      <c r="WAE121" s="38"/>
      <c r="WAK121" s="36"/>
      <c r="WAL121" s="38"/>
      <c r="WAM121" s="38"/>
      <c r="WAS121" s="36"/>
      <c r="WAT121" s="38"/>
      <c r="WAU121" s="38"/>
      <c r="WBA121" s="36"/>
      <c r="WBB121" s="38"/>
      <c r="WBC121" s="38"/>
      <c r="WBI121" s="36"/>
      <c r="WBJ121" s="38"/>
      <c r="WBK121" s="38"/>
      <c r="WBQ121" s="36"/>
      <c r="WBR121" s="38"/>
      <c r="WBS121" s="38"/>
      <c r="WBY121" s="36"/>
      <c r="WBZ121" s="38"/>
      <c r="WCA121" s="38"/>
      <c r="WCG121" s="36"/>
      <c r="WCH121" s="38"/>
      <c r="WCI121" s="38"/>
      <c r="WCO121" s="36"/>
      <c r="WCP121" s="38"/>
      <c r="WCQ121" s="38"/>
      <c r="WCW121" s="36"/>
      <c r="WCX121" s="38"/>
      <c r="WCY121" s="38"/>
      <c r="WDE121" s="36"/>
      <c r="WDF121" s="38"/>
      <c r="WDG121" s="38"/>
      <c r="WDM121" s="36"/>
      <c r="WDN121" s="38"/>
      <c r="WDO121" s="38"/>
      <c r="WDU121" s="36"/>
      <c r="WDV121" s="38"/>
      <c r="WDW121" s="38"/>
      <c r="WEC121" s="36"/>
      <c r="WED121" s="38"/>
      <c r="WEE121" s="38"/>
      <c r="WEK121" s="36"/>
      <c r="WEL121" s="38"/>
      <c r="WEM121" s="38"/>
      <c r="WES121" s="36"/>
      <c r="WET121" s="38"/>
      <c r="WEU121" s="38"/>
      <c r="WFA121" s="36"/>
      <c r="WFB121" s="38"/>
      <c r="WFC121" s="38"/>
      <c r="WFI121" s="36"/>
      <c r="WFJ121" s="38"/>
      <c r="WFK121" s="38"/>
      <c r="WFQ121" s="36"/>
      <c r="WFR121" s="38"/>
      <c r="WFS121" s="38"/>
      <c r="WFY121" s="36"/>
      <c r="WFZ121" s="38"/>
      <c r="WGA121" s="38"/>
      <c r="WGG121" s="36"/>
      <c r="WGH121" s="38"/>
      <c r="WGI121" s="38"/>
      <c r="WGO121" s="36"/>
      <c r="WGP121" s="38"/>
      <c r="WGQ121" s="38"/>
      <c r="WGW121" s="36"/>
      <c r="WGX121" s="38"/>
      <c r="WGY121" s="38"/>
      <c r="WHE121" s="36"/>
      <c r="WHF121" s="38"/>
      <c r="WHG121" s="38"/>
      <c r="WHM121" s="36"/>
      <c r="WHN121" s="38"/>
      <c r="WHO121" s="38"/>
      <c r="WHU121" s="36"/>
      <c r="WHV121" s="38"/>
      <c r="WHW121" s="38"/>
      <c r="WIC121" s="36"/>
      <c r="WID121" s="38"/>
      <c r="WIE121" s="38"/>
      <c r="WIK121" s="36"/>
      <c r="WIL121" s="38"/>
      <c r="WIM121" s="38"/>
      <c r="WIS121" s="36"/>
      <c r="WIT121" s="38"/>
      <c r="WIU121" s="38"/>
      <c r="WJA121" s="36"/>
      <c r="WJB121" s="38"/>
      <c r="WJC121" s="38"/>
      <c r="WJI121" s="36"/>
      <c r="WJJ121" s="38"/>
      <c r="WJK121" s="38"/>
      <c r="WJQ121" s="36"/>
      <c r="WJR121" s="38"/>
      <c r="WJS121" s="38"/>
      <c r="WJY121" s="36"/>
      <c r="WJZ121" s="38"/>
      <c r="WKA121" s="38"/>
      <c r="WKG121" s="36"/>
      <c r="WKH121" s="38"/>
      <c r="WKI121" s="38"/>
      <c r="WKO121" s="36"/>
      <c r="WKP121" s="38"/>
      <c r="WKQ121" s="38"/>
      <c r="WKW121" s="36"/>
      <c r="WKX121" s="38"/>
      <c r="WKY121" s="38"/>
      <c r="WLE121" s="36"/>
      <c r="WLF121" s="38"/>
      <c r="WLG121" s="38"/>
      <c r="WLM121" s="36"/>
      <c r="WLN121" s="38"/>
      <c r="WLO121" s="38"/>
      <c r="WLU121" s="36"/>
      <c r="WLV121" s="38"/>
      <c r="WLW121" s="38"/>
      <c r="WMC121" s="36"/>
      <c r="WMD121" s="38"/>
      <c r="WME121" s="38"/>
      <c r="WMK121" s="36"/>
      <c r="WML121" s="38"/>
      <c r="WMM121" s="38"/>
      <c r="WMS121" s="36"/>
      <c r="WMT121" s="38"/>
      <c r="WMU121" s="38"/>
      <c r="WNA121" s="36"/>
      <c r="WNB121" s="38"/>
      <c r="WNC121" s="38"/>
      <c r="WNI121" s="36"/>
      <c r="WNJ121" s="38"/>
      <c r="WNK121" s="38"/>
      <c r="WNQ121" s="36"/>
      <c r="WNR121" s="38"/>
      <c r="WNS121" s="38"/>
      <c r="WNY121" s="36"/>
      <c r="WNZ121" s="38"/>
      <c r="WOA121" s="38"/>
      <c r="WOG121" s="36"/>
      <c r="WOH121" s="38"/>
      <c r="WOI121" s="38"/>
      <c r="WOO121" s="36"/>
      <c r="WOP121" s="38"/>
      <c r="WOQ121" s="38"/>
      <c r="WOW121" s="36"/>
      <c r="WOX121" s="38"/>
      <c r="WOY121" s="38"/>
      <c r="WPE121" s="36"/>
      <c r="WPF121" s="38"/>
      <c r="WPG121" s="38"/>
      <c r="WPM121" s="36"/>
      <c r="WPN121" s="38"/>
      <c r="WPO121" s="38"/>
      <c r="WPU121" s="36"/>
      <c r="WPV121" s="38"/>
      <c r="WPW121" s="38"/>
      <c r="WQC121" s="36"/>
      <c r="WQD121" s="38"/>
      <c r="WQE121" s="38"/>
      <c r="WQK121" s="36"/>
      <c r="WQL121" s="38"/>
      <c r="WQM121" s="38"/>
      <c r="WQS121" s="36"/>
      <c r="WQT121" s="38"/>
      <c r="WQU121" s="38"/>
      <c r="WRA121" s="36"/>
      <c r="WRB121" s="38"/>
      <c r="WRC121" s="38"/>
      <c r="WRI121" s="36"/>
      <c r="WRJ121" s="38"/>
      <c r="WRK121" s="38"/>
      <c r="WRQ121" s="36"/>
      <c r="WRR121" s="38"/>
      <c r="WRS121" s="38"/>
      <c r="WRY121" s="36"/>
      <c r="WRZ121" s="38"/>
      <c r="WSA121" s="38"/>
      <c r="WSG121" s="36"/>
      <c r="WSH121" s="38"/>
      <c r="WSI121" s="38"/>
      <c r="WSO121" s="36"/>
      <c r="WSP121" s="38"/>
      <c r="WSQ121" s="38"/>
      <c r="WSW121" s="36"/>
      <c r="WSX121" s="38"/>
      <c r="WSY121" s="38"/>
      <c r="WTE121" s="36"/>
      <c r="WTF121" s="38"/>
      <c r="WTG121" s="38"/>
      <c r="WTM121" s="36"/>
      <c r="WTN121" s="38"/>
      <c r="WTO121" s="38"/>
      <c r="WTU121" s="36"/>
      <c r="WTV121" s="38"/>
      <c r="WTW121" s="38"/>
      <c r="WUC121" s="36"/>
      <c r="WUD121" s="38"/>
      <c r="WUE121" s="38"/>
      <c r="WUK121" s="36"/>
      <c r="WUL121" s="38"/>
      <c r="WUM121" s="38"/>
      <c r="WUS121" s="36"/>
      <c r="WUT121" s="38"/>
      <c r="WUU121" s="38"/>
      <c r="WVA121" s="36"/>
      <c r="WVB121" s="38"/>
      <c r="WVC121" s="38"/>
      <c r="WVI121" s="36"/>
      <c r="WVJ121" s="38"/>
      <c r="WVK121" s="38"/>
      <c r="WVQ121" s="36"/>
      <c r="WVR121" s="38"/>
      <c r="WVS121" s="38"/>
      <c r="WVY121" s="36"/>
      <c r="WVZ121" s="38"/>
      <c r="WWA121" s="38"/>
      <c r="WWG121" s="36"/>
      <c r="WWH121" s="38"/>
      <c r="WWI121" s="38"/>
      <c r="WWO121" s="36"/>
      <c r="WWP121" s="38"/>
      <c r="WWQ121" s="38"/>
      <c r="WWW121" s="36"/>
      <c r="WWX121" s="38"/>
      <c r="WWY121" s="38"/>
      <c r="WXE121" s="36"/>
      <c r="WXF121" s="38"/>
      <c r="WXG121" s="38"/>
      <c r="WXM121" s="36"/>
      <c r="WXN121" s="38"/>
      <c r="WXO121" s="38"/>
      <c r="WXU121" s="36"/>
      <c r="WXV121" s="38"/>
      <c r="WXW121" s="38"/>
      <c r="WYC121" s="36"/>
      <c r="WYD121" s="38"/>
      <c r="WYE121" s="38"/>
      <c r="WYK121" s="36"/>
      <c r="WYL121" s="38"/>
      <c r="WYM121" s="38"/>
      <c r="WYS121" s="36"/>
      <c r="WYT121" s="38"/>
      <c r="WYU121" s="38"/>
      <c r="WZA121" s="36"/>
      <c r="WZB121" s="38"/>
      <c r="WZC121" s="38"/>
      <c r="WZI121" s="36"/>
      <c r="WZJ121" s="38"/>
      <c r="WZK121" s="38"/>
      <c r="WZQ121" s="36"/>
      <c r="WZR121" s="38"/>
      <c r="WZS121" s="38"/>
      <c r="WZY121" s="36"/>
      <c r="WZZ121" s="38"/>
      <c r="XAA121" s="38"/>
      <c r="XAG121" s="36"/>
      <c r="XAH121" s="38"/>
      <c r="XAI121" s="38"/>
      <c r="XAO121" s="36"/>
      <c r="XAP121" s="38"/>
      <c r="XAQ121" s="38"/>
      <c r="XAW121" s="36"/>
      <c r="XAX121" s="38"/>
      <c r="XAY121" s="38"/>
      <c r="XBE121" s="36"/>
      <c r="XBF121" s="38"/>
      <c r="XBG121" s="38"/>
      <c r="XBM121" s="36"/>
      <c r="XBN121" s="38"/>
      <c r="XBO121" s="38"/>
      <c r="XBU121" s="36"/>
      <c r="XBV121" s="38"/>
      <c r="XBW121" s="38"/>
      <c r="XCC121" s="36"/>
      <c r="XCD121" s="38"/>
      <c r="XCE121" s="38"/>
      <c r="XCK121" s="36"/>
      <c r="XCL121" s="38"/>
      <c r="XCM121" s="38"/>
      <c r="XCS121" s="36"/>
      <c r="XCT121" s="38"/>
      <c r="XCU121" s="38"/>
      <c r="XDA121" s="36"/>
      <c r="XDB121" s="38"/>
      <c r="XDC121" s="38"/>
      <c r="XDI121" s="36"/>
      <c r="XDJ121" s="38"/>
      <c r="XDK121" s="38"/>
      <c r="XDQ121" s="36"/>
      <c r="XDR121" s="38"/>
      <c r="XDS121" s="38"/>
      <c r="XDY121" s="36"/>
      <c r="XDZ121" s="38"/>
      <c r="XEA121" s="38"/>
      <c r="XEG121" s="36"/>
      <c r="XEH121" s="38"/>
      <c r="XEI121" s="38"/>
      <c r="XEO121" s="36"/>
      <c r="XEP121" s="38"/>
      <c r="XEQ121" s="38"/>
      <c r="XEW121" s="36"/>
      <c r="XEX121" s="38"/>
      <c r="XEY121" s="38"/>
    </row>
    <row r="122" spans="1:1019 1025:2043 2049:3067 3073:4091 4097:5115 5121:6139 6145:7163 7169:8187 8193:9211 9217:10235 10241:11259 11265:12283 12289:13307 13313:14331 14337:15355 15361:16379" ht="15" customHeight="1">
      <c r="A122" s="146"/>
      <c r="B122" s="146"/>
      <c r="C122" s="146"/>
      <c r="D122" s="146"/>
      <c r="E122" s="146"/>
      <c r="F122" s="146"/>
      <c r="G122" s="146"/>
      <c r="H122" s="146"/>
      <c r="I122" s="56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5"/>
      <c r="Z122" s="55"/>
      <c r="AA122" s="55"/>
    </row>
    <row r="123" spans="1:1019 1025:2043 2049:3067 3073:4091 4097:5115 5121:6139 6145:7163 7169:8187 8193:9211 9217:10235 10241:11259 11265:12283 12289:13307 13313:14331 14337:15355 15361:16379" ht="15" customHeight="1">
      <c r="A123" s="56"/>
      <c r="B123" s="56"/>
      <c r="C123" s="57"/>
      <c r="D123" s="56"/>
      <c r="E123" s="56"/>
      <c r="F123" s="56"/>
      <c r="G123" s="56"/>
      <c r="H123" s="5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5"/>
      <c r="Z123" s="55"/>
      <c r="AA123" s="55"/>
    </row>
    <row r="124" spans="1:1019 1025:2043 2049:3067 3073:4091 4097:5115 5121:6139 6145:7163 7169:8187 8193:9211 9217:10235 10241:11259 11265:12283 12289:13307 13313:14331 14337:15355 15361:16379" ht="15" customHeight="1">
      <c r="A124" s="54"/>
      <c r="B124" s="54"/>
      <c r="C124" s="60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5"/>
      <c r="Z124" s="55"/>
      <c r="AA124" s="55"/>
    </row>
    <row r="125" spans="1:1019 1025:2043 2049:3067 3073:4091 4097:5115 5121:6139 6145:7163 7169:8187 8193:9211 9217:10235 10241:11259 11265:12283 12289:13307 13313:14331 14337:15355 15361:16379" ht="15" customHeight="1">
      <c r="A125" s="54"/>
      <c r="B125" s="54"/>
      <c r="C125" s="60"/>
      <c r="D125" s="56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5"/>
      <c r="Z125" s="55"/>
      <c r="AA125" s="55"/>
    </row>
    <row r="126" spans="1:1019 1025:2043 2049:3067 3073:4091 4097:5115 5121:6139 6145:7163 7169:8187 8193:9211 9217:10235 10241:11259 11265:12283 12289:13307 13313:14331 14337:15355 15361:16379" ht="15" customHeight="1">
      <c r="A126" s="54"/>
      <c r="B126" s="54"/>
      <c r="C126" s="60"/>
      <c r="D126" s="54"/>
      <c r="E126" s="54"/>
      <c r="F126" s="56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5"/>
      <c r="Z126" s="55"/>
      <c r="AA126" s="55"/>
    </row>
    <row r="127" spans="1:1019 1025:2043 2049:3067 3073:4091 4097:5115 5121:6139 6145:7163 7169:8187 8193:9211 9217:10235 10241:11259 11265:12283 12289:13307 13313:14331 14337:15355 15361:16379" ht="15" customHeight="1">
      <c r="A127" s="54"/>
      <c r="B127" s="54"/>
      <c r="C127" s="60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5"/>
      <c r="Z127" s="55"/>
      <c r="AA127" s="55"/>
    </row>
    <row r="128" spans="1:1019 1025:2043 2049:3067 3073:4091 4097:5115 5121:6139 6145:7163 7169:8187 8193:9211 9217:10235 10241:11259 11265:12283 12289:13307 13313:14331 14337:15355 15361:16379" ht="15" customHeight="1">
      <c r="A128" s="54"/>
      <c r="B128" s="54"/>
      <c r="C128" s="60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5"/>
      <c r="Z128" s="55"/>
      <c r="AA128" s="55"/>
    </row>
    <row r="129" spans="1:27" ht="15" customHeight="1">
      <c r="A129" s="54"/>
      <c r="B129" s="54"/>
      <c r="C129" s="60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5"/>
      <c r="Z129" s="55"/>
      <c r="AA129" s="55"/>
    </row>
    <row r="130" spans="1:27" ht="15" customHeight="1">
      <c r="A130" s="54"/>
      <c r="B130" s="54"/>
      <c r="C130" s="60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5"/>
      <c r="Z130" s="55"/>
      <c r="AA130" s="55"/>
    </row>
    <row r="131" spans="1:27" ht="15" customHeight="1">
      <c r="A131" s="54"/>
      <c r="B131" s="54"/>
      <c r="C131" s="60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5"/>
      <c r="Z131" s="55"/>
      <c r="AA131" s="55"/>
    </row>
    <row r="132" spans="1:27" ht="15" customHeight="1">
      <c r="A132" s="54"/>
      <c r="B132" s="54"/>
      <c r="C132" s="60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5"/>
      <c r="Z132" s="55"/>
      <c r="AA132" s="55"/>
    </row>
    <row r="133" spans="1:27" ht="15" customHeight="1">
      <c r="A133" s="54"/>
      <c r="B133" s="54"/>
      <c r="C133" s="60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5"/>
      <c r="Z133" s="55"/>
      <c r="AA133" s="55"/>
    </row>
    <row r="134" spans="1:27" ht="15" customHeight="1">
      <c r="A134" s="54"/>
      <c r="B134" s="54"/>
      <c r="C134" s="60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5"/>
      <c r="Z134" s="55"/>
      <c r="AA134" s="55"/>
    </row>
    <row r="135" spans="1:27" ht="15" customHeight="1">
      <c r="A135" s="54"/>
      <c r="B135" s="54"/>
      <c r="C135" s="60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5"/>
      <c r="Z135" s="55"/>
      <c r="AA135" s="55"/>
    </row>
    <row r="136" spans="1:27" ht="15" customHeight="1">
      <c r="A136" s="54"/>
      <c r="B136" s="54"/>
      <c r="C136" s="60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5"/>
      <c r="Z136" s="55"/>
      <c r="AA136" s="55"/>
    </row>
    <row r="137" spans="1:27" ht="15" customHeight="1">
      <c r="A137" s="54"/>
      <c r="B137" s="54"/>
      <c r="C137" s="60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5"/>
      <c r="Z137" s="55"/>
      <c r="AA137" s="55"/>
    </row>
    <row r="138" spans="1:27" ht="15" customHeight="1">
      <c r="A138" s="54"/>
      <c r="B138" s="54"/>
      <c r="C138" s="60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5"/>
      <c r="Z138" s="55"/>
      <c r="AA138" s="55"/>
    </row>
    <row r="139" spans="1:27" ht="15" customHeight="1">
      <c r="A139" s="54"/>
      <c r="B139" s="54"/>
      <c r="C139" s="60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5"/>
      <c r="Z139" s="55"/>
      <c r="AA139" s="55"/>
    </row>
    <row r="140" spans="1:27" ht="15" customHeight="1">
      <c r="A140" s="54"/>
      <c r="B140" s="54"/>
      <c r="C140" s="60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5"/>
      <c r="Z140" s="55"/>
      <c r="AA140" s="55"/>
    </row>
    <row r="141" spans="1:27" ht="15" customHeight="1">
      <c r="A141" s="54"/>
      <c r="B141" s="54"/>
      <c r="C141" s="60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5"/>
      <c r="Z141" s="55"/>
      <c r="AA141" s="55"/>
    </row>
    <row r="142" spans="1:27" ht="15" customHeight="1">
      <c r="A142" s="54"/>
      <c r="B142" s="54"/>
      <c r="C142" s="60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5"/>
      <c r="Z142" s="55"/>
      <c r="AA142" s="55"/>
    </row>
    <row r="143" spans="1:27" ht="15" customHeight="1">
      <c r="A143" s="54"/>
      <c r="B143" s="54"/>
      <c r="C143" s="60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5"/>
      <c r="Z143" s="55"/>
      <c r="AA143" s="55"/>
    </row>
    <row r="144" spans="1:27" ht="15" customHeight="1">
      <c r="A144" s="54"/>
      <c r="B144" s="54"/>
      <c r="C144" s="60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5"/>
      <c r="Z144" s="55"/>
      <c r="AA144" s="55"/>
    </row>
    <row r="145" spans="1:27" ht="15" customHeight="1">
      <c r="A145" s="54"/>
      <c r="B145" s="54"/>
      <c r="C145" s="60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5"/>
      <c r="Z145" s="55"/>
      <c r="AA145" s="55"/>
    </row>
    <row r="146" spans="1:27" ht="15" customHeight="1">
      <c r="A146" s="54"/>
      <c r="B146" s="54"/>
      <c r="C146" s="60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5"/>
      <c r="Z146" s="55"/>
      <c r="AA146" s="55"/>
    </row>
    <row r="147" spans="1:27" ht="15" customHeight="1">
      <c r="A147" s="54"/>
      <c r="B147" s="54"/>
      <c r="C147" s="60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5"/>
      <c r="Z147" s="55"/>
      <c r="AA147" s="55"/>
    </row>
    <row r="148" spans="1:27" ht="15" customHeight="1">
      <c r="A148" s="54"/>
      <c r="B148" s="54"/>
      <c r="C148" s="60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5"/>
      <c r="Z148" s="55"/>
      <c r="AA148" s="55"/>
    </row>
    <row r="149" spans="1:27" ht="15" customHeight="1">
      <c r="A149" s="54"/>
      <c r="B149" s="54"/>
      <c r="C149" s="60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5"/>
      <c r="Z149" s="55"/>
      <c r="AA149" s="55"/>
    </row>
    <row r="150" spans="1:27" ht="15" customHeight="1">
      <c r="A150" s="54"/>
      <c r="B150" s="54"/>
      <c r="C150" s="60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5"/>
      <c r="Z150" s="55"/>
      <c r="AA150" s="55"/>
    </row>
    <row r="151" spans="1:27" ht="15" customHeight="1">
      <c r="A151" s="54"/>
      <c r="B151" s="54"/>
      <c r="C151" s="60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5"/>
      <c r="Z151" s="55"/>
      <c r="AA151" s="55"/>
    </row>
    <row r="152" spans="1:27" ht="15" customHeight="1">
      <c r="A152" s="54"/>
      <c r="B152" s="54"/>
      <c r="C152" s="60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5"/>
      <c r="Z152" s="55"/>
      <c r="AA152" s="55"/>
    </row>
    <row r="153" spans="1:27" ht="15" customHeight="1">
      <c r="A153" s="54"/>
      <c r="B153" s="54"/>
      <c r="C153" s="60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5"/>
      <c r="Z153" s="55"/>
      <c r="AA153" s="55"/>
    </row>
    <row r="154" spans="1:27" ht="15" customHeight="1">
      <c r="A154" s="54"/>
      <c r="B154" s="54"/>
      <c r="C154" s="60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5"/>
      <c r="Z154" s="55"/>
      <c r="AA154" s="55"/>
    </row>
    <row r="155" spans="1:27" ht="15" customHeight="1">
      <c r="A155" s="54"/>
      <c r="B155" s="54"/>
      <c r="C155" s="60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5"/>
      <c r="Z155" s="55"/>
      <c r="AA155" s="55"/>
    </row>
    <row r="156" spans="1:27" ht="15" customHeight="1">
      <c r="A156" s="54"/>
      <c r="B156" s="54"/>
      <c r="C156" s="60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5"/>
      <c r="Z156" s="55"/>
      <c r="AA156" s="55"/>
    </row>
    <row r="157" spans="1:27" ht="15" customHeight="1">
      <c r="A157" s="54"/>
      <c r="B157" s="54"/>
      <c r="C157" s="60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5"/>
      <c r="Z157" s="55"/>
      <c r="AA157" s="55"/>
    </row>
    <row r="158" spans="1:27" ht="15" customHeight="1">
      <c r="A158" s="54"/>
      <c r="B158" s="54"/>
      <c r="C158" s="60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5"/>
      <c r="Z158" s="55"/>
      <c r="AA158" s="55"/>
    </row>
    <row r="159" spans="1:27" ht="15" customHeight="1">
      <c r="A159" s="54"/>
      <c r="B159" s="54"/>
      <c r="C159" s="60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5"/>
      <c r="Z159" s="55"/>
      <c r="AA159" s="55"/>
    </row>
    <row r="160" spans="1:27" ht="15" customHeight="1">
      <c r="A160" s="54"/>
      <c r="B160" s="54"/>
      <c r="C160" s="60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5"/>
      <c r="Z160" s="55"/>
      <c r="AA160" s="55"/>
    </row>
    <row r="161" spans="1:27" ht="15" customHeight="1">
      <c r="A161" s="54"/>
      <c r="B161" s="54"/>
      <c r="C161" s="60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5"/>
      <c r="Z161" s="55"/>
      <c r="AA161" s="55"/>
    </row>
    <row r="162" spans="1:27" ht="15" customHeight="1">
      <c r="A162" s="54"/>
      <c r="B162" s="54"/>
      <c r="C162" s="60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5"/>
      <c r="Z162" s="55"/>
      <c r="AA162" s="55"/>
    </row>
    <row r="163" spans="1:27" ht="15" customHeight="1">
      <c r="A163" s="54"/>
      <c r="B163" s="54"/>
      <c r="C163" s="60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5"/>
      <c r="Z163" s="55"/>
      <c r="AA163" s="55"/>
    </row>
    <row r="164" spans="1:27" ht="15" customHeight="1">
      <c r="A164" s="54"/>
      <c r="B164" s="54"/>
      <c r="C164" s="60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5"/>
      <c r="Z164" s="55"/>
      <c r="AA164" s="55"/>
    </row>
    <row r="165" spans="1:27" ht="15" customHeight="1">
      <c r="A165" s="54"/>
      <c r="B165" s="54"/>
      <c r="C165" s="60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5"/>
      <c r="Z165" s="55"/>
      <c r="AA165" s="55"/>
    </row>
    <row r="166" spans="1:27" ht="15" customHeight="1">
      <c r="A166" s="54"/>
      <c r="B166" s="54"/>
      <c r="C166" s="60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5"/>
      <c r="Z166" s="55"/>
      <c r="AA166" s="55"/>
    </row>
    <row r="167" spans="1:27" ht="15" customHeight="1">
      <c r="A167" s="54"/>
      <c r="B167" s="54"/>
      <c r="C167" s="60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5"/>
      <c r="Z167" s="55"/>
      <c r="AA167" s="55"/>
    </row>
    <row r="168" spans="1:27" ht="15" customHeight="1">
      <c r="A168" s="54"/>
      <c r="B168" s="54"/>
      <c r="C168" s="60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5"/>
      <c r="Z168" s="55"/>
      <c r="AA168" s="55"/>
    </row>
    <row r="169" spans="1:27" ht="15" customHeight="1">
      <c r="A169" s="54"/>
      <c r="B169" s="54"/>
      <c r="C169" s="60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5"/>
      <c r="Z169" s="55"/>
      <c r="AA169" s="55"/>
    </row>
    <row r="170" spans="1:27" ht="15" customHeight="1">
      <c r="A170" s="54"/>
      <c r="B170" s="54"/>
      <c r="C170" s="60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5"/>
      <c r="Z170" s="55"/>
      <c r="AA170" s="55"/>
    </row>
    <row r="171" spans="1:27" ht="15" customHeight="1">
      <c r="A171" s="54"/>
      <c r="B171" s="54"/>
      <c r="C171" s="60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5"/>
      <c r="Z171" s="55"/>
      <c r="AA171" s="55"/>
    </row>
    <row r="172" spans="1:27" ht="15" customHeight="1">
      <c r="A172" s="54"/>
      <c r="B172" s="54"/>
      <c r="C172" s="60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5"/>
      <c r="Z172" s="55"/>
      <c r="AA172" s="55"/>
    </row>
    <row r="173" spans="1:27" ht="15" customHeight="1">
      <c r="A173" s="54"/>
      <c r="B173" s="54"/>
      <c r="C173" s="60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5"/>
      <c r="Z173" s="55"/>
      <c r="AA173" s="55"/>
    </row>
    <row r="174" spans="1:27" ht="15" customHeight="1">
      <c r="A174" s="54"/>
      <c r="B174" s="54"/>
      <c r="C174" s="60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5"/>
      <c r="Z174" s="55"/>
      <c r="AA174" s="55"/>
    </row>
    <row r="175" spans="1:27" ht="15" customHeight="1">
      <c r="A175" s="54"/>
      <c r="B175" s="54"/>
      <c r="C175" s="60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5"/>
      <c r="Z175" s="55"/>
      <c r="AA175" s="55"/>
    </row>
    <row r="176" spans="1:27" ht="15" customHeight="1">
      <c r="A176" s="54"/>
      <c r="B176" s="54"/>
      <c r="C176" s="60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5"/>
      <c r="Z176" s="55"/>
      <c r="AA176" s="55"/>
    </row>
    <row r="177" spans="1:27" ht="15" customHeight="1">
      <c r="A177" s="54"/>
      <c r="B177" s="54"/>
      <c r="C177" s="60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5"/>
      <c r="Z177" s="55"/>
      <c r="AA177" s="55"/>
    </row>
    <row r="178" spans="1:27" ht="15" customHeight="1">
      <c r="A178" s="54"/>
      <c r="B178" s="54"/>
      <c r="C178" s="60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5"/>
      <c r="Z178" s="55"/>
      <c r="AA178" s="55"/>
    </row>
    <row r="179" spans="1:27" ht="15" customHeight="1">
      <c r="A179" s="54"/>
      <c r="B179" s="54"/>
      <c r="C179" s="60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5"/>
      <c r="Z179" s="55"/>
      <c r="AA179" s="55"/>
    </row>
    <row r="180" spans="1:27" ht="15" customHeight="1">
      <c r="A180" s="54"/>
      <c r="B180" s="54"/>
      <c r="C180" s="60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5"/>
      <c r="Z180" s="55"/>
      <c r="AA180" s="55"/>
    </row>
    <row r="181" spans="1:27" ht="15" customHeight="1">
      <c r="A181" s="54"/>
      <c r="B181" s="54"/>
      <c r="C181" s="60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5"/>
      <c r="Z181" s="55"/>
      <c r="AA181" s="55"/>
    </row>
    <row r="182" spans="1:27" ht="15" customHeight="1">
      <c r="A182" s="54"/>
      <c r="B182" s="54"/>
      <c r="C182" s="60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5"/>
      <c r="Z182" s="55"/>
      <c r="AA182" s="55"/>
    </row>
    <row r="183" spans="1:27" ht="15" customHeight="1">
      <c r="A183" s="54"/>
      <c r="B183" s="54"/>
      <c r="C183" s="60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5"/>
      <c r="Z183" s="55"/>
      <c r="AA183" s="55"/>
    </row>
    <row r="184" spans="1:27" ht="15" customHeight="1">
      <c r="A184" s="54"/>
      <c r="B184" s="54"/>
      <c r="C184" s="60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5"/>
      <c r="Z184" s="55"/>
      <c r="AA184" s="55"/>
    </row>
    <row r="185" spans="1:27" ht="15" customHeight="1">
      <c r="A185" s="54"/>
      <c r="B185" s="54"/>
      <c r="C185" s="60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5"/>
      <c r="Z185" s="55"/>
      <c r="AA185" s="55"/>
    </row>
    <row r="186" spans="1:27" ht="15" customHeight="1">
      <c r="A186" s="54"/>
      <c r="B186" s="54"/>
      <c r="C186" s="60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5"/>
      <c r="Z186" s="55"/>
      <c r="AA186" s="55"/>
    </row>
    <row r="187" spans="1:27" ht="15" customHeight="1">
      <c r="A187" s="54"/>
      <c r="B187" s="54"/>
      <c r="C187" s="60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5"/>
      <c r="Z187" s="55"/>
      <c r="AA187" s="55"/>
    </row>
    <row r="188" spans="1:27" ht="15" customHeight="1">
      <c r="A188" s="54"/>
      <c r="B188" s="54"/>
      <c r="C188" s="60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5"/>
      <c r="Z188" s="55"/>
      <c r="AA188" s="55"/>
    </row>
    <row r="189" spans="1:27" ht="15" customHeight="1">
      <c r="A189" s="54"/>
      <c r="B189" s="54"/>
      <c r="C189" s="60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5"/>
      <c r="Z189" s="55"/>
      <c r="AA189" s="55"/>
    </row>
    <row r="190" spans="1:27" ht="15" customHeight="1">
      <c r="A190" s="54"/>
      <c r="B190" s="54"/>
      <c r="C190" s="60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5"/>
      <c r="Z190" s="55"/>
      <c r="AA190" s="55"/>
    </row>
    <row r="191" spans="1:27" ht="15" customHeight="1">
      <c r="A191" s="54"/>
      <c r="B191" s="54"/>
      <c r="C191" s="60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5"/>
      <c r="Z191" s="55"/>
      <c r="AA191" s="55"/>
    </row>
    <row r="192" spans="1:27" ht="15" customHeight="1">
      <c r="A192" s="54"/>
      <c r="B192" s="54"/>
      <c r="C192" s="60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5"/>
      <c r="Z192" s="55"/>
      <c r="AA192" s="55"/>
    </row>
    <row r="193" spans="1:27" ht="15" customHeight="1">
      <c r="A193" s="54"/>
      <c r="B193" s="54"/>
      <c r="C193" s="60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5"/>
      <c r="Z193" s="55"/>
      <c r="AA193" s="55"/>
    </row>
    <row r="194" spans="1:27" ht="15" customHeight="1">
      <c r="A194" s="54"/>
      <c r="B194" s="54"/>
      <c r="C194" s="60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5"/>
      <c r="Z194" s="55"/>
      <c r="AA194" s="55"/>
    </row>
    <row r="195" spans="1:27" ht="15" customHeight="1">
      <c r="A195" s="54"/>
      <c r="B195" s="54"/>
      <c r="C195" s="60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5"/>
      <c r="Z195" s="55"/>
      <c r="AA195" s="55"/>
    </row>
    <row r="196" spans="1:27" ht="15" customHeight="1">
      <c r="A196" s="54"/>
      <c r="B196" s="54"/>
      <c r="C196" s="60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5"/>
      <c r="Z196" s="55"/>
      <c r="AA196" s="55"/>
    </row>
    <row r="197" spans="1:27" ht="15" customHeight="1">
      <c r="A197" s="54"/>
      <c r="B197" s="54"/>
      <c r="C197" s="60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5"/>
      <c r="Z197" s="55"/>
      <c r="AA197" s="55"/>
    </row>
    <row r="198" spans="1:27" ht="15" customHeight="1">
      <c r="A198" s="54"/>
      <c r="B198" s="54"/>
      <c r="C198" s="60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5"/>
      <c r="Z198" s="55"/>
      <c r="AA198" s="55"/>
    </row>
    <row r="199" spans="1:27" ht="15" customHeight="1">
      <c r="A199" s="54"/>
      <c r="B199" s="54"/>
      <c r="C199" s="60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5"/>
      <c r="Z199" s="55"/>
      <c r="AA199" s="55"/>
    </row>
    <row r="200" spans="1:27" ht="15" customHeight="1">
      <c r="A200" s="54"/>
      <c r="B200" s="54"/>
      <c r="C200" s="60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5"/>
      <c r="Z200" s="55"/>
      <c r="AA200" s="55"/>
    </row>
    <row r="201" spans="1:27" ht="15" customHeight="1">
      <c r="A201" s="54"/>
      <c r="B201" s="54"/>
      <c r="C201" s="60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5"/>
      <c r="Z201" s="55"/>
      <c r="AA201" s="55"/>
    </row>
    <row r="202" spans="1:27" ht="15" customHeight="1">
      <c r="A202" s="54"/>
      <c r="B202" s="54"/>
      <c r="C202" s="60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5"/>
      <c r="Z202" s="55"/>
      <c r="AA202" s="55"/>
    </row>
    <row r="203" spans="1:27" ht="15" customHeight="1">
      <c r="A203" s="54"/>
      <c r="B203" s="54"/>
      <c r="C203" s="60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5"/>
      <c r="Z203" s="55"/>
      <c r="AA203" s="55"/>
    </row>
    <row r="204" spans="1:27" ht="15" customHeight="1">
      <c r="A204" s="54"/>
      <c r="B204" s="54"/>
      <c r="C204" s="60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5"/>
      <c r="Z204" s="55"/>
      <c r="AA204" s="55"/>
    </row>
    <row r="205" spans="1:27" ht="15" customHeight="1">
      <c r="A205" s="54"/>
      <c r="B205" s="54"/>
      <c r="C205" s="60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5"/>
      <c r="Z205" s="55"/>
      <c r="AA205" s="55"/>
    </row>
    <row r="206" spans="1:27" ht="15" customHeight="1">
      <c r="A206" s="54"/>
      <c r="B206" s="54"/>
      <c r="C206" s="60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5"/>
      <c r="Z206" s="55"/>
      <c r="AA206" s="55"/>
    </row>
    <row r="207" spans="1:27" ht="15" customHeight="1">
      <c r="A207" s="54"/>
      <c r="B207" s="54"/>
      <c r="C207" s="60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5"/>
      <c r="Z207" s="55"/>
      <c r="AA207" s="55"/>
    </row>
    <row r="208" spans="1:27" ht="15" customHeight="1">
      <c r="A208" s="54"/>
      <c r="B208" s="54"/>
      <c r="C208" s="60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5"/>
      <c r="Z208" s="55"/>
      <c r="AA208" s="55"/>
    </row>
    <row r="209" spans="1:27" ht="15" customHeight="1">
      <c r="A209" s="54"/>
      <c r="B209" s="54"/>
      <c r="C209" s="60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5"/>
      <c r="Z209" s="55"/>
      <c r="AA209" s="55"/>
    </row>
    <row r="210" spans="1:27" ht="15" customHeight="1">
      <c r="A210" s="54"/>
      <c r="B210" s="54"/>
      <c r="C210" s="60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5"/>
      <c r="Z210" s="55"/>
      <c r="AA210" s="55"/>
    </row>
    <row r="211" spans="1:27" ht="15" customHeight="1">
      <c r="A211" s="54"/>
      <c r="B211" s="54"/>
      <c r="C211" s="60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5"/>
      <c r="Z211" s="55"/>
      <c r="AA211" s="55"/>
    </row>
    <row r="212" spans="1:27" ht="15" customHeight="1">
      <c r="A212" s="54"/>
      <c r="B212" s="54"/>
      <c r="C212" s="60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5"/>
      <c r="Z212" s="55"/>
      <c r="AA212" s="55"/>
    </row>
    <row r="213" spans="1:27" ht="15" customHeight="1">
      <c r="A213" s="54"/>
      <c r="B213" s="54"/>
      <c r="C213" s="60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5"/>
      <c r="Z213" s="55"/>
      <c r="AA213" s="55"/>
    </row>
    <row r="214" spans="1:27" ht="15" customHeight="1">
      <c r="A214" s="54"/>
      <c r="B214" s="54"/>
      <c r="C214" s="60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5"/>
      <c r="Z214" s="55"/>
      <c r="AA214" s="55"/>
    </row>
    <row r="215" spans="1:27" ht="15" customHeight="1">
      <c r="A215" s="54"/>
      <c r="B215" s="54"/>
      <c r="C215" s="60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5"/>
      <c r="Z215" s="55"/>
      <c r="AA215" s="55"/>
    </row>
    <row r="216" spans="1:27" ht="15" customHeight="1">
      <c r="A216" s="54"/>
      <c r="B216" s="54"/>
      <c r="C216" s="60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5"/>
      <c r="Z216" s="55"/>
      <c r="AA216" s="55"/>
    </row>
    <row r="217" spans="1:27" ht="15" customHeight="1">
      <c r="A217" s="54"/>
      <c r="B217" s="54"/>
      <c r="C217" s="60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5"/>
      <c r="Z217" s="55"/>
      <c r="AA217" s="55"/>
    </row>
    <row r="218" spans="1:27" ht="15" customHeight="1">
      <c r="A218" s="54"/>
      <c r="B218" s="54"/>
      <c r="C218" s="60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5"/>
      <c r="Z218" s="55"/>
      <c r="AA218" s="55"/>
    </row>
    <row r="219" spans="1:27" ht="15" customHeight="1">
      <c r="A219" s="54"/>
      <c r="B219" s="54"/>
      <c r="C219" s="60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5"/>
      <c r="Z219" s="55"/>
      <c r="AA219" s="55"/>
    </row>
    <row r="220" spans="1:27" ht="15" customHeight="1">
      <c r="A220" s="54"/>
      <c r="B220" s="54"/>
      <c r="C220" s="60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5"/>
      <c r="Z220" s="55"/>
      <c r="AA220" s="55"/>
    </row>
    <row r="221" spans="1:27" ht="15" customHeight="1">
      <c r="A221" s="54"/>
      <c r="B221" s="54"/>
      <c r="C221" s="60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5"/>
      <c r="Z221" s="55"/>
      <c r="AA221" s="55"/>
    </row>
    <row r="222" spans="1:27" ht="15" customHeight="1">
      <c r="A222" s="54"/>
      <c r="B222" s="54"/>
      <c r="C222" s="60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5"/>
      <c r="Z222" s="55"/>
      <c r="AA222" s="55"/>
    </row>
    <row r="223" spans="1:27" ht="15" customHeight="1">
      <c r="A223" s="54"/>
      <c r="B223" s="54"/>
      <c r="C223" s="60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5"/>
      <c r="Z223" s="55"/>
      <c r="AA223" s="55"/>
    </row>
    <row r="224" spans="1:27" ht="15" customHeight="1">
      <c r="A224" s="54"/>
      <c r="B224" s="54"/>
      <c r="C224" s="60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5"/>
      <c r="Z224" s="55"/>
      <c r="AA224" s="55"/>
    </row>
    <row r="225" spans="1:27" ht="15" customHeight="1">
      <c r="A225" s="54"/>
      <c r="B225" s="54"/>
      <c r="C225" s="60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5"/>
      <c r="Z225" s="55"/>
      <c r="AA225" s="55"/>
    </row>
    <row r="226" spans="1:27" ht="15" customHeight="1">
      <c r="A226" s="54"/>
      <c r="B226" s="54"/>
      <c r="C226" s="60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5"/>
      <c r="Z226" s="55"/>
      <c r="AA226" s="55"/>
    </row>
    <row r="227" spans="1:27" ht="15" customHeight="1">
      <c r="A227" s="54"/>
      <c r="B227" s="54"/>
      <c r="C227" s="60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5"/>
      <c r="Z227" s="55"/>
      <c r="AA227" s="55"/>
    </row>
    <row r="228" spans="1:27" ht="15" customHeight="1">
      <c r="A228" s="54"/>
      <c r="B228" s="54"/>
      <c r="C228" s="60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5"/>
      <c r="Z228" s="55"/>
      <c r="AA228" s="55"/>
    </row>
    <row r="229" spans="1:27" ht="15" customHeight="1">
      <c r="A229" s="54"/>
      <c r="B229" s="54"/>
      <c r="C229" s="60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5"/>
      <c r="Z229" s="55"/>
      <c r="AA229" s="55"/>
    </row>
    <row r="230" spans="1:27" ht="15" customHeight="1">
      <c r="A230" s="54"/>
      <c r="B230" s="54"/>
      <c r="C230" s="60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5"/>
      <c r="Z230" s="55"/>
      <c r="AA230" s="55"/>
    </row>
    <row r="231" spans="1:27" ht="15" customHeight="1">
      <c r="A231" s="54"/>
      <c r="B231" s="54"/>
      <c r="C231" s="60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5"/>
      <c r="Z231" s="55"/>
      <c r="AA231" s="55"/>
    </row>
    <row r="232" spans="1:27" ht="15" customHeight="1">
      <c r="A232" s="54"/>
      <c r="B232" s="54"/>
      <c r="C232" s="60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5"/>
      <c r="Z232" s="55"/>
      <c r="AA232" s="55"/>
    </row>
    <row r="233" spans="1:27" ht="15" customHeight="1">
      <c r="A233" s="54"/>
      <c r="B233" s="54"/>
      <c r="C233" s="60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5"/>
      <c r="Z233" s="55"/>
      <c r="AA233" s="55"/>
    </row>
    <row r="234" spans="1:27" ht="15" customHeight="1">
      <c r="A234" s="54"/>
      <c r="B234" s="54"/>
      <c r="C234" s="60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5"/>
      <c r="Z234" s="55"/>
      <c r="AA234" s="55"/>
    </row>
    <row r="235" spans="1:27" ht="15" customHeight="1">
      <c r="A235" s="54"/>
      <c r="B235" s="54"/>
      <c r="C235" s="60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5"/>
      <c r="Z235" s="55"/>
      <c r="AA235" s="55"/>
    </row>
    <row r="236" spans="1:27" ht="15" customHeight="1">
      <c r="A236" s="54"/>
      <c r="B236" s="54"/>
      <c r="C236" s="60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5"/>
      <c r="Z236" s="55"/>
      <c r="AA236" s="55"/>
    </row>
    <row r="237" spans="1:27" ht="15" customHeight="1">
      <c r="A237" s="54"/>
      <c r="B237" s="54"/>
      <c r="C237" s="60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5"/>
      <c r="Z237" s="55"/>
      <c r="AA237" s="55"/>
    </row>
    <row r="238" spans="1:27" ht="15" customHeight="1">
      <c r="A238" s="54"/>
      <c r="B238" s="54"/>
      <c r="C238" s="60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5"/>
      <c r="Z238" s="55"/>
      <c r="AA238" s="55"/>
    </row>
    <row r="239" spans="1:27" ht="15" customHeight="1">
      <c r="A239" s="54"/>
      <c r="B239" s="54"/>
      <c r="C239" s="60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5"/>
      <c r="Z239" s="55"/>
      <c r="AA239" s="55"/>
    </row>
    <row r="240" spans="1:27" ht="15" customHeight="1">
      <c r="A240" s="54"/>
      <c r="B240" s="54"/>
      <c r="C240" s="60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5"/>
      <c r="Z240" s="55"/>
      <c r="AA240" s="55"/>
    </row>
    <row r="241" spans="1:27" ht="15" customHeight="1">
      <c r="A241" s="54"/>
      <c r="B241" s="54"/>
      <c r="C241" s="60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5"/>
      <c r="Z241" s="55"/>
      <c r="AA241" s="55"/>
    </row>
    <row r="242" spans="1:27" ht="15" customHeight="1">
      <c r="A242" s="54"/>
      <c r="B242" s="54"/>
      <c r="C242" s="60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5"/>
      <c r="Z242" s="55"/>
      <c r="AA242" s="55"/>
    </row>
    <row r="243" spans="1:27" ht="15" customHeight="1">
      <c r="A243" s="54"/>
      <c r="B243" s="54"/>
      <c r="C243" s="60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5"/>
      <c r="Z243" s="55"/>
      <c r="AA243" s="55"/>
    </row>
    <row r="244" spans="1:27" ht="15" customHeight="1">
      <c r="A244" s="54"/>
      <c r="B244" s="54"/>
      <c r="C244" s="60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5"/>
      <c r="Z244" s="55"/>
      <c r="AA244" s="55"/>
    </row>
    <row r="245" spans="1:27" ht="15" customHeight="1">
      <c r="A245" s="54"/>
      <c r="B245" s="54"/>
      <c r="C245" s="60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5"/>
      <c r="Z245" s="55"/>
      <c r="AA245" s="55"/>
    </row>
    <row r="246" spans="1:27" ht="15" customHeight="1">
      <c r="A246" s="54"/>
      <c r="B246" s="54"/>
      <c r="C246" s="60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5"/>
      <c r="Z246" s="55"/>
      <c r="AA246" s="55"/>
    </row>
    <row r="247" spans="1:27" ht="15" customHeight="1">
      <c r="A247" s="54"/>
      <c r="B247" s="54"/>
      <c r="C247" s="60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5"/>
      <c r="Z247" s="55"/>
      <c r="AA247" s="55"/>
    </row>
    <row r="248" spans="1:27" ht="15" customHeight="1">
      <c r="A248" s="54"/>
      <c r="B248" s="54"/>
      <c r="C248" s="60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5"/>
      <c r="Z248" s="55"/>
      <c r="AA248" s="55"/>
    </row>
    <row r="249" spans="1:27" ht="15" customHeight="1">
      <c r="A249" s="54"/>
      <c r="B249" s="54"/>
      <c r="C249" s="60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5"/>
      <c r="Z249" s="55"/>
      <c r="AA249" s="55"/>
    </row>
    <row r="250" spans="1:27" ht="15" customHeight="1">
      <c r="A250" s="54"/>
      <c r="B250" s="54"/>
      <c r="C250" s="60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5"/>
      <c r="Z250" s="55"/>
      <c r="AA250" s="55"/>
    </row>
    <row r="251" spans="1:27" ht="15" customHeight="1">
      <c r="A251" s="54"/>
      <c r="B251" s="54"/>
      <c r="C251" s="60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5"/>
      <c r="Z251" s="55"/>
      <c r="AA251" s="55"/>
    </row>
    <row r="252" spans="1:27" ht="15" customHeight="1">
      <c r="A252" s="54"/>
      <c r="B252" s="54"/>
      <c r="C252" s="60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5"/>
      <c r="Z252" s="55"/>
      <c r="AA252" s="55"/>
    </row>
    <row r="253" spans="1:27" ht="15" customHeight="1">
      <c r="A253" s="54"/>
      <c r="B253" s="54"/>
      <c r="C253" s="60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5"/>
      <c r="Z253" s="55"/>
      <c r="AA253" s="55"/>
    </row>
    <row r="254" spans="1:27" ht="15" customHeight="1">
      <c r="A254" s="54"/>
      <c r="B254" s="54"/>
      <c r="C254" s="60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5"/>
      <c r="Z254" s="55"/>
      <c r="AA254" s="55"/>
    </row>
    <row r="255" spans="1:27" ht="15" customHeight="1">
      <c r="A255" s="54"/>
      <c r="B255" s="54"/>
      <c r="C255" s="60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5"/>
      <c r="Z255" s="55"/>
      <c r="AA255" s="55"/>
    </row>
    <row r="256" spans="1:27" ht="15" customHeight="1">
      <c r="A256" s="54"/>
      <c r="B256" s="54"/>
      <c r="C256" s="60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5"/>
      <c r="Z256" s="55"/>
      <c r="AA256" s="55"/>
    </row>
    <row r="257" spans="1:27" ht="15" customHeight="1">
      <c r="A257" s="54"/>
      <c r="B257" s="54"/>
      <c r="C257" s="60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5"/>
      <c r="Z257" s="55"/>
      <c r="AA257" s="55"/>
    </row>
    <row r="258" spans="1:27" ht="15" customHeight="1">
      <c r="A258" s="54"/>
      <c r="B258" s="54"/>
      <c r="C258" s="60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5"/>
      <c r="Z258" s="55"/>
      <c r="AA258" s="55"/>
    </row>
    <row r="259" spans="1:27" ht="15" customHeight="1">
      <c r="A259" s="54"/>
      <c r="B259" s="54"/>
      <c r="C259" s="60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5"/>
      <c r="Z259" s="55"/>
      <c r="AA259" s="55"/>
    </row>
    <row r="260" spans="1:27" ht="15" customHeight="1">
      <c r="A260" s="54"/>
      <c r="B260" s="54"/>
      <c r="C260" s="60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5"/>
      <c r="Z260" s="55"/>
      <c r="AA260" s="55"/>
    </row>
    <row r="261" spans="1:27" ht="15" customHeight="1">
      <c r="A261" s="54"/>
      <c r="B261" s="54"/>
      <c r="C261" s="60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5"/>
      <c r="Z261" s="55"/>
      <c r="AA261" s="55"/>
    </row>
    <row r="262" spans="1:27" ht="15" customHeight="1">
      <c r="A262" s="54"/>
      <c r="B262" s="54"/>
      <c r="C262" s="60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5"/>
      <c r="Z262" s="55"/>
      <c r="AA262" s="55"/>
    </row>
    <row r="263" spans="1:27" ht="15" customHeight="1">
      <c r="A263" s="54"/>
      <c r="B263" s="54"/>
      <c r="C263" s="60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5"/>
      <c r="Z263" s="55"/>
      <c r="AA263" s="55"/>
    </row>
    <row r="264" spans="1:27" ht="15" customHeight="1">
      <c r="A264" s="54"/>
      <c r="B264" s="54"/>
      <c r="C264" s="60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5"/>
      <c r="Z264" s="55"/>
      <c r="AA264" s="55"/>
    </row>
    <row r="265" spans="1:27" ht="15" customHeight="1">
      <c r="A265" s="54"/>
      <c r="B265" s="54"/>
      <c r="C265" s="60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5"/>
      <c r="Z265" s="55"/>
      <c r="AA265" s="55"/>
    </row>
    <row r="266" spans="1:27" ht="15" customHeight="1">
      <c r="A266" s="54"/>
      <c r="B266" s="54"/>
      <c r="C266" s="60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5"/>
      <c r="Z266" s="55"/>
      <c r="AA266" s="55"/>
    </row>
    <row r="267" spans="1:27" ht="15" customHeight="1">
      <c r="A267" s="54"/>
      <c r="B267" s="54"/>
      <c r="C267" s="60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5"/>
      <c r="Z267" s="55"/>
      <c r="AA267" s="55"/>
    </row>
    <row r="268" spans="1:27" ht="15" customHeight="1">
      <c r="A268" s="54"/>
      <c r="B268" s="54"/>
      <c r="C268" s="60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5"/>
      <c r="Z268" s="55"/>
      <c r="AA268" s="55"/>
    </row>
    <row r="269" spans="1:27" ht="15" customHeight="1">
      <c r="A269" s="54"/>
      <c r="B269" s="54"/>
      <c r="C269" s="60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5"/>
      <c r="Z269" s="55"/>
      <c r="AA269" s="55"/>
    </row>
    <row r="270" spans="1:27" ht="15" customHeight="1">
      <c r="A270" s="54"/>
      <c r="B270" s="54"/>
      <c r="C270" s="60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5"/>
      <c r="Z270" s="55"/>
      <c r="AA270" s="55"/>
    </row>
    <row r="271" spans="1:27" ht="15" customHeight="1">
      <c r="A271" s="54"/>
      <c r="B271" s="54"/>
      <c r="C271" s="60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5"/>
      <c r="Z271" s="55"/>
      <c r="AA271" s="55"/>
    </row>
    <row r="272" spans="1:27" ht="15" customHeight="1">
      <c r="A272" s="54"/>
      <c r="B272" s="54"/>
      <c r="C272" s="60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5"/>
      <c r="Z272" s="55"/>
      <c r="AA272" s="55"/>
    </row>
    <row r="273" spans="1:27" ht="15" customHeight="1">
      <c r="A273" s="54"/>
      <c r="B273" s="54"/>
      <c r="C273" s="60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5"/>
      <c r="Z273" s="55"/>
      <c r="AA273" s="55"/>
    </row>
    <row r="274" spans="1:27" ht="15" customHeight="1">
      <c r="A274" s="54"/>
      <c r="B274" s="54"/>
      <c r="C274" s="60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5"/>
      <c r="Z274" s="55"/>
      <c r="AA274" s="55"/>
    </row>
    <row r="275" spans="1:27" ht="15" customHeight="1">
      <c r="A275" s="54"/>
      <c r="B275" s="54"/>
      <c r="C275" s="60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5"/>
      <c r="Z275" s="55"/>
      <c r="AA275" s="55"/>
    </row>
    <row r="276" spans="1:27" ht="15" customHeight="1">
      <c r="A276" s="54"/>
      <c r="B276" s="54"/>
      <c r="C276" s="60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5"/>
      <c r="Z276" s="55"/>
      <c r="AA276" s="55"/>
    </row>
    <row r="277" spans="1:27" ht="15" customHeight="1">
      <c r="A277" s="54"/>
      <c r="B277" s="54"/>
      <c r="C277" s="60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5"/>
      <c r="Z277" s="55"/>
      <c r="AA277" s="55"/>
    </row>
    <row r="278" spans="1:27" ht="15" customHeight="1">
      <c r="A278" s="54"/>
      <c r="B278" s="54"/>
      <c r="C278" s="60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5"/>
      <c r="Z278" s="55"/>
      <c r="AA278" s="55"/>
    </row>
    <row r="279" spans="1:27" ht="15" customHeight="1">
      <c r="A279" s="54"/>
      <c r="B279" s="54"/>
      <c r="C279" s="60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5"/>
      <c r="Z279" s="55"/>
      <c r="AA279" s="55"/>
    </row>
    <row r="280" spans="1:27" ht="15" customHeight="1">
      <c r="A280" s="54"/>
      <c r="B280" s="54"/>
      <c r="C280" s="60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5"/>
      <c r="Z280" s="55"/>
      <c r="AA280" s="55"/>
    </row>
    <row r="281" spans="1:27" ht="15" customHeight="1">
      <c r="A281" s="54"/>
      <c r="B281" s="54"/>
      <c r="C281" s="60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5"/>
      <c r="Z281" s="55"/>
      <c r="AA281" s="55"/>
    </row>
    <row r="282" spans="1:27" ht="15" customHeight="1">
      <c r="A282" s="54"/>
      <c r="B282" s="54"/>
      <c r="C282" s="60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5"/>
      <c r="Z282" s="55"/>
      <c r="AA282" s="55"/>
    </row>
    <row r="283" spans="1:27" ht="15" customHeight="1">
      <c r="A283" s="54"/>
      <c r="B283" s="54"/>
      <c r="C283" s="60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5"/>
      <c r="Z283" s="55"/>
      <c r="AA283" s="55"/>
    </row>
    <row r="284" spans="1:27" ht="15" customHeight="1">
      <c r="A284" s="54"/>
      <c r="B284" s="54"/>
      <c r="C284" s="60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5"/>
      <c r="Z284" s="55"/>
      <c r="AA284" s="55"/>
    </row>
    <row r="285" spans="1:27" ht="15" customHeight="1">
      <c r="A285" s="54"/>
      <c r="B285" s="54"/>
      <c r="C285" s="60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5"/>
      <c r="Z285" s="55"/>
      <c r="AA285" s="55"/>
    </row>
    <row r="286" spans="1:27" ht="15" customHeight="1">
      <c r="A286" s="54"/>
      <c r="B286" s="54"/>
      <c r="C286" s="60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5"/>
      <c r="Z286" s="55"/>
      <c r="AA286" s="55"/>
    </row>
    <row r="287" spans="1:27" ht="15" customHeight="1">
      <c r="A287" s="54"/>
      <c r="B287" s="54"/>
      <c r="C287" s="60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5"/>
      <c r="Z287" s="55"/>
      <c r="AA287" s="55"/>
    </row>
    <row r="288" spans="1:27" ht="15" customHeight="1">
      <c r="A288" s="54"/>
      <c r="B288" s="54"/>
      <c r="C288" s="60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5"/>
      <c r="Z288" s="55"/>
      <c r="AA288" s="55"/>
    </row>
    <row r="289" spans="1:27" ht="15" customHeight="1">
      <c r="A289" s="54"/>
      <c r="B289" s="54"/>
      <c r="C289" s="60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5"/>
      <c r="Z289" s="55"/>
      <c r="AA289" s="55"/>
    </row>
    <row r="290" spans="1:27" ht="15" customHeight="1">
      <c r="A290" s="54"/>
      <c r="B290" s="54"/>
      <c r="C290" s="60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5"/>
      <c r="Z290" s="55"/>
      <c r="AA290" s="55"/>
    </row>
    <row r="291" spans="1:27" ht="15" customHeight="1">
      <c r="A291" s="54"/>
      <c r="B291" s="54"/>
      <c r="C291" s="60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5"/>
      <c r="Z291" s="55"/>
      <c r="AA291" s="55"/>
    </row>
    <row r="292" spans="1:27" ht="15" customHeight="1">
      <c r="A292" s="54"/>
      <c r="B292" s="54"/>
      <c r="C292" s="60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5"/>
      <c r="Z292" s="55"/>
      <c r="AA292" s="55"/>
    </row>
    <row r="293" spans="1:27" ht="15" customHeight="1">
      <c r="A293" s="54"/>
      <c r="B293" s="54"/>
      <c r="C293" s="60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5"/>
      <c r="Z293" s="55"/>
      <c r="AA293" s="55"/>
    </row>
    <row r="294" spans="1:27" ht="15" customHeight="1">
      <c r="A294" s="54"/>
      <c r="B294" s="54"/>
      <c r="C294" s="60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5"/>
      <c r="Z294" s="55"/>
      <c r="AA294" s="55"/>
    </row>
    <row r="295" spans="1:27" ht="15" customHeight="1">
      <c r="A295" s="54"/>
      <c r="B295" s="54"/>
      <c r="C295" s="60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5"/>
      <c r="Z295" s="55"/>
      <c r="AA295" s="55"/>
    </row>
    <row r="296" spans="1:27" ht="15" customHeight="1">
      <c r="A296" s="54"/>
      <c r="B296" s="54"/>
      <c r="C296" s="60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5"/>
      <c r="Z296" s="55"/>
      <c r="AA296" s="55"/>
    </row>
    <row r="297" spans="1:27" ht="15" customHeight="1">
      <c r="A297" s="54"/>
      <c r="B297" s="54"/>
      <c r="C297" s="60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5"/>
      <c r="Z297" s="55"/>
      <c r="AA297" s="55"/>
    </row>
    <row r="298" spans="1:27" ht="15" customHeight="1">
      <c r="A298" s="54"/>
      <c r="B298" s="54"/>
      <c r="C298" s="60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5"/>
      <c r="Z298" s="55"/>
      <c r="AA298" s="55"/>
    </row>
    <row r="299" spans="1:27" ht="15" customHeight="1">
      <c r="A299" s="54"/>
      <c r="B299" s="54"/>
      <c r="C299" s="60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5"/>
      <c r="Z299" s="55"/>
      <c r="AA299" s="55"/>
    </row>
    <row r="300" spans="1:27" ht="15" customHeight="1">
      <c r="A300" s="54"/>
      <c r="B300" s="54"/>
      <c r="C300" s="60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5"/>
      <c r="Z300" s="55"/>
      <c r="AA300" s="55"/>
    </row>
    <row r="301" spans="1:27" ht="15" customHeight="1">
      <c r="A301" s="54"/>
      <c r="B301" s="54"/>
      <c r="C301" s="60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5"/>
      <c r="Z301" s="55"/>
      <c r="AA301" s="55"/>
    </row>
    <row r="302" spans="1:27" ht="15" customHeight="1">
      <c r="A302" s="54"/>
      <c r="B302" s="54"/>
      <c r="C302" s="60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5"/>
      <c r="Z302" s="55"/>
      <c r="AA302" s="55"/>
    </row>
    <row r="303" spans="1:27" ht="15" customHeight="1">
      <c r="A303" s="54"/>
      <c r="B303" s="54"/>
      <c r="C303" s="60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5"/>
      <c r="Z303" s="55"/>
      <c r="AA303" s="55"/>
    </row>
    <row r="304" spans="1:27" ht="15" customHeight="1">
      <c r="A304" s="54"/>
      <c r="B304" s="54"/>
      <c r="C304" s="60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5"/>
      <c r="Z304" s="55"/>
      <c r="AA304" s="55"/>
    </row>
    <row r="305" spans="1:27" ht="15" customHeight="1">
      <c r="A305" s="54"/>
      <c r="B305" s="54"/>
      <c r="C305" s="60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5"/>
      <c r="Z305" s="55"/>
      <c r="AA305" s="55"/>
    </row>
    <row r="306" spans="1:27" ht="15" customHeight="1">
      <c r="A306" s="54"/>
      <c r="B306" s="54"/>
      <c r="C306" s="60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5"/>
      <c r="Z306" s="55"/>
      <c r="AA306" s="55"/>
    </row>
    <row r="307" spans="1:27" ht="15" customHeight="1">
      <c r="A307" s="54"/>
      <c r="B307" s="54"/>
      <c r="C307" s="60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5"/>
      <c r="Z307" s="55"/>
      <c r="AA307" s="55"/>
    </row>
    <row r="308" spans="1:27" ht="15" customHeight="1">
      <c r="A308" s="54"/>
      <c r="B308" s="54"/>
      <c r="C308" s="60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5"/>
      <c r="Z308" s="55"/>
      <c r="AA308" s="55"/>
    </row>
    <row r="309" spans="1:27" ht="15" customHeight="1">
      <c r="A309" s="54"/>
      <c r="B309" s="54"/>
      <c r="C309" s="60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5"/>
      <c r="Z309" s="55"/>
      <c r="AA309" s="55"/>
    </row>
    <row r="310" spans="1:27" ht="15" customHeight="1">
      <c r="A310" s="54"/>
      <c r="B310" s="54"/>
      <c r="C310" s="60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5"/>
      <c r="Z310" s="55"/>
      <c r="AA310" s="55"/>
    </row>
    <row r="311" spans="1:27" ht="15" customHeight="1">
      <c r="A311" s="54"/>
      <c r="B311" s="54"/>
      <c r="C311" s="60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5"/>
      <c r="Z311" s="55"/>
      <c r="AA311" s="55"/>
    </row>
    <row r="312" spans="1:27" ht="15" customHeight="1">
      <c r="A312" s="54"/>
      <c r="B312" s="54"/>
      <c r="C312" s="60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5"/>
      <c r="Z312" s="55"/>
      <c r="AA312" s="55"/>
    </row>
    <row r="313" spans="1:27" ht="15" customHeight="1">
      <c r="A313" s="54"/>
      <c r="B313" s="54"/>
      <c r="C313" s="60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5"/>
      <c r="Z313" s="55"/>
      <c r="AA313" s="55"/>
    </row>
    <row r="314" spans="1:27" ht="15" customHeight="1">
      <c r="A314" s="54"/>
      <c r="B314" s="54"/>
      <c r="C314" s="60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5"/>
      <c r="Z314" s="55"/>
      <c r="AA314" s="55"/>
    </row>
    <row r="315" spans="1:27" ht="15" customHeight="1">
      <c r="A315" s="54"/>
      <c r="B315" s="54"/>
      <c r="C315" s="60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5"/>
      <c r="Z315" s="55"/>
      <c r="AA315" s="55"/>
    </row>
    <row r="316" spans="1:27" ht="15" customHeight="1">
      <c r="A316" s="54"/>
      <c r="B316" s="54"/>
      <c r="C316" s="60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5"/>
      <c r="Z316" s="55"/>
      <c r="AA316" s="55"/>
    </row>
    <row r="317" spans="1:27" ht="15" customHeight="1">
      <c r="A317" s="54"/>
      <c r="B317" s="54"/>
      <c r="C317" s="60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5"/>
      <c r="Z317" s="55"/>
      <c r="AA317" s="55"/>
    </row>
    <row r="318" spans="1:27" ht="15" customHeight="1">
      <c r="A318" s="54"/>
      <c r="B318" s="54"/>
      <c r="C318" s="60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5"/>
      <c r="Z318" s="55"/>
      <c r="AA318" s="55"/>
    </row>
    <row r="319" spans="1:27" ht="15" customHeight="1">
      <c r="A319" s="54"/>
      <c r="B319" s="54"/>
      <c r="C319" s="60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5"/>
      <c r="Z319" s="55"/>
      <c r="AA319" s="55"/>
    </row>
    <row r="320" spans="1:27" ht="15" customHeight="1">
      <c r="A320" s="54"/>
      <c r="B320" s="54"/>
      <c r="C320" s="60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5"/>
      <c r="Z320" s="55"/>
      <c r="AA320" s="55"/>
    </row>
    <row r="321" spans="1:27" ht="15" customHeight="1">
      <c r="A321" s="54"/>
      <c r="B321" s="54"/>
      <c r="C321" s="60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5"/>
      <c r="Z321" s="55"/>
      <c r="AA321" s="55"/>
    </row>
    <row r="322" spans="1:27" ht="15" customHeight="1">
      <c r="A322" s="54"/>
      <c r="B322" s="54"/>
      <c r="C322" s="60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5"/>
      <c r="Z322" s="55"/>
      <c r="AA322" s="55"/>
    </row>
    <row r="323" spans="1:27" ht="15" customHeight="1">
      <c r="A323" s="54"/>
      <c r="B323" s="54"/>
      <c r="C323" s="60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5"/>
      <c r="Z323" s="55"/>
      <c r="AA323" s="55"/>
    </row>
    <row r="324" spans="1:27" ht="15" customHeight="1">
      <c r="A324" s="54"/>
      <c r="B324" s="54"/>
      <c r="C324" s="60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5"/>
      <c r="Z324" s="55"/>
      <c r="AA324" s="55"/>
    </row>
    <row r="325" spans="1:27" ht="15" customHeight="1">
      <c r="A325" s="54"/>
      <c r="B325" s="54"/>
      <c r="C325" s="60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5"/>
      <c r="Z325" s="55"/>
      <c r="AA325" s="55"/>
    </row>
    <row r="326" spans="1:27" ht="15" customHeight="1">
      <c r="A326" s="54"/>
      <c r="B326" s="54"/>
      <c r="C326" s="60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5"/>
      <c r="Z326" s="55"/>
      <c r="AA326" s="55"/>
    </row>
    <row r="327" spans="1:27" ht="15" customHeight="1">
      <c r="A327" s="54"/>
      <c r="B327" s="54"/>
      <c r="C327" s="60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5"/>
      <c r="Z327" s="55"/>
      <c r="AA327" s="55"/>
    </row>
    <row r="328" spans="1:27" ht="15" customHeight="1">
      <c r="A328" s="54"/>
      <c r="B328" s="54"/>
      <c r="C328" s="60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5"/>
      <c r="Z328" s="55"/>
      <c r="AA328" s="55"/>
    </row>
    <row r="329" spans="1:27" ht="15" customHeight="1">
      <c r="A329" s="54"/>
      <c r="B329" s="54"/>
      <c r="C329" s="60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5"/>
      <c r="Z329" s="55"/>
      <c r="AA329" s="55"/>
    </row>
    <row r="330" spans="1:27" ht="15" customHeight="1">
      <c r="A330" s="54"/>
      <c r="B330" s="54"/>
      <c r="C330" s="60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5"/>
      <c r="Z330" s="55"/>
      <c r="AA330" s="55"/>
    </row>
    <row r="331" spans="1:27" ht="15" customHeight="1">
      <c r="A331" s="54"/>
      <c r="B331" s="54"/>
      <c r="C331" s="60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5"/>
      <c r="Z331" s="55"/>
      <c r="AA331" s="55"/>
    </row>
    <row r="332" spans="1:27" ht="15" customHeight="1">
      <c r="A332" s="54"/>
      <c r="B332" s="54"/>
      <c r="C332" s="60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5"/>
      <c r="Z332" s="55"/>
      <c r="AA332" s="55"/>
    </row>
    <row r="333" spans="1:27" ht="15" customHeight="1">
      <c r="A333" s="54"/>
      <c r="B333" s="54"/>
      <c r="C333" s="60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5"/>
      <c r="Z333" s="55"/>
      <c r="AA333" s="55"/>
    </row>
    <row r="334" spans="1:27" ht="15" customHeight="1">
      <c r="A334" s="54"/>
      <c r="B334" s="54"/>
      <c r="C334" s="60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5"/>
      <c r="Z334" s="55"/>
      <c r="AA334" s="55"/>
    </row>
    <row r="335" spans="1:27" ht="15" customHeight="1">
      <c r="A335" s="54"/>
      <c r="B335" s="54"/>
      <c r="C335" s="60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5"/>
      <c r="Z335" s="55"/>
      <c r="AA335" s="55"/>
    </row>
    <row r="336" spans="1:27" ht="15" customHeight="1">
      <c r="A336" s="54"/>
      <c r="B336" s="54"/>
      <c r="C336" s="60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5"/>
      <c r="Z336" s="55"/>
      <c r="AA336" s="55"/>
    </row>
    <row r="337" spans="1:27" ht="15" customHeight="1">
      <c r="A337" s="54"/>
      <c r="B337" s="54"/>
      <c r="C337" s="60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5"/>
      <c r="Z337" s="55"/>
      <c r="AA337" s="55"/>
    </row>
    <row r="338" spans="1:27" ht="15" customHeight="1">
      <c r="A338" s="54"/>
      <c r="B338" s="54"/>
      <c r="C338" s="60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5"/>
      <c r="Z338" s="55"/>
      <c r="AA338" s="55"/>
    </row>
    <row r="339" spans="1:27" ht="15" customHeight="1">
      <c r="A339" s="54"/>
      <c r="B339" s="54"/>
      <c r="C339" s="60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5"/>
      <c r="Z339" s="55"/>
      <c r="AA339" s="55"/>
    </row>
    <row r="340" spans="1:27" ht="15" customHeight="1">
      <c r="A340" s="54"/>
      <c r="B340" s="54"/>
      <c r="C340" s="60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5"/>
      <c r="Z340" s="55"/>
      <c r="AA340" s="55"/>
    </row>
    <row r="341" spans="1:27" ht="15" customHeight="1">
      <c r="A341" s="54"/>
      <c r="B341" s="54"/>
      <c r="C341" s="60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5"/>
      <c r="Z341" s="55"/>
      <c r="AA341" s="55"/>
    </row>
    <row r="342" spans="1:27" ht="15" customHeight="1">
      <c r="A342" s="54"/>
      <c r="B342" s="54"/>
      <c r="C342" s="60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5"/>
      <c r="Z342" s="55"/>
      <c r="AA342" s="55"/>
    </row>
    <row r="343" spans="1:27" ht="15" customHeight="1">
      <c r="A343" s="54"/>
      <c r="B343" s="54"/>
      <c r="C343" s="60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5"/>
      <c r="Z343" s="55"/>
      <c r="AA343" s="55"/>
    </row>
    <row r="344" spans="1:27" ht="15" customHeight="1">
      <c r="A344" s="54"/>
      <c r="B344" s="54"/>
      <c r="C344" s="60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5"/>
      <c r="Z344" s="55"/>
      <c r="AA344" s="55"/>
    </row>
    <row r="345" spans="1:27" ht="15" customHeight="1">
      <c r="A345" s="54"/>
      <c r="B345" s="54"/>
      <c r="C345" s="60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5"/>
      <c r="Z345" s="55"/>
      <c r="AA345" s="55"/>
    </row>
    <row r="346" spans="1:27" ht="15" customHeight="1">
      <c r="A346" s="54"/>
      <c r="B346" s="54"/>
      <c r="C346" s="60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5"/>
      <c r="Z346" s="55"/>
      <c r="AA346" s="55"/>
    </row>
    <row r="347" spans="1:27" ht="15" customHeight="1">
      <c r="A347" s="54"/>
      <c r="B347" s="54"/>
      <c r="C347" s="60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5"/>
      <c r="Z347" s="55"/>
      <c r="AA347" s="55"/>
    </row>
    <row r="348" spans="1:27" ht="15" customHeight="1">
      <c r="A348" s="54"/>
      <c r="B348" s="54"/>
      <c r="C348" s="60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5"/>
      <c r="Z348" s="55"/>
      <c r="AA348" s="55"/>
    </row>
    <row r="349" spans="1:27" ht="15" customHeight="1">
      <c r="A349" s="54"/>
      <c r="B349" s="54"/>
      <c r="C349" s="60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5"/>
      <c r="Z349" s="55"/>
      <c r="AA349" s="55"/>
    </row>
    <row r="350" spans="1:27" ht="15" customHeight="1">
      <c r="A350" s="54"/>
      <c r="B350" s="54"/>
      <c r="C350" s="60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5"/>
      <c r="Z350" s="55"/>
      <c r="AA350" s="55"/>
    </row>
    <row r="351" spans="1:27" ht="15" customHeight="1">
      <c r="A351" s="54"/>
      <c r="B351" s="54"/>
      <c r="C351" s="60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5"/>
      <c r="Z351" s="55"/>
      <c r="AA351" s="55"/>
    </row>
    <row r="352" spans="1:27" ht="15" customHeight="1">
      <c r="A352" s="54"/>
      <c r="B352" s="54"/>
      <c r="C352" s="60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5"/>
      <c r="Z352" s="55"/>
      <c r="AA352" s="55"/>
    </row>
    <row r="353" spans="1:27" ht="15" customHeight="1">
      <c r="A353" s="54"/>
      <c r="B353" s="54"/>
      <c r="C353" s="60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5"/>
      <c r="Z353" s="55"/>
      <c r="AA353" s="55"/>
    </row>
    <row r="354" spans="1:27" ht="15" customHeight="1">
      <c r="A354" s="54"/>
      <c r="B354" s="54"/>
      <c r="C354" s="60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5"/>
      <c r="Z354" s="55"/>
      <c r="AA354" s="55"/>
    </row>
    <row r="355" spans="1:27" ht="15" customHeight="1">
      <c r="A355" s="54"/>
      <c r="B355" s="54"/>
      <c r="C355" s="60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5"/>
      <c r="Z355" s="55"/>
      <c r="AA355" s="55"/>
    </row>
    <row r="356" spans="1:27" ht="15" customHeight="1">
      <c r="A356" s="54"/>
      <c r="B356" s="54"/>
      <c r="C356" s="60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5"/>
      <c r="Z356" s="55"/>
      <c r="AA356" s="55"/>
    </row>
    <row r="357" spans="1:27" ht="15" customHeight="1">
      <c r="A357" s="54"/>
      <c r="B357" s="54"/>
      <c r="C357" s="60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5"/>
      <c r="Z357" s="55"/>
      <c r="AA357" s="55"/>
    </row>
    <row r="358" spans="1:27" ht="15" customHeight="1">
      <c r="A358" s="54"/>
      <c r="B358" s="54"/>
      <c r="C358" s="60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5"/>
      <c r="Z358" s="55"/>
      <c r="AA358" s="55"/>
    </row>
    <row r="359" spans="1:27" ht="15" customHeight="1">
      <c r="A359" s="54"/>
      <c r="B359" s="54"/>
      <c r="C359" s="60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5"/>
      <c r="Z359" s="55"/>
      <c r="AA359" s="55"/>
    </row>
    <row r="360" spans="1:27" ht="15" customHeight="1">
      <c r="A360" s="54"/>
      <c r="B360" s="54"/>
      <c r="C360" s="60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5"/>
      <c r="Z360" s="55"/>
      <c r="AA360" s="55"/>
    </row>
    <row r="361" spans="1:27" ht="15" customHeight="1">
      <c r="A361" s="54"/>
      <c r="B361" s="54"/>
      <c r="C361" s="60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5"/>
      <c r="Z361" s="55"/>
      <c r="AA361" s="55"/>
    </row>
    <row r="362" spans="1:27" ht="15" customHeight="1">
      <c r="A362" s="54"/>
      <c r="B362" s="54"/>
      <c r="C362" s="60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5"/>
      <c r="Z362" s="55"/>
      <c r="AA362" s="55"/>
    </row>
    <row r="363" spans="1:27" ht="15" customHeight="1">
      <c r="A363" s="54"/>
      <c r="B363" s="54"/>
      <c r="C363" s="60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5"/>
      <c r="Z363" s="55"/>
      <c r="AA363" s="55"/>
    </row>
    <row r="364" spans="1:27" ht="15" customHeight="1">
      <c r="A364" s="54"/>
      <c r="B364" s="54"/>
      <c r="C364" s="60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5"/>
      <c r="Z364" s="55"/>
      <c r="AA364" s="55"/>
    </row>
    <row r="365" spans="1:27" ht="15" customHeight="1">
      <c r="A365" s="54"/>
      <c r="B365" s="54"/>
      <c r="C365" s="60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5"/>
      <c r="Z365" s="55"/>
      <c r="AA365" s="55"/>
    </row>
    <row r="366" spans="1:27" ht="15" customHeight="1">
      <c r="A366" s="54"/>
      <c r="B366" s="54"/>
      <c r="C366" s="60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5"/>
      <c r="Z366" s="55"/>
      <c r="AA366" s="55"/>
    </row>
    <row r="367" spans="1:27" ht="15" customHeight="1">
      <c r="A367" s="54"/>
      <c r="B367" s="54"/>
      <c r="C367" s="60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5"/>
      <c r="Z367" s="55"/>
      <c r="AA367" s="55"/>
    </row>
    <row r="368" spans="1:27" ht="15" customHeight="1">
      <c r="A368" s="54"/>
      <c r="B368" s="54"/>
      <c r="C368" s="60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5"/>
      <c r="Z368" s="55"/>
      <c r="AA368" s="55"/>
    </row>
    <row r="369" spans="1:27" ht="15" customHeight="1">
      <c r="A369" s="54"/>
      <c r="B369" s="54"/>
      <c r="C369" s="60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5"/>
      <c r="Z369" s="55"/>
      <c r="AA369" s="55"/>
    </row>
    <row r="370" spans="1:27" ht="15" customHeight="1">
      <c r="A370" s="54"/>
      <c r="B370" s="54"/>
      <c r="C370" s="60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5"/>
      <c r="Z370" s="55"/>
      <c r="AA370" s="55"/>
    </row>
    <row r="371" spans="1:27" ht="15" customHeight="1">
      <c r="A371" s="54"/>
      <c r="B371" s="54"/>
      <c r="C371" s="60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5"/>
      <c r="Z371" s="55"/>
      <c r="AA371" s="55"/>
    </row>
    <row r="372" spans="1:27" ht="15" customHeight="1">
      <c r="A372" s="54"/>
      <c r="B372" s="54"/>
      <c r="C372" s="60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5"/>
      <c r="Z372" s="55"/>
      <c r="AA372" s="55"/>
    </row>
    <row r="373" spans="1:27" ht="15" customHeight="1">
      <c r="A373" s="54"/>
      <c r="B373" s="54"/>
      <c r="C373" s="60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5"/>
      <c r="Z373" s="55"/>
      <c r="AA373" s="55"/>
    </row>
    <row r="374" spans="1:27" ht="15" customHeight="1">
      <c r="A374" s="54"/>
      <c r="B374" s="54"/>
      <c r="C374" s="60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5"/>
      <c r="Z374" s="55"/>
      <c r="AA374" s="55"/>
    </row>
    <row r="375" spans="1:27" ht="15" customHeight="1">
      <c r="A375" s="54"/>
      <c r="B375" s="54"/>
      <c r="C375" s="60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5"/>
      <c r="Z375" s="55"/>
      <c r="AA375" s="55"/>
    </row>
    <row r="376" spans="1:27" ht="15" customHeight="1">
      <c r="A376" s="54"/>
      <c r="B376" s="54"/>
      <c r="C376" s="60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5"/>
      <c r="Z376" s="55"/>
      <c r="AA376" s="55"/>
    </row>
    <row r="377" spans="1:27" ht="15" customHeight="1">
      <c r="A377" s="54"/>
      <c r="B377" s="54"/>
      <c r="C377" s="60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5"/>
      <c r="Z377" s="55"/>
      <c r="AA377" s="55"/>
    </row>
    <row r="378" spans="1:27" ht="15" customHeight="1">
      <c r="A378" s="54"/>
      <c r="B378" s="54"/>
      <c r="C378" s="60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5"/>
      <c r="Z378" s="55"/>
      <c r="AA378" s="55"/>
    </row>
    <row r="379" spans="1:27" ht="15" customHeight="1">
      <c r="A379" s="54"/>
      <c r="B379" s="54"/>
      <c r="C379" s="60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5"/>
      <c r="Z379" s="55"/>
      <c r="AA379" s="55"/>
    </row>
    <row r="380" spans="1:27" ht="15" customHeight="1">
      <c r="A380" s="54"/>
      <c r="B380" s="54"/>
      <c r="C380" s="60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5"/>
      <c r="Z380" s="55"/>
      <c r="AA380" s="55"/>
    </row>
    <row r="381" spans="1:27" ht="15" customHeight="1">
      <c r="A381" s="54"/>
      <c r="B381" s="54"/>
      <c r="C381" s="60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5"/>
      <c r="Z381" s="55"/>
      <c r="AA381" s="55"/>
    </row>
    <row r="382" spans="1:27" ht="15" customHeight="1">
      <c r="A382" s="54"/>
      <c r="B382" s="54"/>
      <c r="C382" s="60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5"/>
      <c r="Z382" s="55"/>
      <c r="AA382" s="55"/>
    </row>
    <row r="383" spans="1:27" ht="15" customHeight="1">
      <c r="A383" s="54"/>
      <c r="B383" s="54"/>
      <c r="C383" s="60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5"/>
      <c r="Z383" s="55"/>
      <c r="AA383" s="55"/>
    </row>
    <row r="384" spans="1:27" ht="15" customHeight="1">
      <c r="A384" s="54"/>
      <c r="B384" s="54"/>
      <c r="C384" s="60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5"/>
      <c r="Z384" s="55"/>
      <c r="AA384" s="55"/>
    </row>
    <row r="385" spans="1:27" ht="15" customHeight="1">
      <c r="A385" s="54"/>
      <c r="B385" s="54"/>
      <c r="C385" s="60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5"/>
      <c r="Z385" s="55"/>
      <c r="AA385" s="55"/>
    </row>
    <row r="386" spans="1:27" ht="15" customHeight="1">
      <c r="A386" s="54"/>
      <c r="B386" s="54"/>
      <c r="C386" s="60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5"/>
      <c r="Z386" s="55"/>
      <c r="AA386" s="55"/>
    </row>
    <row r="387" spans="1:27" ht="15" customHeight="1">
      <c r="A387" s="54"/>
      <c r="B387" s="54"/>
      <c r="C387" s="60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5"/>
      <c r="Z387" s="55"/>
      <c r="AA387" s="55"/>
    </row>
    <row r="388" spans="1:27" ht="15" customHeight="1">
      <c r="A388" s="54"/>
      <c r="B388" s="54"/>
      <c r="C388" s="60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5"/>
      <c r="Z388" s="55"/>
      <c r="AA388" s="55"/>
    </row>
    <row r="389" spans="1:27" ht="15" customHeight="1">
      <c r="A389" s="54"/>
      <c r="B389" s="54"/>
      <c r="C389" s="60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5"/>
      <c r="Z389" s="55"/>
      <c r="AA389" s="55"/>
    </row>
    <row r="390" spans="1:27" ht="15" customHeight="1">
      <c r="A390" s="54"/>
      <c r="B390" s="54"/>
      <c r="C390" s="60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5"/>
      <c r="Z390" s="55"/>
      <c r="AA390" s="55"/>
    </row>
    <row r="391" spans="1:27" ht="15" customHeight="1">
      <c r="A391" s="54"/>
      <c r="B391" s="54"/>
      <c r="C391" s="60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5"/>
      <c r="Z391" s="55"/>
      <c r="AA391" s="55"/>
    </row>
    <row r="392" spans="1:27" ht="15" customHeight="1">
      <c r="A392" s="54"/>
      <c r="B392" s="54"/>
      <c r="C392" s="60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5"/>
      <c r="Z392" s="55"/>
      <c r="AA392" s="55"/>
    </row>
    <row r="393" spans="1:27" ht="15" customHeight="1">
      <c r="A393" s="54"/>
      <c r="B393" s="54"/>
      <c r="C393" s="60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5"/>
      <c r="Z393" s="55"/>
      <c r="AA393" s="55"/>
    </row>
    <row r="394" spans="1:27" ht="15" customHeight="1">
      <c r="A394" s="54"/>
      <c r="B394" s="54"/>
      <c r="C394" s="60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5"/>
      <c r="Z394" s="55"/>
      <c r="AA394" s="55"/>
    </row>
    <row r="395" spans="1:27" ht="15" customHeight="1">
      <c r="A395" s="54"/>
      <c r="B395" s="54"/>
      <c r="C395" s="60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5"/>
      <c r="Z395" s="55"/>
      <c r="AA395" s="55"/>
    </row>
    <row r="396" spans="1:27" ht="15" customHeight="1">
      <c r="A396" s="54"/>
      <c r="B396" s="54"/>
      <c r="C396" s="60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5"/>
      <c r="Z396" s="55"/>
      <c r="AA396" s="55"/>
    </row>
    <row r="397" spans="1:27" ht="15" customHeight="1">
      <c r="A397" s="54"/>
      <c r="B397" s="54"/>
      <c r="C397" s="60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5"/>
      <c r="Z397" s="55"/>
      <c r="AA397" s="55"/>
    </row>
    <row r="398" spans="1:27" ht="15" customHeight="1">
      <c r="A398" s="54"/>
      <c r="B398" s="54"/>
      <c r="C398" s="60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5"/>
      <c r="Z398" s="55"/>
      <c r="AA398" s="55"/>
    </row>
    <row r="399" spans="1:27" ht="15" customHeight="1">
      <c r="A399" s="54"/>
      <c r="B399" s="54"/>
      <c r="C399" s="60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5"/>
      <c r="Z399" s="55"/>
      <c r="AA399" s="55"/>
    </row>
    <row r="400" spans="1:27" ht="15" customHeight="1">
      <c r="A400" s="54"/>
      <c r="B400" s="54"/>
      <c r="C400" s="60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5"/>
      <c r="Z400" s="55"/>
      <c r="AA400" s="55"/>
    </row>
    <row r="401" spans="1:27" ht="15" customHeight="1">
      <c r="A401" s="54"/>
      <c r="B401" s="54"/>
      <c r="C401" s="60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5"/>
      <c r="Z401" s="55"/>
      <c r="AA401" s="55"/>
    </row>
    <row r="402" spans="1:27" ht="15" customHeight="1">
      <c r="A402" s="54"/>
      <c r="B402" s="54"/>
      <c r="C402" s="60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5"/>
      <c r="Z402" s="55"/>
      <c r="AA402" s="55"/>
    </row>
    <row r="403" spans="1:27" ht="15" customHeight="1">
      <c r="A403" s="54"/>
      <c r="B403" s="54"/>
      <c r="C403" s="60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5"/>
      <c r="Z403" s="55"/>
      <c r="AA403" s="55"/>
    </row>
    <row r="404" spans="1:27" ht="15" customHeight="1">
      <c r="A404" s="54"/>
      <c r="B404" s="54"/>
      <c r="C404" s="60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5"/>
      <c r="Z404" s="55"/>
      <c r="AA404" s="55"/>
    </row>
    <row r="405" spans="1:27" ht="15" customHeight="1">
      <c r="A405" s="54"/>
      <c r="B405" s="54"/>
      <c r="C405" s="60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5"/>
      <c r="Z405" s="55"/>
      <c r="AA405" s="55"/>
    </row>
    <row r="406" spans="1:27" ht="15" customHeight="1">
      <c r="A406" s="54"/>
      <c r="B406" s="54"/>
      <c r="C406" s="60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5"/>
      <c r="Z406" s="55"/>
      <c r="AA406" s="55"/>
    </row>
    <row r="407" spans="1:27" ht="15" customHeight="1">
      <c r="A407" s="54"/>
      <c r="B407" s="54"/>
      <c r="C407" s="60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5"/>
      <c r="Z407" s="55"/>
      <c r="AA407" s="55"/>
    </row>
    <row r="408" spans="1:27" ht="15" customHeight="1">
      <c r="A408" s="54"/>
      <c r="B408" s="54"/>
      <c r="C408" s="60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5"/>
      <c r="Z408" s="55"/>
      <c r="AA408" s="55"/>
    </row>
    <row r="409" spans="1:27" ht="15" customHeight="1">
      <c r="A409" s="54"/>
      <c r="B409" s="54"/>
      <c r="C409" s="60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5"/>
      <c r="Z409" s="55"/>
      <c r="AA409" s="55"/>
    </row>
    <row r="410" spans="1:27" ht="15" customHeight="1">
      <c r="A410" s="54"/>
      <c r="B410" s="54"/>
      <c r="C410" s="60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5"/>
      <c r="Z410" s="55"/>
      <c r="AA410" s="55"/>
    </row>
    <row r="411" spans="1:27" ht="15" customHeight="1">
      <c r="A411" s="54"/>
      <c r="B411" s="54"/>
      <c r="C411" s="60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5"/>
      <c r="Z411" s="55"/>
      <c r="AA411" s="55"/>
    </row>
    <row r="412" spans="1:27" ht="15" customHeight="1">
      <c r="A412" s="54"/>
      <c r="B412" s="54"/>
      <c r="C412" s="60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5"/>
      <c r="Z412" s="55"/>
      <c r="AA412" s="55"/>
    </row>
    <row r="413" spans="1:27" ht="15" customHeight="1">
      <c r="A413" s="54"/>
      <c r="B413" s="54"/>
      <c r="C413" s="60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5"/>
      <c r="Z413" s="55"/>
      <c r="AA413" s="55"/>
    </row>
    <row r="414" spans="1:27" ht="15" customHeight="1">
      <c r="A414" s="54"/>
      <c r="B414" s="54"/>
      <c r="C414" s="60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5"/>
      <c r="Z414" s="55"/>
      <c r="AA414" s="55"/>
    </row>
    <row r="415" spans="1:27" ht="15" customHeight="1">
      <c r="A415" s="54"/>
      <c r="B415" s="54"/>
      <c r="C415" s="60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5"/>
      <c r="Z415" s="55"/>
      <c r="AA415" s="55"/>
    </row>
    <row r="416" spans="1:27" ht="15" customHeight="1">
      <c r="A416" s="54"/>
      <c r="B416" s="54"/>
      <c r="C416" s="60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5"/>
      <c r="Z416" s="55"/>
      <c r="AA416" s="55"/>
    </row>
    <row r="417" spans="1:27" ht="15" customHeight="1">
      <c r="A417" s="54"/>
      <c r="B417" s="54"/>
      <c r="C417" s="60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5"/>
      <c r="Z417" s="55"/>
      <c r="AA417" s="55"/>
    </row>
    <row r="418" spans="1:27" ht="15" customHeight="1">
      <c r="A418" s="54"/>
      <c r="B418" s="54"/>
      <c r="C418" s="60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5"/>
      <c r="Z418" s="55"/>
      <c r="AA418" s="55"/>
    </row>
    <row r="419" spans="1:27" ht="15" customHeight="1">
      <c r="A419" s="54"/>
      <c r="B419" s="54"/>
      <c r="C419" s="60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5"/>
      <c r="Z419" s="55"/>
      <c r="AA419" s="55"/>
    </row>
    <row r="420" spans="1:27" ht="15" customHeight="1">
      <c r="A420" s="54"/>
      <c r="B420" s="54"/>
      <c r="C420" s="60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5"/>
      <c r="Z420" s="55"/>
      <c r="AA420" s="55"/>
    </row>
    <row r="421" spans="1:27" ht="15" customHeight="1">
      <c r="A421" s="54"/>
      <c r="B421" s="54"/>
      <c r="C421" s="60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5"/>
      <c r="Z421" s="55"/>
      <c r="AA421" s="55"/>
    </row>
    <row r="422" spans="1:27" ht="15" customHeight="1">
      <c r="A422" s="54"/>
      <c r="B422" s="54"/>
      <c r="C422" s="60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5"/>
      <c r="Z422" s="55"/>
      <c r="AA422" s="55"/>
    </row>
    <row r="423" spans="1:27" ht="15" customHeight="1">
      <c r="A423" s="54"/>
      <c r="B423" s="54"/>
      <c r="C423" s="60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5"/>
      <c r="Z423" s="55"/>
      <c r="AA423" s="55"/>
    </row>
    <row r="424" spans="1:27" ht="15" customHeight="1">
      <c r="A424" s="54"/>
      <c r="B424" s="54"/>
      <c r="C424" s="60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5"/>
      <c r="Z424" s="55"/>
      <c r="AA424" s="55"/>
    </row>
    <row r="425" spans="1:27" ht="15" customHeight="1">
      <c r="A425" s="54"/>
      <c r="B425" s="54"/>
      <c r="C425" s="60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5"/>
      <c r="Z425" s="55"/>
      <c r="AA425" s="55"/>
    </row>
    <row r="426" spans="1:27" ht="15" customHeight="1">
      <c r="A426" s="54"/>
      <c r="B426" s="54"/>
      <c r="C426" s="60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5"/>
      <c r="Z426" s="55"/>
      <c r="AA426" s="55"/>
    </row>
    <row r="427" spans="1:27" ht="15" customHeight="1">
      <c r="A427" s="54"/>
      <c r="B427" s="54"/>
      <c r="C427" s="60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5"/>
      <c r="Z427" s="55"/>
      <c r="AA427" s="55"/>
    </row>
    <row r="428" spans="1:27" ht="15" customHeight="1">
      <c r="A428" s="54"/>
      <c r="B428" s="54"/>
      <c r="C428" s="60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5"/>
      <c r="Z428" s="55"/>
      <c r="AA428" s="55"/>
    </row>
    <row r="429" spans="1:27" ht="15" customHeight="1">
      <c r="A429" s="54"/>
      <c r="B429" s="54"/>
      <c r="C429" s="60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5"/>
      <c r="Z429" s="55"/>
      <c r="AA429" s="55"/>
    </row>
    <row r="430" spans="1:27" ht="15" customHeight="1">
      <c r="A430" s="54"/>
      <c r="B430" s="54"/>
      <c r="C430" s="60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5"/>
      <c r="Z430" s="55"/>
      <c r="AA430" s="55"/>
    </row>
    <row r="431" spans="1:27" ht="15" customHeight="1">
      <c r="A431" s="54"/>
      <c r="B431" s="54"/>
      <c r="C431" s="60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5"/>
      <c r="Z431" s="55"/>
      <c r="AA431" s="55"/>
    </row>
    <row r="432" spans="1:27" ht="15" customHeight="1">
      <c r="A432" s="54"/>
      <c r="B432" s="54"/>
      <c r="C432" s="60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5"/>
      <c r="Z432" s="55"/>
      <c r="AA432" s="55"/>
    </row>
    <row r="433" spans="1:27" ht="15" customHeight="1">
      <c r="A433" s="54"/>
      <c r="B433" s="54"/>
      <c r="C433" s="60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5"/>
      <c r="Z433" s="55"/>
      <c r="AA433" s="55"/>
    </row>
    <row r="434" spans="1:27" ht="15" customHeight="1">
      <c r="A434" s="54"/>
      <c r="B434" s="54"/>
      <c r="C434" s="60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5"/>
      <c r="Z434" s="55"/>
      <c r="AA434" s="55"/>
    </row>
    <row r="435" spans="1:27" ht="15" customHeight="1">
      <c r="A435" s="54"/>
      <c r="B435" s="54"/>
      <c r="C435" s="60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5"/>
      <c r="Z435" s="55"/>
      <c r="AA435" s="55"/>
    </row>
    <row r="436" spans="1:27" ht="15" customHeight="1">
      <c r="A436" s="54"/>
      <c r="B436" s="54"/>
      <c r="C436" s="60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5"/>
      <c r="Z436" s="55"/>
      <c r="AA436" s="55"/>
    </row>
    <row r="437" spans="1:27" ht="15" customHeight="1">
      <c r="A437" s="54"/>
      <c r="B437" s="54"/>
      <c r="C437" s="60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5"/>
      <c r="Z437" s="55"/>
      <c r="AA437" s="55"/>
    </row>
    <row r="438" spans="1:27" ht="15" customHeight="1">
      <c r="A438" s="54"/>
      <c r="B438" s="54"/>
      <c r="C438" s="60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5"/>
      <c r="Z438" s="55"/>
      <c r="AA438" s="55"/>
    </row>
    <row r="439" spans="1:27" ht="15" customHeight="1">
      <c r="A439" s="54"/>
      <c r="B439" s="54"/>
      <c r="C439" s="60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5"/>
      <c r="Z439" s="55"/>
      <c r="AA439" s="55"/>
    </row>
    <row r="440" spans="1:27" ht="15" customHeight="1">
      <c r="A440" s="54"/>
      <c r="B440" s="54"/>
      <c r="C440" s="60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5"/>
      <c r="Z440" s="55"/>
      <c r="AA440" s="55"/>
    </row>
    <row r="441" spans="1:27" ht="15" customHeight="1">
      <c r="A441" s="54"/>
      <c r="B441" s="54"/>
      <c r="C441" s="60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5"/>
      <c r="Z441" s="55"/>
      <c r="AA441" s="55"/>
    </row>
    <row r="442" spans="1:27" ht="15" customHeight="1">
      <c r="A442" s="54"/>
      <c r="B442" s="54"/>
      <c r="C442" s="60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5"/>
      <c r="Z442" s="55"/>
      <c r="AA442" s="55"/>
    </row>
    <row r="443" spans="1:27" ht="15" customHeight="1">
      <c r="A443" s="54"/>
      <c r="B443" s="54"/>
      <c r="C443" s="60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5"/>
      <c r="Z443" s="55"/>
      <c r="AA443" s="55"/>
    </row>
    <row r="444" spans="1:27" ht="15" customHeight="1">
      <c r="A444" s="54"/>
      <c r="B444" s="54"/>
      <c r="C444" s="60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5"/>
      <c r="Z444" s="55"/>
      <c r="AA444" s="55"/>
    </row>
    <row r="445" spans="1:27" ht="15" customHeight="1">
      <c r="A445" s="54"/>
      <c r="B445" s="54"/>
      <c r="C445" s="60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5"/>
      <c r="Z445" s="55"/>
      <c r="AA445" s="55"/>
    </row>
    <row r="446" spans="1:27" ht="15" customHeight="1">
      <c r="A446" s="54"/>
      <c r="B446" s="54"/>
      <c r="C446" s="60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5"/>
      <c r="Z446" s="55"/>
      <c r="AA446" s="55"/>
    </row>
    <row r="447" spans="1:27" ht="15" customHeight="1">
      <c r="A447" s="54"/>
      <c r="B447" s="54"/>
      <c r="C447" s="60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5"/>
      <c r="Z447" s="55"/>
      <c r="AA447" s="55"/>
    </row>
    <row r="448" spans="1:27" ht="15" customHeight="1">
      <c r="A448" s="54"/>
      <c r="B448" s="54"/>
      <c r="C448" s="60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5"/>
      <c r="Z448" s="55"/>
      <c r="AA448" s="55"/>
    </row>
    <row r="449" spans="1:27" ht="15" customHeight="1">
      <c r="A449" s="54"/>
      <c r="B449" s="54"/>
      <c r="C449" s="60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5"/>
      <c r="Z449" s="55"/>
      <c r="AA449" s="55"/>
    </row>
    <row r="450" spans="1:27" ht="15" customHeight="1">
      <c r="A450" s="54"/>
      <c r="B450" s="54"/>
      <c r="C450" s="60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5"/>
      <c r="Z450" s="55"/>
      <c r="AA450" s="55"/>
    </row>
    <row r="451" spans="1:27" ht="15" customHeight="1">
      <c r="A451" s="54"/>
      <c r="B451" s="54"/>
      <c r="C451" s="60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5"/>
      <c r="Z451" s="55"/>
      <c r="AA451" s="55"/>
    </row>
    <row r="452" spans="1:27" ht="15" customHeight="1">
      <c r="A452" s="54"/>
      <c r="B452" s="54"/>
      <c r="C452" s="60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5"/>
      <c r="Z452" s="55"/>
      <c r="AA452" s="55"/>
    </row>
    <row r="453" spans="1:27" ht="15" customHeight="1">
      <c r="A453" s="54"/>
      <c r="B453" s="54"/>
      <c r="C453" s="60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5"/>
      <c r="Z453" s="55"/>
      <c r="AA453" s="55"/>
    </row>
    <row r="454" spans="1:27" ht="15" customHeight="1">
      <c r="A454" s="54"/>
      <c r="B454" s="54"/>
      <c r="C454" s="60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5"/>
      <c r="Z454" s="55"/>
      <c r="AA454" s="55"/>
    </row>
    <row r="455" spans="1:27" ht="15" customHeight="1">
      <c r="A455" s="54"/>
      <c r="B455" s="54"/>
      <c r="C455" s="60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5"/>
      <c r="Z455" s="55"/>
      <c r="AA455" s="55"/>
    </row>
    <row r="456" spans="1:27" ht="15" customHeight="1">
      <c r="A456" s="54"/>
      <c r="B456" s="54"/>
      <c r="C456" s="60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5"/>
      <c r="Z456" s="55"/>
      <c r="AA456" s="55"/>
    </row>
    <row r="457" spans="1:27" ht="15" customHeight="1">
      <c r="A457" s="54"/>
      <c r="B457" s="54"/>
      <c r="C457" s="60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5"/>
      <c r="Z457" s="55"/>
      <c r="AA457" s="55"/>
    </row>
    <row r="458" spans="1:27" ht="15" customHeight="1">
      <c r="A458" s="54"/>
      <c r="B458" s="54"/>
      <c r="C458" s="60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5"/>
      <c r="Z458" s="55"/>
      <c r="AA458" s="55"/>
    </row>
    <row r="459" spans="1:27" ht="15" customHeight="1">
      <c r="A459" s="54"/>
      <c r="B459" s="54"/>
      <c r="C459" s="60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5"/>
      <c r="Z459" s="55"/>
      <c r="AA459" s="55"/>
    </row>
    <row r="460" spans="1:27" ht="15" customHeight="1">
      <c r="A460" s="54"/>
      <c r="B460" s="54"/>
      <c r="C460" s="60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5"/>
      <c r="Z460" s="55"/>
      <c r="AA460" s="55"/>
    </row>
    <row r="461" spans="1:27" ht="15" customHeight="1">
      <c r="A461" s="54"/>
      <c r="B461" s="54"/>
      <c r="C461" s="60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5"/>
      <c r="Z461" s="55"/>
      <c r="AA461" s="55"/>
    </row>
    <row r="462" spans="1:27" ht="15" customHeight="1">
      <c r="A462" s="54"/>
      <c r="B462" s="54"/>
      <c r="C462" s="60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5"/>
      <c r="Z462" s="55"/>
      <c r="AA462" s="55"/>
    </row>
    <row r="463" spans="1:27" ht="15" customHeight="1">
      <c r="A463" s="54"/>
      <c r="B463" s="54"/>
      <c r="C463" s="60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5"/>
      <c r="Z463" s="55"/>
      <c r="AA463" s="55"/>
    </row>
    <row r="464" spans="1:27" ht="15" customHeight="1">
      <c r="A464" s="54"/>
      <c r="B464" s="54"/>
      <c r="C464" s="60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5"/>
      <c r="Z464" s="55"/>
      <c r="AA464" s="55"/>
    </row>
    <row r="465" spans="1:27" ht="15" customHeight="1">
      <c r="A465" s="54"/>
      <c r="B465" s="54"/>
      <c r="C465" s="60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5"/>
      <c r="Z465" s="55"/>
      <c r="AA465" s="55"/>
    </row>
    <row r="466" spans="1:27" ht="15" customHeight="1">
      <c r="A466" s="54"/>
      <c r="B466" s="54"/>
      <c r="C466" s="60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5"/>
      <c r="Z466" s="55"/>
      <c r="AA466" s="55"/>
    </row>
    <row r="467" spans="1:27" ht="15" customHeight="1">
      <c r="A467" s="54"/>
      <c r="B467" s="54"/>
      <c r="C467" s="60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5"/>
      <c r="Z467" s="55"/>
      <c r="AA467" s="55"/>
    </row>
    <row r="468" spans="1:27" ht="15" customHeight="1">
      <c r="A468" s="54"/>
      <c r="B468" s="54"/>
      <c r="C468" s="60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5"/>
      <c r="Z468" s="55"/>
      <c r="AA468" s="55"/>
    </row>
    <row r="469" spans="1:27" ht="15" customHeight="1">
      <c r="A469" s="54"/>
      <c r="B469" s="54"/>
      <c r="C469" s="60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5"/>
      <c r="Z469" s="55"/>
      <c r="AA469" s="55"/>
    </row>
    <row r="470" spans="1:27" ht="15" customHeight="1">
      <c r="A470" s="54"/>
      <c r="B470" s="54"/>
      <c r="C470" s="60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5"/>
      <c r="Z470" s="55"/>
      <c r="AA470" s="55"/>
    </row>
    <row r="471" spans="1:27" ht="15" customHeight="1">
      <c r="A471" s="54"/>
      <c r="B471" s="54"/>
      <c r="C471" s="60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5"/>
      <c r="Z471" s="55"/>
      <c r="AA471" s="55"/>
    </row>
    <row r="472" spans="1:27" ht="15" customHeight="1">
      <c r="A472" s="54"/>
      <c r="B472" s="54"/>
      <c r="C472" s="60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5"/>
      <c r="Z472" s="55"/>
      <c r="AA472" s="55"/>
    </row>
    <row r="473" spans="1:27" ht="15" customHeight="1">
      <c r="A473" s="54"/>
      <c r="B473" s="54"/>
      <c r="C473" s="60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5"/>
      <c r="Z473" s="55"/>
      <c r="AA473" s="55"/>
    </row>
    <row r="474" spans="1:27" ht="15" customHeight="1">
      <c r="A474" s="54"/>
      <c r="B474" s="54"/>
      <c r="C474" s="60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5"/>
      <c r="Z474" s="55"/>
      <c r="AA474" s="55"/>
    </row>
    <row r="475" spans="1:27" ht="15" customHeight="1">
      <c r="A475" s="54"/>
      <c r="B475" s="54"/>
      <c r="C475" s="60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5"/>
      <c r="Z475" s="55"/>
      <c r="AA475" s="55"/>
    </row>
    <row r="476" spans="1:27" ht="15" customHeight="1">
      <c r="A476" s="54"/>
      <c r="B476" s="54"/>
      <c r="C476" s="60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5"/>
      <c r="Z476" s="55"/>
      <c r="AA476" s="55"/>
    </row>
    <row r="477" spans="1:27" ht="15" customHeight="1">
      <c r="A477" s="54"/>
      <c r="B477" s="54"/>
      <c r="C477" s="60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5"/>
      <c r="Z477" s="55"/>
      <c r="AA477" s="55"/>
    </row>
    <row r="478" spans="1:27" ht="15" customHeight="1">
      <c r="A478" s="54"/>
      <c r="B478" s="54"/>
      <c r="C478" s="60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5"/>
      <c r="Z478" s="55"/>
      <c r="AA478" s="55"/>
    </row>
    <row r="479" spans="1:27" ht="15" customHeight="1">
      <c r="A479" s="54"/>
      <c r="B479" s="54"/>
      <c r="C479" s="60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5"/>
      <c r="Z479" s="55"/>
      <c r="AA479" s="55"/>
    </row>
    <row r="480" spans="1:27" ht="15" customHeight="1">
      <c r="A480" s="54"/>
      <c r="B480" s="54"/>
      <c r="C480" s="60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5"/>
      <c r="Z480" s="55"/>
      <c r="AA480" s="55"/>
    </row>
    <row r="481" spans="1:27" ht="15" customHeight="1">
      <c r="A481" s="54"/>
      <c r="B481" s="54"/>
      <c r="C481" s="60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5"/>
      <c r="Z481" s="55"/>
      <c r="AA481" s="55"/>
    </row>
    <row r="482" spans="1:27" ht="15" customHeight="1">
      <c r="A482" s="54"/>
      <c r="B482" s="54"/>
      <c r="C482" s="60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5"/>
      <c r="Z482" s="55"/>
      <c r="AA482" s="55"/>
    </row>
    <row r="483" spans="1:27" ht="15" customHeight="1">
      <c r="A483" s="54"/>
      <c r="B483" s="54"/>
      <c r="C483" s="60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5"/>
      <c r="Z483" s="55"/>
      <c r="AA483" s="55"/>
    </row>
    <row r="484" spans="1:27" ht="15" customHeight="1">
      <c r="A484" s="54"/>
      <c r="B484" s="54"/>
      <c r="C484" s="60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5"/>
      <c r="Z484" s="55"/>
      <c r="AA484" s="55"/>
    </row>
    <row r="485" spans="1:27" ht="15" customHeight="1">
      <c r="A485" s="54"/>
      <c r="B485" s="54"/>
      <c r="C485" s="60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5"/>
      <c r="Z485" s="55"/>
      <c r="AA485" s="55"/>
    </row>
    <row r="486" spans="1:27" ht="15" customHeight="1">
      <c r="A486" s="54"/>
      <c r="B486" s="54"/>
      <c r="C486" s="60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5"/>
      <c r="Z486" s="55"/>
      <c r="AA486" s="55"/>
    </row>
    <row r="487" spans="1:27" ht="15" customHeight="1">
      <c r="A487" s="54"/>
      <c r="B487" s="54"/>
      <c r="C487" s="60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5"/>
      <c r="Z487" s="55"/>
      <c r="AA487" s="55"/>
    </row>
    <row r="488" spans="1:27" ht="15" customHeight="1">
      <c r="A488" s="54"/>
      <c r="B488" s="54"/>
      <c r="C488" s="60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5"/>
      <c r="Z488" s="55"/>
      <c r="AA488" s="55"/>
    </row>
    <row r="489" spans="1:27" ht="15" customHeight="1">
      <c r="A489" s="54"/>
      <c r="B489" s="54"/>
      <c r="C489" s="60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5"/>
      <c r="Z489" s="55"/>
      <c r="AA489" s="55"/>
    </row>
    <row r="490" spans="1:27" ht="15" customHeight="1">
      <c r="A490" s="54"/>
      <c r="B490" s="54"/>
      <c r="C490" s="60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5"/>
      <c r="Z490" s="55"/>
      <c r="AA490" s="55"/>
    </row>
    <row r="491" spans="1:27" ht="15" customHeight="1">
      <c r="A491" s="54"/>
      <c r="B491" s="54"/>
      <c r="C491" s="60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5"/>
      <c r="Z491" s="55"/>
      <c r="AA491" s="55"/>
    </row>
    <row r="492" spans="1:27" ht="15" customHeight="1">
      <c r="A492" s="54"/>
      <c r="B492" s="54"/>
      <c r="C492" s="60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5"/>
      <c r="Z492" s="55"/>
      <c r="AA492" s="55"/>
    </row>
    <row r="493" spans="1:27" ht="15" customHeight="1">
      <c r="A493" s="54"/>
      <c r="B493" s="54"/>
      <c r="C493" s="60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5"/>
      <c r="Z493" s="55"/>
      <c r="AA493" s="55"/>
    </row>
    <row r="494" spans="1:27" ht="15" customHeight="1">
      <c r="A494" s="54"/>
      <c r="B494" s="54"/>
      <c r="C494" s="60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5"/>
      <c r="Z494" s="55"/>
      <c r="AA494" s="55"/>
    </row>
    <row r="495" spans="1:27" ht="15" customHeight="1">
      <c r="A495" s="54"/>
      <c r="B495" s="54"/>
      <c r="C495" s="60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5"/>
      <c r="Z495" s="55"/>
      <c r="AA495" s="55"/>
    </row>
    <row r="496" spans="1:27" ht="15" customHeight="1">
      <c r="A496" s="54"/>
      <c r="B496" s="54"/>
      <c r="C496" s="60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5"/>
      <c r="Z496" s="55"/>
      <c r="AA496" s="55"/>
    </row>
    <row r="497" spans="1:27" ht="15" customHeight="1">
      <c r="A497" s="54"/>
      <c r="B497" s="54"/>
      <c r="C497" s="60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5"/>
      <c r="Z497" s="55"/>
      <c r="AA497" s="55"/>
    </row>
    <row r="498" spans="1:27" ht="15" customHeight="1">
      <c r="A498" s="54"/>
      <c r="B498" s="54"/>
      <c r="C498" s="60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5"/>
      <c r="Z498" s="55"/>
      <c r="AA498" s="55"/>
    </row>
    <row r="499" spans="1:27" ht="15" customHeight="1">
      <c r="A499" s="54"/>
      <c r="B499" s="54"/>
      <c r="C499" s="60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5"/>
      <c r="Z499" s="55"/>
      <c r="AA499" s="55"/>
    </row>
    <row r="500" spans="1:27" ht="15" customHeight="1">
      <c r="A500" s="54"/>
      <c r="B500" s="54"/>
      <c r="C500" s="60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5"/>
      <c r="Z500" s="55"/>
      <c r="AA500" s="55"/>
    </row>
    <row r="501" spans="1:27" ht="15" customHeight="1">
      <c r="A501" s="54"/>
      <c r="B501" s="54"/>
      <c r="C501" s="60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5"/>
      <c r="Z501" s="55"/>
      <c r="AA501" s="55"/>
    </row>
    <row r="502" spans="1:27" ht="15" customHeight="1">
      <c r="A502" s="54"/>
      <c r="B502" s="54"/>
      <c r="C502" s="60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5"/>
      <c r="Z502" s="55"/>
      <c r="AA502" s="55"/>
    </row>
    <row r="503" spans="1:27" ht="15" customHeight="1">
      <c r="A503" s="54"/>
      <c r="B503" s="54"/>
      <c r="C503" s="60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5"/>
      <c r="Z503" s="55"/>
      <c r="AA503" s="55"/>
    </row>
    <row r="504" spans="1:27" ht="15" customHeight="1">
      <c r="A504" s="54"/>
      <c r="B504" s="54"/>
      <c r="C504" s="60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5"/>
      <c r="Z504" s="55"/>
      <c r="AA504" s="55"/>
    </row>
    <row r="505" spans="1:27" ht="15" customHeight="1">
      <c r="A505" s="54"/>
      <c r="B505" s="54"/>
      <c r="C505" s="60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5"/>
      <c r="Z505" s="55"/>
      <c r="AA505" s="55"/>
    </row>
    <row r="506" spans="1:27" ht="15" customHeight="1">
      <c r="A506" s="54"/>
      <c r="B506" s="54"/>
      <c r="C506" s="60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5"/>
      <c r="Z506" s="55"/>
      <c r="AA506" s="55"/>
    </row>
    <row r="507" spans="1:27" ht="15" customHeight="1">
      <c r="A507" s="54"/>
      <c r="B507" s="54"/>
      <c r="C507" s="60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5"/>
      <c r="Z507" s="55"/>
      <c r="AA507" s="55"/>
    </row>
    <row r="508" spans="1:27" ht="15" customHeight="1">
      <c r="A508" s="54"/>
      <c r="B508" s="54"/>
      <c r="C508" s="60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5"/>
      <c r="Z508" s="55"/>
      <c r="AA508" s="55"/>
    </row>
    <row r="509" spans="1:27" ht="15" customHeight="1">
      <c r="A509" s="54"/>
      <c r="B509" s="54"/>
      <c r="C509" s="60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5"/>
      <c r="Z509" s="55"/>
      <c r="AA509" s="55"/>
    </row>
    <row r="510" spans="1:27" ht="15" customHeight="1">
      <c r="A510" s="54"/>
      <c r="B510" s="54"/>
      <c r="C510" s="60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5"/>
      <c r="Z510" s="55"/>
      <c r="AA510" s="55"/>
    </row>
    <row r="511" spans="1:27" ht="15" customHeight="1">
      <c r="A511" s="54"/>
      <c r="B511" s="54"/>
      <c r="C511" s="60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5"/>
      <c r="Z511" s="55"/>
      <c r="AA511" s="55"/>
    </row>
    <row r="512" spans="1:27" ht="15" customHeight="1">
      <c r="A512" s="54"/>
      <c r="B512" s="54"/>
      <c r="C512" s="60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5"/>
      <c r="Z512" s="55"/>
      <c r="AA512" s="55"/>
    </row>
    <row r="513" spans="1:27" ht="15" customHeight="1">
      <c r="A513" s="54"/>
      <c r="B513" s="54"/>
      <c r="C513" s="60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5"/>
      <c r="Z513" s="55"/>
      <c r="AA513" s="55"/>
    </row>
    <row r="514" spans="1:27" ht="15" customHeight="1">
      <c r="A514" s="54"/>
      <c r="B514" s="54"/>
      <c r="C514" s="60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5"/>
      <c r="Z514" s="55"/>
      <c r="AA514" s="55"/>
    </row>
    <row r="515" spans="1:27" ht="15" customHeight="1">
      <c r="A515" s="54"/>
      <c r="B515" s="54"/>
      <c r="C515" s="60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5"/>
      <c r="Z515" s="55"/>
      <c r="AA515" s="55"/>
    </row>
    <row r="516" spans="1:27" ht="15" customHeight="1">
      <c r="A516" s="54"/>
      <c r="B516" s="54"/>
      <c r="C516" s="60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5"/>
      <c r="Z516" s="55"/>
      <c r="AA516" s="55"/>
    </row>
    <row r="517" spans="1:27" ht="15" customHeight="1">
      <c r="A517" s="54"/>
      <c r="B517" s="54"/>
      <c r="C517" s="60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5"/>
      <c r="Z517" s="55"/>
      <c r="AA517" s="55"/>
    </row>
    <row r="518" spans="1:27" ht="15" customHeight="1">
      <c r="A518" s="54"/>
      <c r="B518" s="54"/>
      <c r="C518" s="60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5"/>
      <c r="Z518" s="55"/>
      <c r="AA518" s="55"/>
    </row>
    <row r="519" spans="1:27" ht="15" customHeight="1">
      <c r="A519" s="54"/>
      <c r="B519" s="54"/>
      <c r="C519" s="60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5"/>
      <c r="Z519" s="55"/>
      <c r="AA519" s="55"/>
    </row>
    <row r="520" spans="1:27" ht="15" customHeight="1">
      <c r="A520" s="54"/>
      <c r="B520" s="54"/>
      <c r="C520" s="60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5"/>
      <c r="Z520" s="55"/>
      <c r="AA520" s="55"/>
    </row>
    <row r="521" spans="1:27" ht="15" customHeight="1">
      <c r="A521" s="54"/>
      <c r="B521" s="54"/>
      <c r="C521" s="60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5"/>
      <c r="Z521" s="55"/>
      <c r="AA521" s="55"/>
    </row>
    <row r="522" spans="1:27" ht="15" customHeight="1">
      <c r="A522" s="54"/>
      <c r="B522" s="54"/>
      <c r="C522" s="60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5"/>
      <c r="Z522" s="55"/>
      <c r="AA522" s="55"/>
    </row>
    <row r="523" spans="1:27" ht="15" customHeight="1">
      <c r="A523" s="54"/>
      <c r="B523" s="54"/>
      <c r="C523" s="60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5"/>
      <c r="Z523" s="55"/>
      <c r="AA523" s="55"/>
    </row>
    <row r="524" spans="1:27" ht="15" customHeight="1">
      <c r="A524" s="54"/>
      <c r="B524" s="54"/>
      <c r="C524" s="60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5"/>
      <c r="Z524" s="55"/>
      <c r="AA524" s="55"/>
    </row>
    <row r="525" spans="1:27" ht="15" customHeight="1">
      <c r="A525" s="54"/>
      <c r="B525" s="54"/>
      <c r="C525" s="60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5"/>
      <c r="Z525" s="55"/>
      <c r="AA525" s="55"/>
    </row>
    <row r="526" spans="1:27" ht="15" customHeight="1">
      <c r="A526" s="54"/>
      <c r="B526" s="54"/>
      <c r="C526" s="60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5"/>
      <c r="Z526" s="55"/>
      <c r="AA526" s="55"/>
    </row>
    <row r="527" spans="1:27" ht="15" customHeight="1">
      <c r="A527" s="54"/>
      <c r="B527" s="54"/>
      <c r="C527" s="60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5"/>
      <c r="Z527" s="55"/>
      <c r="AA527" s="55"/>
    </row>
    <row r="528" spans="1:27" ht="15" customHeight="1">
      <c r="A528" s="54"/>
      <c r="B528" s="54"/>
      <c r="C528" s="60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5"/>
      <c r="Z528" s="55"/>
      <c r="AA528" s="55"/>
    </row>
    <row r="529" spans="1:27" ht="15" customHeight="1">
      <c r="A529" s="54"/>
      <c r="B529" s="54"/>
      <c r="C529" s="60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5"/>
      <c r="Z529" s="55"/>
      <c r="AA529" s="55"/>
    </row>
    <row r="530" spans="1:27" ht="15" customHeight="1">
      <c r="A530" s="54"/>
      <c r="B530" s="54"/>
      <c r="C530" s="60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5"/>
      <c r="Z530" s="55"/>
      <c r="AA530" s="55"/>
    </row>
    <row r="531" spans="1:27" ht="15" customHeight="1">
      <c r="A531" s="54"/>
      <c r="B531" s="54"/>
      <c r="C531" s="60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5"/>
      <c r="Z531" s="55"/>
      <c r="AA531" s="55"/>
    </row>
    <row r="532" spans="1:27" ht="15" customHeight="1">
      <c r="A532" s="54"/>
      <c r="B532" s="54"/>
      <c r="C532" s="60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5"/>
      <c r="Z532" s="55"/>
      <c r="AA532" s="55"/>
    </row>
    <row r="533" spans="1:27" ht="15" customHeight="1">
      <c r="A533" s="54"/>
      <c r="B533" s="54"/>
      <c r="C533" s="60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5"/>
      <c r="Z533" s="55"/>
      <c r="AA533" s="55"/>
    </row>
    <row r="534" spans="1:27" ht="15" customHeight="1">
      <c r="A534" s="54"/>
      <c r="B534" s="54"/>
      <c r="C534" s="60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5"/>
      <c r="Z534" s="55"/>
      <c r="AA534" s="55"/>
    </row>
    <row r="535" spans="1:27" ht="15" customHeight="1">
      <c r="A535" s="54"/>
      <c r="B535" s="54"/>
      <c r="C535" s="60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5"/>
      <c r="Z535" s="55"/>
      <c r="AA535" s="55"/>
    </row>
    <row r="536" spans="1:27" ht="15" customHeight="1">
      <c r="A536" s="54"/>
      <c r="B536" s="54"/>
      <c r="C536" s="60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5"/>
      <c r="Z536" s="55"/>
      <c r="AA536" s="55"/>
    </row>
    <row r="537" spans="1:27" ht="15" customHeight="1">
      <c r="A537" s="54"/>
      <c r="B537" s="54"/>
      <c r="C537" s="60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5"/>
      <c r="Z537" s="55"/>
      <c r="AA537" s="55"/>
    </row>
    <row r="538" spans="1:27" ht="15" customHeight="1">
      <c r="A538" s="54"/>
      <c r="B538" s="54"/>
      <c r="C538" s="60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5"/>
      <c r="Z538" s="55"/>
      <c r="AA538" s="55"/>
    </row>
    <row r="539" spans="1:27" ht="15" customHeight="1">
      <c r="A539" s="54"/>
      <c r="B539" s="54"/>
      <c r="C539" s="60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5"/>
      <c r="Z539" s="55"/>
      <c r="AA539" s="55"/>
    </row>
    <row r="540" spans="1:27" ht="15" customHeight="1">
      <c r="A540" s="54"/>
      <c r="B540" s="54"/>
      <c r="C540" s="60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5"/>
      <c r="Z540" s="55"/>
      <c r="AA540" s="55"/>
    </row>
    <row r="541" spans="1:27" ht="15" customHeight="1">
      <c r="A541" s="54"/>
      <c r="B541" s="54"/>
      <c r="C541" s="60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5"/>
      <c r="Z541" s="55"/>
      <c r="AA541" s="55"/>
    </row>
    <row r="542" spans="1:27" ht="15" customHeight="1">
      <c r="A542" s="54"/>
      <c r="B542" s="54"/>
      <c r="C542" s="60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5"/>
      <c r="Z542" s="55"/>
      <c r="AA542" s="55"/>
    </row>
    <row r="543" spans="1:27" ht="15" customHeight="1">
      <c r="A543" s="54"/>
      <c r="B543" s="54"/>
      <c r="C543" s="60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5"/>
      <c r="Z543" s="55"/>
      <c r="AA543" s="55"/>
    </row>
    <row r="544" spans="1:27" ht="15" customHeight="1">
      <c r="A544" s="54"/>
      <c r="B544" s="54"/>
      <c r="C544" s="60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5"/>
      <c r="Z544" s="55"/>
      <c r="AA544" s="55"/>
    </row>
    <row r="545" spans="1:27" ht="15" customHeight="1">
      <c r="A545" s="54"/>
      <c r="B545" s="54"/>
      <c r="C545" s="60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5"/>
      <c r="Z545" s="55"/>
      <c r="AA545" s="55"/>
    </row>
    <row r="546" spans="1:27" ht="15" customHeight="1">
      <c r="A546" s="54"/>
      <c r="B546" s="54"/>
      <c r="C546" s="60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5"/>
      <c r="Z546" s="55"/>
      <c r="AA546" s="55"/>
    </row>
    <row r="547" spans="1:27" ht="15" customHeight="1">
      <c r="A547" s="54"/>
      <c r="B547" s="54"/>
      <c r="C547" s="60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5"/>
      <c r="Z547" s="55"/>
      <c r="AA547" s="55"/>
    </row>
    <row r="548" spans="1:27" ht="15" customHeight="1">
      <c r="A548" s="54"/>
      <c r="B548" s="54"/>
      <c r="C548" s="60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5"/>
      <c r="Z548" s="55"/>
      <c r="AA548" s="55"/>
    </row>
    <row r="549" spans="1:27" ht="15" customHeight="1">
      <c r="A549" s="54"/>
      <c r="B549" s="54"/>
      <c r="C549" s="60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5"/>
      <c r="Z549" s="55"/>
      <c r="AA549" s="55"/>
    </row>
    <row r="550" spans="1:27" ht="15" customHeight="1">
      <c r="A550" s="54"/>
      <c r="B550" s="54"/>
      <c r="C550" s="60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5"/>
      <c r="Z550" s="55"/>
      <c r="AA550" s="55"/>
    </row>
    <row r="551" spans="1:27" ht="15" customHeight="1">
      <c r="A551" s="54"/>
      <c r="B551" s="54"/>
      <c r="C551" s="60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5"/>
      <c r="Z551" s="55"/>
      <c r="AA551" s="55"/>
    </row>
    <row r="552" spans="1:27" ht="15" customHeight="1">
      <c r="A552" s="54"/>
      <c r="B552" s="54"/>
      <c r="C552" s="60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5"/>
      <c r="Z552" s="55"/>
      <c r="AA552" s="55"/>
    </row>
    <row r="553" spans="1:27" ht="15" customHeight="1">
      <c r="A553" s="54"/>
      <c r="B553" s="54"/>
      <c r="C553" s="60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5"/>
      <c r="Z553" s="55"/>
      <c r="AA553" s="55"/>
    </row>
    <row r="554" spans="1:27" ht="15" customHeight="1">
      <c r="A554" s="54"/>
      <c r="B554" s="54"/>
      <c r="C554" s="60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5"/>
      <c r="Z554" s="55"/>
      <c r="AA554" s="55"/>
    </row>
    <row r="555" spans="1:27" ht="15" customHeight="1">
      <c r="A555" s="54"/>
      <c r="B555" s="54"/>
      <c r="C555" s="60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5"/>
      <c r="Z555" s="55"/>
      <c r="AA555" s="55"/>
    </row>
    <row r="556" spans="1:27" ht="15" customHeight="1">
      <c r="A556" s="54"/>
      <c r="B556" s="54"/>
      <c r="C556" s="60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5"/>
      <c r="Z556" s="55"/>
      <c r="AA556" s="55"/>
    </row>
    <row r="557" spans="1:27" ht="15" customHeight="1">
      <c r="A557" s="54"/>
      <c r="B557" s="54"/>
      <c r="C557" s="60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5"/>
      <c r="Z557" s="55"/>
      <c r="AA557" s="55"/>
    </row>
    <row r="558" spans="1:27" ht="15" customHeight="1">
      <c r="A558" s="54"/>
      <c r="B558" s="54"/>
      <c r="C558" s="60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5"/>
      <c r="Z558" s="55"/>
      <c r="AA558" s="55"/>
    </row>
    <row r="559" spans="1:27" ht="15" customHeight="1">
      <c r="A559" s="54"/>
      <c r="B559" s="54"/>
      <c r="C559" s="60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5"/>
      <c r="Z559" s="55"/>
      <c r="AA559" s="55"/>
    </row>
    <row r="560" spans="1:27" ht="15" customHeight="1">
      <c r="A560" s="54"/>
      <c r="B560" s="54"/>
      <c r="C560" s="60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5"/>
      <c r="Z560" s="55"/>
      <c r="AA560" s="55"/>
    </row>
    <row r="561" spans="1:27" ht="15" customHeight="1">
      <c r="A561" s="54"/>
      <c r="B561" s="54"/>
      <c r="C561" s="60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5"/>
      <c r="Z561" s="55"/>
      <c r="AA561" s="55"/>
    </row>
    <row r="562" spans="1:27" ht="15" customHeight="1">
      <c r="A562" s="54"/>
      <c r="B562" s="54"/>
      <c r="C562" s="60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5"/>
      <c r="Z562" s="55"/>
      <c r="AA562" s="55"/>
    </row>
    <row r="563" spans="1:27" ht="15" customHeight="1">
      <c r="A563" s="54"/>
      <c r="B563" s="54"/>
      <c r="C563" s="60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5"/>
      <c r="Z563" s="55"/>
      <c r="AA563" s="55"/>
    </row>
    <row r="564" spans="1:27" ht="15" customHeight="1">
      <c r="A564" s="54"/>
      <c r="B564" s="54"/>
      <c r="C564" s="60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5"/>
      <c r="Z564" s="55"/>
      <c r="AA564" s="55"/>
    </row>
    <row r="565" spans="1:27" ht="15" customHeight="1">
      <c r="A565" s="54"/>
      <c r="B565" s="54"/>
      <c r="C565" s="60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5"/>
      <c r="Z565" s="55"/>
      <c r="AA565" s="55"/>
    </row>
    <row r="566" spans="1:27" ht="15" customHeight="1">
      <c r="A566" s="54"/>
      <c r="B566" s="54"/>
      <c r="C566" s="60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5"/>
      <c r="Z566" s="55"/>
      <c r="AA566" s="55"/>
    </row>
    <row r="567" spans="1:27" ht="15" customHeight="1">
      <c r="A567" s="54"/>
      <c r="B567" s="54"/>
      <c r="C567" s="60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5"/>
      <c r="Z567" s="55"/>
      <c r="AA567" s="55"/>
    </row>
    <row r="568" spans="1:27" ht="15" customHeight="1">
      <c r="A568" s="54"/>
      <c r="B568" s="54"/>
      <c r="C568" s="60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5"/>
      <c r="Z568" s="55"/>
      <c r="AA568" s="55"/>
    </row>
    <row r="569" spans="1:27" ht="15" customHeight="1">
      <c r="A569" s="54"/>
      <c r="B569" s="54"/>
      <c r="C569" s="60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5"/>
      <c r="Z569" s="55"/>
      <c r="AA569" s="55"/>
    </row>
    <row r="570" spans="1:27" ht="15" customHeight="1">
      <c r="A570" s="54"/>
      <c r="B570" s="54"/>
      <c r="C570" s="60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5"/>
      <c r="Z570" s="55"/>
      <c r="AA570" s="55"/>
    </row>
    <row r="571" spans="1:27" ht="15" customHeight="1">
      <c r="A571" s="54"/>
      <c r="B571" s="54"/>
      <c r="C571" s="60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5"/>
      <c r="Z571" s="55"/>
      <c r="AA571" s="55"/>
    </row>
    <row r="572" spans="1:27" ht="15" customHeight="1">
      <c r="A572" s="54"/>
      <c r="B572" s="54"/>
      <c r="C572" s="60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5"/>
      <c r="Z572" s="55"/>
      <c r="AA572" s="55"/>
    </row>
    <row r="573" spans="1:27" ht="15" customHeight="1">
      <c r="A573" s="54"/>
      <c r="B573" s="54"/>
      <c r="C573" s="60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5"/>
      <c r="Z573" s="55"/>
      <c r="AA573" s="55"/>
    </row>
    <row r="574" spans="1:27" ht="15" customHeight="1">
      <c r="A574" s="54"/>
      <c r="B574" s="54"/>
      <c r="C574" s="60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5"/>
      <c r="Z574" s="55"/>
      <c r="AA574" s="55"/>
    </row>
    <row r="575" spans="1:27" ht="15" customHeight="1">
      <c r="A575" s="54"/>
      <c r="B575" s="54"/>
      <c r="C575" s="60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5"/>
      <c r="Z575" s="55"/>
      <c r="AA575" s="55"/>
    </row>
    <row r="576" spans="1:27" ht="15" customHeight="1">
      <c r="A576" s="54"/>
      <c r="B576" s="54"/>
      <c r="C576" s="60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5"/>
      <c r="Z576" s="55"/>
      <c r="AA576" s="55"/>
    </row>
    <row r="577" spans="1:27" ht="15" customHeight="1">
      <c r="A577" s="54"/>
      <c r="B577" s="54"/>
      <c r="C577" s="60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5"/>
      <c r="Z577" s="55"/>
      <c r="AA577" s="55"/>
    </row>
    <row r="578" spans="1:27" ht="15" customHeight="1">
      <c r="A578" s="54"/>
      <c r="B578" s="54"/>
      <c r="C578" s="60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5"/>
      <c r="Z578" s="55"/>
      <c r="AA578" s="55"/>
    </row>
    <row r="579" spans="1:27" ht="15" customHeight="1">
      <c r="A579" s="54"/>
      <c r="B579" s="54"/>
      <c r="C579" s="60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5"/>
      <c r="Z579" s="55"/>
      <c r="AA579" s="55"/>
    </row>
    <row r="580" spans="1:27" ht="15" customHeight="1">
      <c r="A580" s="54"/>
      <c r="B580" s="54"/>
      <c r="C580" s="60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5"/>
      <c r="Z580" s="55"/>
      <c r="AA580" s="55"/>
    </row>
    <row r="581" spans="1:27" ht="15" customHeight="1">
      <c r="A581" s="54"/>
      <c r="B581" s="54"/>
      <c r="C581" s="60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5"/>
      <c r="Z581" s="55"/>
      <c r="AA581" s="55"/>
    </row>
    <row r="582" spans="1:27" ht="15" customHeight="1">
      <c r="A582" s="54"/>
      <c r="B582" s="54"/>
      <c r="C582" s="60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5"/>
      <c r="Z582" s="55"/>
      <c r="AA582" s="55"/>
    </row>
    <row r="583" spans="1:27" ht="15" customHeight="1">
      <c r="A583" s="54"/>
      <c r="B583" s="54"/>
      <c r="C583" s="60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5"/>
      <c r="Z583" s="55"/>
      <c r="AA583" s="55"/>
    </row>
    <row r="584" spans="1:27" ht="15" customHeight="1">
      <c r="A584" s="54"/>
      <c r="B584" s="54"/>
      <c r="C584" s="60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5"/>
      <c r="Z584" s="55"/>
      <c r="AA584" s="55"/>
    </row>
    <row r="585" spans="1:27" ht="15" customHeight="1">
      <c r="A585" s="54"/>
      <c r="B585" s="54"/>
      <c r="C585" s="60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5"/>
      <c r="Z585" s="55"/>
      <c r="AA585" s="55"/>
    </row>
    <row r="586" spans="1:27" ht="15" customHeight="1">
      <c r="A586" s="54"/>
      <c r="B586" s="54"/>
      <c r="C586" s="60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5"/>
      <c r="Z586" s="55"/>
      <c r="AA586" s="55"/>
    </row>
    <row r="587" spans="1:27" ht="15" customHeight="1">
      <c r="A587" s="54"/>
      <c r="B587" s="54"/>
      <c r="C587" s="60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5"/>
      <c r="Z587" s="55"/>
      <c r="AA587" s="55"/>
    </row>
    <row r="588" spans="1:27" ht="15" customHeight="1">
      <c r="A588" s="54"/>
      <c r="B588" s="54"/>
      <c r="C588" s="60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5"/>
      <c r="Z588" s="55"/>
      <c r="AA588" s="55"/>
    </row>
    <row r="589" spans="1:27" ht="15" customHeight="1">
      <c r="A589" s="54"/>
      <c r="B589" s="54"/>
      <c r="C589" s="60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5"/>
      <c r="Z589" s="55"/>
      <c r="AA589" s="55"/>
    </row>
    <row r="590" spans="1:27" ht="15" customHeight="1">
      <c r="A590" s="54"/>
      <c r="B590" s="54"/>
      <c r="C590" s="60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5"/>
      <c r="Z590" s="55"/>
      <c r="AA590" s="55"/>
    </row>
    <row r="591" spans="1:27" ht="15" customHeight="1">
      <c r="A591" s="54"/>
      <c r="B591" s="54"/>
      <c r="C591" s="60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5"/>
      <c r="Z591" s="55"/>
      <c r="AA591" s="55"/>
    </row>
    <row r="592" spans="1:27" ht="15" customHeight="1">
      <c r="A592" s="54"/>
      <c r="B592" s="54"/>
      <c r="C592" s="60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5"/>
      <c r="Z592" s="55"/>
      <c r="AA592" s="55"/>
    </row>
    <row r="593" spans="1:27" ht="15" customHeight="1">
      <c r="A593" s="54"/>
      <c r="B593" s="54"/>
      <c r="C593" s="60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5"/>
      <c r="Z593" s="55"/>
      <c r="AA593" s="55"/>
    </row>
    <row r="594" spans="1:27" ht="15" customHeight="1">
      <c r="A594" s="54"/>
      <c r="B594" s="54"/>
      <c r="C594" s="60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5"/>
      <c r="Z594" s="55"/>
      <c r="AA594" s="55"/>
    </row>
    <row r="595" spans="1:27" ht="15" customHeight="1">
      <c r="A595" s="54"/>
      <c r="B595" s="54"/>
      <c r="C595" s="60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5"/>
      <c r="Z595" s="55"/>
      <c r="AA595" s="55"/>
    </row>
    <row r="596" spans="1:27" ht="15" customHeight="1">
      <c r="A596" s="54"/>
      <c r="B596" s="54"/>
      <c r="C596" s="60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5"/>
      <c r="Z596" s="55"/>
      <c r="AA596" s="55"/>
    </row>
    <row r="597" spans="1:27" ht="15" customHeight="1">
      <c r="A597" s="54"/>
      <c r="B597" s="54"/>
      <c r="C597" s="60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5"/>
      <c r="Z597" s="55"/>
      <c r="AA597" s="55"/>
    </row>
    <row r="598" spans="1:27" ht="15" customHeight="1">
      <c r="A598" s="54"/>
      <c r="B598" s="54"/>
      <c r="C598" s="60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5"/>
      <c r="Z598" s="55"/>
      <c r="AA598" s="55"/>
    </row>
    <row r="599" spans="1:27" ht="15" customHeight="1">
      <c r="A599" s="54"/>
      <c r="B599" s="54"/>
      <c r="C599" s="60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5"/>
      <c r="Z599" s="55"/>
      <c r="AA599" s="55"/>
    </row>
    <row r="600" spans="1:27" ht="15" customHeight="1">
      <c r="A600" s="54"/>
      <c r="B600" s="54"/>
      <c r="C600" s="60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5"/>
      <c r="Z600" s="55"/>
      <c r="AA600" s="55"/>
    </row>
    <row r="601" spans="1:27" ht="15" customHeight="1">
      <c r="A601" s="54"/>
      <c r="B601" s="54"/>
      <c r="C601" s="60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5"/>
      <c r="Z601" s="55"/>
      <c r="AA601" s="55"/>
    </row>
    <row r="602" spans="1:27" ht="15" customHeight="1">
      <c r="A602" s="54"/>
      <c r="B602" s="54"/>
      <c r="C602" s="60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5"/>
      <c r="Z602" s="55"/>
      <c r="AA602" s="55"/>
    </row>
    <row r="603" spans="1:27" ht="15" customHeight="1">
      <c r="A603" s="54"/>
      <c r="B603" s="54"/>
      <c r="C603" s="60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5"/>
      <c r="Z603" s="55"/>
      <c r="AA603" s="55"/>
    </row>
    <row r="604" spans="1:27" ht="15" customHeight="1">
      <c r="A604" s="54"/>
      <c r="B604" s="54"/>
      <c r="C604" s="60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5"/>
      <c r="Z604" s="55"/>
      <c r="AA604" s="55"/>
    </row>
    <row r="605" spans="1:27" ht="15" customHeight="1">
      <c r="A605" s="54"/>
      <c r="B605" s="54"/>
      <c r="C605" s="60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5"/>
      <c r="Z605" s="55"/>
      <c r="AA605" s="55"/>
    </row>
    <row r="606" spans="1:27" ht="15" customHeight="1">
      <c r="A606" s="54"/>
      <c r="B606" s="54"/>
      <c r="C606" s="60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5"/>
      <c r="Z606" s="55"/>
      <c r="AA606" s="55"/>
    </row>
    <row r="607" spans="1:27" ht="15" customHeight="1">
      <c r="A607" s="54"/>
      <c r="B607" s="54"/>
      <c r="C607" s="60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5"/>
      <c r="Z607" s="55"/>
      <c r="AA607" s="55"/>
    </row>
    <row r="608" spans="1:27" ht="15" customHeight="1">
      <c r="A608" s="54"/>
      <c r="B608" s="54"/>
      <c r="C608" s="60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5"/>
      <c r="Z608" s="55"/>
      <c r="AA608" s="55"/>
    </row>
    <row r="609" spans="1:27" ht="15" customHeight="1">
      <c r="A609" s="54"/>
      <c r="B609" s="54"/>
      <c r="C609" s="60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5"/>
      <c r="Z609" s="55"/>
      <c r="AA609" s="55"/>
    </row>
    <row r="610" spans="1:27" ht="15" customHeight="1">
      <c r="A610" s="54"/>
      <c r="B610" s="54"/>
      <c r="C610" s="60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5"/>
      <c r="Z610" s="55"/>
      <c r="AA610" s="55"/>
    </row>
    <row r="611" spans="1:27" ht="15" customHeight="1">
      <c r="A611" s="54"/>
      <c r="B611" s="54"/>
      <c r="C611" s="60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5"/>
      <c r="Z611" s="55"/>
      <c r="AA611" s="55"/>
    </row>
    <row r="612" spans="1:27" ht="15" customHeight="1">
      <c r="A612" s="54"/>
      <c r="B612" s="54"/>
      <c r="C612" s="60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5"/>
      <c r="Z612" s="55"/>
      <c r="AA612" s="55"/>
    </row>
    <row r="613" spans="1:27" ht="15" customHeight="1">
      <c r="A613" s="54"/>
      <c r="B613" s="54"/>
      <c r="C613" s="60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5"/>
      <c r="Z613" s="55"/>
      <c r="AA613" s="55"/>
    </row>
    <row r="614" spans="1:27" ht="15" customHeight="1">
      <c r="A614" s="54"/>
      <c r="B614" s="54"/>
      <c r="C614" s="60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5"/>
      <c r="Z614" s="55"/>
      <c r="AA614" s="55"/>
    </row>
    <row r="615" spans="1:27" ht="15" customHeight="1">
      <c r="A615" s="54"/>
      <c r="B615" s="54"/>
      <c r="C615" s="60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5"/>
      <c r="Z615" s="55"/>
      <c r="AA615" s="55"/>
    </row>
    <row r="616" spans="1:27" ht="15" customHeight="1">
      <c r="A616" s="54"/>
      <c r="B616" s="54"/>
      <c r="C616" s="60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5"/>
      <c r="Z616" s="55"/>
      <c r="AA616" s="55"/>
    </row>
    <row r="617" spans="1:27" ht="15" customHeight="1">
      <c r="A617" s="54"/>
      <c r="B617" s="54"/>
      <c r="C617" s="60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5"/>
      <c r="Z617" s="55"/>
      <c r="AA617" s="55"/>
    </row>
    <row r="618" spans="1:27" ht="15" customHeight="1">
      <c r="A618" s="54"/>
      <c r="B618" s="54"/>
      <c r="C618" s="60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5"/>
      <c r="Z618" s="55"/>
      <c r="AA618" s="55"/>
    </row>
    <row r="619" spans="1:27" ht="15" customHeight="1">
      <c r="A619" s="54"/>
      <c r="B619" s="54"/>
      <c r="C619" s="60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5"/>
      <c r="Z619" s="55"/>
      <c r="AA619" s="55"/>
    </row>
    <row r="620" spans="1:27" ht="15" customHeight="1">
      <c r="A620" s="54"/>
      <c r="B620" s="54"/>
      <c r="C620" s="60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5"/>
      <c r="Z620" s="55"/>
      <c r="AA620" s="55"/>
    </row>
    <row r="621" spans="1:27" ht="15" customHeight="1">
      <c r="A621" s="54"/>
      <c r="B621" s="54"/>
      <c r="C621" s="60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5"/>
      <c r="Z621" s="55"/>
      <c r="AA621" s="55"/>
    </row>
    <row r="622" spans="1:27" ht="15" customHeight="1">
      <c r="A622" s="54"/>
      <c r="B622" s="54"/>
      <c r="C622" s="60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5"/>
      <c r="Z622" s="55"/>
      <c r="AA622" s="55"/>
    </row>
    <row r="623" spans="1:27" ht="15" customHeight="1">
      <c r="A623" s="54"/>
      <c r="B623" s="54"/>
      <c r="C623" s="60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5"/>
      <c r="Z623" s="55"/>
      <c r="AA623" s="55"/>
    </row>
    <row r="624" spans="1:27" ht="15" customHeight="1">
      <c r="A624" s="54"/>
      <c r="B624" s="54"/>
      <c r="C624" s="60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5"/>
      <c r="Z624" s="55"/>
      <c r="AA624" s="55"/>
    </row>
    <row r="625" spans="1:27" ht="15" customHeight="1">
      <c r="A625" s="54"/>
      <c r="B625" s="54"/>
      <c r="C625" s="60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5"/>
      <c r="Z625" s="55"/>
      <c r="AA625" s="55"/>
    </row>
    <row r="626" spans="1:27" ht="15" customHeight="1">
      <c r="A626" s="54"/>
      <c r="B626" s="54"/>
      <c r="C626" s="60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5"/>
      <c r="Z626" s="55"/>
      <c r="AA626" s="55"/>
    </row>
    <row r="627" spans="1:27" ht="15" customHeight="1">
      <c r="A627" s="54"/>
      <c r="B627" s="54"/>
      <c r="C627" s="60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5"/>
      <c r="Z627" s="55"/>
      <c r="AA627" s="55"/>
    </row>
    <row r="628" spans="1:27" ht="15" customHeight="1">
      <c r="A628" s="54"/>
      <c r="B628" s="54"/>
      <c r="C628" s="60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5"/>
      <c r="Z628" s="55"/>
      <c r="AA628" s="55"/>
    </row>
    <row r="629" spans="1:27" ht="15" customHeight="1">
      <c r="A629" s="54"/>
      <c r="B629" s="54"/>
      <c r="C629" s="60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5"/>
      <c r="Z629" s="55"/>
      <c r="AA629" s="55"/>
    </row>
    <row r="630" spans="1:27" ht="15" customHeight="1">
      <c r="A630" s="54"/>
      <c r="B630" s="54"/>
      <c r="C630" s="60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5"/>
      <c r="Z630" s="55"/>
      <c r="AA630" s="55"/>
    </row>
    <row r="631" spans="1:27" ht="15" customHeight="1">
      <c r="A631" s="54"/>
      <c r="B631" s="54"/>
      <c r="C631" s="60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5"/>
      <c r="Z631" s="55"/>
      <c r="AA631" s="55"/>
    </row>
    <row r="632" spans="1:27" ht="15" customHeight="1">
      <c r="A632" s="54"/>
      <c r="B632" s="54"/>
      <c r="C632" s="60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5"/>
      <c r="Z632" s="55"/>
      <c r="AA632" s="55"/>
    </row>
    <row r="633" spans="1:27" ht="15" customHeight="1">
      <c r="A633" s="54"/>
      <c r="B633" s="54"/>
      <c r="C633" s="60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5"/>
      <c r="Z633" s="55"/>
      <c r="AA633" s="55"/>
    </row>
    <row r="634" spans="1:27" ht="15" customHeight="1">
      <c r="A634" s="54"/>
      <c r="B634" s="54"/>
      <c r="C634" s="60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5"/>
      <c r="Z634" s="55"/>
      <c r="AA634" s="55"/>
    </row>
    <row r="635" spans="1:27" ht="15" customHeight="1">
      <c r="A635" s="54"/>
      <c r="B635" s="54"/>
      <c r="C635" s="60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5"/>
      <c r="Z635" s="55"/>
      <c r="AA635" s="55"/>
    </row>
    <row r="636" spans="1:27" ht="15" customHeight="1">
      <c r="A636" s="54"/>
      <c r="B636" s="54"/>
      <c r="C636" s="60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5"/>
      <c r="Z636" s="55"/>
      <c r="AA636" s="55"/>
    </row>
    <row r="637" spans="1:27" ht="15" customHeight="1">
      <c r="A637" s="54"/>
      <c r="B637" s="54"/>
      <c r="C637" s="60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5"/>
      <c r="Z637" s="55"/>
      <c r="AA637" s="55"/>
    </row>
    <row r="638" spans="1:27" ht="15" customHeight="1">
      <c r="A638" s="54"/>
      <c r="B638" s="54"/>
      <c r="C638" s="60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5"/>
      <c r="Z638" s="55"/>
      <c r="AA638" s="55"/>
    </row>
    <row r="639" spans="1:27" ht="15" customHeight="1">
      <c r="A639" s="54"/>
      <c r="B639" s="54"/>
      <c r="C639" s="60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5"/>
      <c r="Z639" s="55"/>
      <c r="AA639" s="55"/>
    </row>
    <row r="640" spans="1:27" ht="15" customHeight="1">
      <c r="A640" s="54"/>
      <c r="B640" s="54"/>
      <c r="C640" s="60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5"/>
      <c r="Z640" s="55"/>
      <c r="AA640" s="55"/>
    </row>
    <row r="641" spans="1:27" ht="15" customHeight="1">
      <c r="A641" s="54"/>
      <c r="B641" s="54"/>
      <c r="C641" s="60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5"/>
      <c r="Z641" s="55"/>
      <c r="AA641" s="55"/>
    </row>
    <row r="642" spans="1:27" ht="15" customHeight="1">
      <c r="A642" s="54"/>
      <c r="B642" s="54"/>
      <c r="C642" s="60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5"/>
      <c r="Z642" s="55"/>
      <c r="AA642" s="55"/>
    </row>
    <row r="643" spans="1:27" ht="15" customHeight="1">
      <c r="A643" s="54"/>
      <c r="B643" s="54"/>
      <c r="C643" s="60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5"/>
      <c r="Z643" s="55"/>
      <c r="AA643" s="55"/>
    </row>
    <row r="644" spans="1:27" ht="15" customHeight="1">
      <c r="A644" s="54"/>
      <c r="B644" s="54"/>
      <c r="C644" s="60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5"/>
      <c r="Z644" s="55"/>
      <c r="AA644" s="55"/>
    </row>
    <row r="645" spans="1:27" ht="15" customHeight="1">
      <c r="A645" s="54"/>
      <c r="B645" s="54"/>
      <c r="C645" s="60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5"/>
      <c r="Z645" s="55"/>
      <c r="AA645" s="55"/>
    </row>
    <row r="646" spans="1:27" ht="15" customHeight="1">
      <c r="A646" s="54"/>
      <c r="B646" s="54"/>
      <c r="C646" s="60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5"/>
      <c r="Z646" s="55"/>
      <c r="AA646" s="55"/>
    </row>
    <row r="647" spans="1:27" ht="15" customHeight="1">
      <c r="A647" s="54"/>
      <c r="B647" s="54"/>
      <c r="C647" s="60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5"/>
      <c r="Z647" s="55"/>
      <c r="AA647" s="55"/>
    </row>
    <row r="648" spans="1:27" ht="15" customHeight="1">
      <c r="A648" s="54"/>
      <c r="B648" s="54"/>
      <c r="C648" s="60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5"/>
      <c r="Z648" s="55"/>
      <c r="AA648" s="55"/>
    </row>
    <row r="649" spans="1:27" ht="15" customHeight="1">
      <c r="A649" s="54"/>
      <c r="B649" s="54"/>
      <c r="C649" s="60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5"/>
      <c r="Z649" s="55"/>
      <c r="AA649" s="55"/>
    </row>
    <row r="650" spans="1:27" ht="15" customHeight="1">
      <c r="A650" s="54"/>
      <c r="B650" s="54"/>
      <c r="C650" s="60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5"/>
      <c r="Z650" s="55"/>
      <c r="AA650" s="55"/>
    </row>
    <row r="651" spans="1:27" ht="15" customHeight="1">
      <c r="A651" s="54"/>
      <c r="B651" s="54"/>
      <c r="C651" s="60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5"/>
      <c r="Z651" s="55"/>
      <c r="AA651" s="55"/>
    </row>
    <row r="652" spans="1:27" ht="15" customHeight="1">
      <c r="A652" s="54"/>
      <c r="B652" s="54"/>
      <c r="C652" s="60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5"/>
      <c r="Z652" s="55"/>
      <c r="AA652" s="55"/>
    </row>
    <row r="653" spans="1:27" ht="15" customHeight="1">
      <c r="A653" s="54"/>
      <c r="B653" s="54"/>
      <c r="C653" s="60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5"/>
      <c r="Z653" s="55"/>
      <c r="AA653" s="55"/>
    </row>
    <row r="654" spans="1:27" ht="15" customHeight="1">
      <c r="A654" s="54"/>
      <c r="B654" s="54"/>
      <c r="C654" s="60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5"/>
      <c r="Z654" s="55"/>
      <c r="AA654" s="55"/>
    </row>
    <row r="655" spans="1:27" ht="15" customHeight="1">
      <c r="A655" s="54"/>
      <c r="B655" s="54"/>
      <c r="C655" s="60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5"/>
      <c r="Z655" s="55"/>
      <c r="AA655" s="55"/>
    </row>
    <row r="656" spans="1:27" ht="15" customHeight="1">
      <c r="A656" s="54"/>
      <c r="B656" s="54"/>
      <c r="C656" s="60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5"/>
      <c r="Z656" s="55"/>
      <c r="AA656" s="55"/>
    </row>
    <row r="657" spans="1:27" ht="15" customHeight="1">
      <c r="A657" s="54"/>
      <c r="B657" s="54"/>
      <c r="C657" s="60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5"/>
      <c r="Z657" s="55"/>
      <c r="AA657" s="55"/>
    </row>
    <row r="658" spans="1:27" ht="15" customHeight="1">
      <c r="A658" s="54"/>
      <c r="B658" s="54"/>
      <c r="C658" s="60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5"/>
      <c r="Z658" s="55"/>
      <c r="AA658" s="55"/>
    </row>
    <row r="659" spans="1:27" ht="15" customHeight="1">
      <c r="A659" s="54"/>
      <c r="B659" s="54"/>
      <c r="C659" s="60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5"/>
      <c r="Z659" s="55"/>
      <c r="AA659" s="55"/>
    </row>
    <row r="660" spans="1:27" ht="15" customHeight="1">
      <c r="A660" s="54"/>
      <c r="B660" s="54"/>
      <c r="C660" s="60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5"/>
      <c r="Z660" s="55"/>
      <c r="AA660" s="55"/>
    </row>
    <row r="661" spans="1:27" ht="15" customHeight="1">
      <c r="A661" s="54"/>
      <c r="B661" s="54"/>
      <c r="C661" s="60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5"/>
      <c r="Z661" s="55"/>
      <c r="AA661" s="55"/>
    </row>
    <row r="662" spans="1:27" ht="15" customHeight="1">
      <c r="A662" s="54"/>
      <c r="B662" s="54"/>
      <c r="C662" s="60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5"/>
      <c r="Z662" s="55"/>
      <c r="AA662" s="55"/>
    </row>
    <row r="663" spans="1:27" ht="15" customHeight="1">
      <c r="A663" s="54"/>
      <c r="B663" s="54"/>
      <c r="C663" s="60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5"/>
      <c r="Z663" s="55"/>
      <c r="AA663" s="55"/>
    </row>
    <row r="664" spans="1:27" ht="15" customHeight="1">
      <c r="A664" s="54"/>
      <c r="B664" s="54"/>
      <c r="C664" s="60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5"/>
      <c r="Z664" s="55"/>
      <c r="AA664" s="55"/>
    </row>
    <row r="665" spans="1:27" ht="15" customHeight="1">
      <c r="A665" s="54"/>
      <c r="B665" s="54"/>
      <c r="C665" s="60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5"/>
      <c r="Z665" s="55"/>
      <c r="AA665" s="55"/>
    </row>
    <row r="666" spans="1:27" ht="15" customHeight="1">
      <c r="A666" s="54"/>
      <c r="B666" s="54"/>
      <c r="C666" s="60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5"/>
      <c r="Z666" s="55"/>
      <c r="AA666" s="55"/>
    </row>
    <row r="667" spans="1:27" ht="15" customHeight="1">
      <c r="A667" s="54"/>
      <c r="B667" s="54"/>
      <c r="C667" s="60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5"/>
      <c r="Z667" s="55"/>
      <c r="AA667" s="55"/>
    </row>
    <row r="668" spans="1:27" ht="15" customHeight="1">
      <c r="A668" s="54"/>
      <c r="B668" s="54"/>
      <c r="C668" s="60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5"/>
      <c r="Z668" s="55"/>
      <c r="AA668" s="55"/>
    </row>
    <row r="669" spans="1:27" ht="15" customHeight="1">
      <c r="A669" s="54"/>
      <c r="B669" s="54"/>
      <c r="C669" s="60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5"/>
      <c r="Z669" s="55"/>
      <c r="AA669" s="55"/>
    </row>
    <row r="670" spans="1:27" ht="15" customHeight="1">
      <c r="A670" s="54"/>
      <c r="B670" s="54"/>
      <c r="C670" s="60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5"/>
      <c r="Z670" s="55"/>
      <c r="AA670" s="55"/>
    </row>
    <row r="671" spans="1:27" ht="15" customHeight="1">
      <c r="A671" s="54"/>
      <c r="B671" s="54"/>
      <c r="C671" s="60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5"/>
      <c r="Z671" s="55"/>
      <c r="AA671" s="55"/>
    </row>
    <row r="672" spans="1:27" ht="15" customHeight="1">
      <c r="A672" s="54"/>
      <c r="B672" s="54"/>
      <c r="C672" s="60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5"/>
      <c r="Z672" s="55"/>
      <c r="AA672" s="55"/>
    </row>
    <row r="673" spans="1:27" ht="15" customHeight="1">
      <c r="A673" s="54"/>
      <c r="B673" s="54"/>
      <c r="C673" s="60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5"/>
      <c r="Z673" s="55"/>
      <c r="AA673" s="55"/>
    </row>
    <row r="674" spans="1:27" ht="15" customHeight="1">
      <c r="A674" s="54"/>
      <c r="B674" s="54"/>
      <c r="C674" s="60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5"/>
      <c r="Z674" s="55"/>
      <c r="AA674" s="55"/>
    </row>
    <row r="675" spans="1:27" ht="15" customHeight="1">
      <c r="A675" s="54"/>
      <c r="B675" s="54"/>
      <c r="C675" s="60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5"/>
      <c r="Z675" s="55"/>
      <c r="AA675" s="55"/>
    </row>
    <row r="676" spans="1:27" ht="15" customHeight="1">
      <c r="A676" s="54"/>
      <c r="B676" s="54"/>
      <c r="C676" s="60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5"/>
      <c r="Z676" s="55"/>
      <c r="AA676" s="55"/>
    </row>
    <row r="677" spans="1:27" ht="15" customHeight="1">
      <c r="A677" s="54"/>
      <c r="B677" s="54"/>
      <c r="C677" s="60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5"/>
      <c r="Z677" s="55"/>
      <c r="AA677" s="55"/>
    </row>
    <row r="678" spans="1:27" ht="15" customHeight="1">
      <c r="A678" s="54"/>
      <c r="B678" s="54"/>
      <c r="C678" s="60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5"/>
      <c r="Z678" s="55"/>
      <c r="AA678" s="55"/>
    </row>
    <row r="679" spans="1:27" ht="15" customHeight="1">
      <c r="A679" s="54"/>
      <c r="B679" s="54"/>
      <c r="C679" s="60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5"/>
      <c r="Z679" s="55"/>
      <c r="AA679" s="55"/>
    </row>
    <row r="680" spans="1:27" ht="15" customHeight="1">
      <c r="A680" s="54"/>
      <c r="B680" s="54"/>
      <c r="C680" s="60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5"/>
      <c r="Z680" s="55"/>
      <c r="AA680" s="55"/>
    </row>
    <row r="681" spans="1:27" ht="15" customHeight="1">
      <c r="A681" s="54"/>
      <c r="B681" s="54"/>
      <c r="C681" s="60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5"/>
      <c r="Z681" s="55"/>
      <c r="AA681" s="55"/>
    </row>
    <row r="682" spans="1:27" ht="15" customHeight="1">
      <c r="A682" s="54"/>
      <c r="B682" s="54"/>
      <c r="C682" s="60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5"/>
      <c r="Z682" s="55"/>
      <c r="AA682" s="55"/>
    </row>
    <row r="683" spans="1:27" ht="15" customHeight="1">
      <c r="A683" s="54"/>
      <c r="B683" s="54"/>
      <c r="C683" s="60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5"/>
      <c r="Z683" s="55"/>
      <c r="AA683" s="55"/>
    </row>
    <row r="684" spans="1:27" ht="15" customHeight="1">
      <c r="A684" s="54"/>
      <c r="B684" s="54"/>
      <c r="C684" s="60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5"/>
      <c r="Z684" s="55"/>
      <c r="AA684" s="55"/>
    </row>
    <row r="685" spans="1:27" ht="15" customHeight="1">
      <c r="A685" s="54"/>
      <c r="B685" s="54"/>
      <c r="C685" s="60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5"/>
      <c r="Z685" s="55"/>
      <c r="AA685" s="55"/>
    </row>
    <row r="686" spans="1:27" ht="15" customHeight="1">
      <c r="A686" s="54"/>
      <c r="B686" s="54"/>
      <c r="C686" s="60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5"/>
      <c r="Z686" s="55"/>
      <c r="AA686" s="55"/>
    </row>
    <row r="687" spans="1:27" ht="15" customHeight="1">
      <c r="A687" s="54"/>
      <c r="B687" s="54"/>
      <c r="C687" s="60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5"/>
      <c r="Z687" s="55"/>
      <c r="AA687" s="55"/>
    </row>
    <row r="688" spans="1:27" ht="15" customHeight="1">
      <c r="A688" s="54"/>
      <c r="B688" s="54"/>
      <c r="C688" s="60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5"/>
      <c r="Z688" s="55"/>
      <c r="AA688" s="55"/>
    </row>
    <row r="689" spans="1:27" ht="15" customHeight="1">
      <c r="A689" s="54"/>
      <c r="B689" s="54"/>
      <c r="C689" s="60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5"/>
      <c r="Z689" s="55"/>
      <c r="AA689" s="55"/>
    </row>
    <row r="690" spans="1:27" ht="15" customHeight="1">
      <c r="A690" s="54"/>
      <c r="B690" s="54"/>
      <c r="C690" s="60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5"/>
      <c r="Z690" s="55"/>
      <c r="AA690" s="55"/>
    </row>
    <row r="691" spans="1:27" ht="15" customHeight="1">
      <c r="A691" s="54"/>
      <c r="B691" s="54"/>
      <c r="C691" s="60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5"/>
      <c r="Z691" s="55"/>
      <c r="AA691" s="55"/>
    </row>
    <row r="692" spans="1:27" ht="15" customHeight="1">
      <c r="A692" s="54"/>
      <c r="B692" s="54"/>
      <c r="C692" s="60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5"/>
      <c r="Z692" s="55"/>
      <c r="AA692" s="55"/>
    </row>
    <row r="693" spans="1:27" ht="15" customHeight="1">
      <c r="A693" s="54"/>
      <c r="B693" s="54"/>
      <c r="C693" s="60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5"/>
      <c r="Z693" s="55"/>
      <c r="AA693" s="55"/>
    </row>
    <row r="694" spans="1:27" ht="15" customHeight="1">
      <c r="A694" s="54"/>
      <c r="B694" s="54"/>
      <c r="C694" s="60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5"/>
      <c r="Z694" s="55"/>
      <c r="AA694" s="55"/>
    </row>
    <row r="695" spans="1:27" ht="15" customHeight="1">
      <c r="A695" s="54"/>
      <c r="B695" s="54"/>
      <c r="C695" s="60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5"/>
      <c r="Z695" s="55"/>
      <c r="AA695" s="55"/>
    </row>
    <row r="696" spans="1:27" ht="15" customHeight="1">
      <c r="A696" s="54"/>
      <c r="B696" s="54"/>
      <c r="C696" s="60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5"/>
      <c r="Z696" s="55"/>
      <c r="AA696" s="55"/>
    </row>
    <row r="697" spans="1:27" ht="15" customHeight="1">
      <c r="A697" s="54"/>
      <c r="B697" s="54"/>
      <c r="C697" s="60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5"/>
      <c r="Z697" s="55"/>
      <c r="AA697" s="55"/>
    </row>
    <row r="698" spans="1:27" ht="15" customHeight="1">
      <c r="A698" s="54"/>
      <c r="B698" s="54"/>
      <c r="C698" s="60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5"/>
      <c r="Z698" s="55"/>
      <c r="AA698" s="55"/>
    </row>
    <row r="699" spans="1:27" ht="15" customHeight="1">
      <c r="A699" s="54"/>
      <c r="B699" s="54"/>
      <c r="C699" s="60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5"/>
      <c r="Z699" s="55"/>
      <c r="AA699" s="55"/>
    </row>
    <row r="700" spans="1:27" ht="15" customHeight="1">
      <c r="A700" s="54"/>
      <c r="B700" s="54"/>
      <c r="C700" s="60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5"/>
      <c r="Z700" s="55"/>
      <c r="AA700" s="55"/>
    </row>
    <row r="701" spans="1:27" ht="15" customHeight="1">
      <c r="A701" s="54"/>
      <c r="B701" s="54"/>
      <c r="C701" s="60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5"/>
      <c r="Z701" s="55"/>
      <c r="AA701" s="55"/>
    </row>
    <row r="702" spans="1:27" ht="15" customHeight="1">
      <c r="A702" s="54"/>
      <c r="B702" s="54"/>
      <c r="C702" s="60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5"/>
      <c r="Z702" s="55"/>
      <c r="AA702" s="55"/>
    </row>
    <row r="703" spans="1:27" ht="15" customHeight="1">
      <c r="A703" s="54"/>
      <c r="B703" s="54"/>
      <c r="C703" s="60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5"/>
      <c r="Z703" s="55"/>
      <c r="AA703" s="55"/>
    </row>
    <row r="704" spans="1:27" ht="15" customHeight="1">
      <c r="A704" s="54"/>
      <c r="B704" s="54"/>
      <c r="C704" s="60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5"/>
      <c r="Z704" s="55"/>
      <c r="AA704" s="55"/>
    </row>
    <row r="705" spans="1:27" ht="15" customHeight="1">
      <c r="A705" s="54"/>
      <c r="B705" s="54"/>
      <c r="C705" s="60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5"/>
      <c r="Z705" s="55"/>
      <c r="AA705" s="55"/>
    </row>
    <row r="706" spans="1:27" ht="15" customHeight="1">
      <c r="A706" s="54"/>
      <c r="B706" s="54"/>
      <c r="C706" s="60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5"/>
      <c r="Z706" s="55"/>
      <c r="AA706" s="55"/>
    </row>
    <row r="707" spans="1:27" ht="15" customHeight="1">
      <c r="A707" s="54"/>
      <c r="B707" s="54"/>
      <c r="C707" s="60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5"/>
      <c r="Z707" s="55"/>
      <c r="AA707" s="55"/>
    </row>
    <row r="708" spans="1:27" ht="15" customHeight="1">
      <c r="A708" s="54"/>
      <c r="B708" s="54"/>
      <c r="C708" s="60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5"/>
      <c r="Z708" s="55"/>
      <c r="AA708" s="55"/>
    </row>
    <row r="709" spans="1:27" ht="15" customHeight="1">
      <c r="A709" s="54"/>
      <c r="B709" s="54"/>
      <c r="C709" s="60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5"/>
      <c r="Z709" s="55"/>
      <c r="AA709" s="55"/>
    </row>
    <row r="710" spans="1:27" ht="15" customHeight="1">
      <c r="A710" s="54"/>
      <c r="B710" s="54"/>
      <c r="C710" s="60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5"/>
      <c r="Z710" s="55"/>
      <c r="AA710" s="55"/>
    </row>
    <row r="711" spans="1:27" ht="15" customHeight="1">
      <c r="A711" s="54"/>
      <c r="B711" s="54"/>
      <c r="C711" s="60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5"/>
      <c r="Z711" s="55"/>
      <c r="AA711" s="55"/>
    </row>
    <row r="712" spans="1:27" ht="15" customHeight="1">
      <c r="A712" s="54"/>
      <c r="B712" s="54"/>
      <c r="C712" s="60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5"/>
      <c r="Z712" s="55"/>
      <c r="AA712" s="55"/>
    </row>
    <row r="713" spans="1:27" ht="15" customHeight="1">
      <c r="A713" s="54"/>
      <c r="B713" s="54"/>
      <c r="C713" s="60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5"/>
      <c r="Z713" s="55"/>
      <c r="AA713" s="55"/>
    </row>
    <row r="714" spans="1:27" ht="15" customHeight="1">
      <c r="A714" s="54"/>
      <c r="B714" s="54"/>
      <c r="C714" s="60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5"/>
      <c r="Z714" s="55"/>
      <c r="AA714" s="55"/>
    </row>
    <row r="715" spans="1:27" ht="15" customHeight="1">
      <c r="A715" s="54"/>
      <c r="B715" s="54"/>
      <c r="C715" s="60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5"/>
      <c r="Z715" s="55"/>
      <c r="AA715" s="55"/>
    </row>
    <row r="716" spans="1:27" ht="15" customHeight="1">
      <c r="A716" s="54"/>
      <c r="B716" s="54"/>
      <c r="C716" s="60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5"/>
      <c r="Z716" s="55"/>
      <c r="AA716" s="55"/>
    </row>
    <row r="717" spans="1:27" ht="15" customHeight="1">
      <c r="A717" s="54"/>
      <c r="B717" s="54"/>
      <c r="C717" s="60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5"/>
      <c r="Z717" s="55"/>
      <c r="AA717" s="55"/>
    </row>
    <row r="718" spans="1:27" ht="15" customHeight="1">
      <c r="A718" s="54"/>
      <c r="B718" s="54"/>
      <c r="C718" s="60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5"/>
      <c r="Z718" s="55"/>
      <c r="AA718" s="55"/>
    </row>
    <row r="719" spans="1:27" ht="15" customHeight="1">
      <c r="A719" s="54"/>
      <c r="B719" s="54"/>
      <c r="C719" s="60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5"/>
      <c r="Z719" s="55"/>
      <c r="AA719" s="55"/>
    </row>
    <row r="720" spans="1:27" ht="15" customHeight="1">
      <c r="A720" s="54"/>
      <c r="B720" s="54"/>
      <c r="C720" s="60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5"/>
      <c r="Z720" s="55"/>
      <c r="AA720" s="55"/>
    </row>
    <row r="721" spans="1:27" ht="15" customHeight="1">
      <c r="A721" s="54"/>
      <c r="B721" s="54"/>
      <c r="C721" s="60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5"/>
      <c r="Z721" s="55"/>
      <c r="AA721" s="55"/>
    </row>
    <row r="722" spans="1:27" ht="15" customHeight="1">
      <c r="A722" s="54"/>
      <c r="B722" s="54"/>
      <c r="C722" s="60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5"/>
      <c r="Z722" s="55"/>
      <c r="AA722" s="55"/>
    </row>
    <row r="723" spans="1:27" ht="15" customHeight="1">
      <c r="A723" s="54"/>
      <c r="B723" s="54"/>
      <c r="C723" s="60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5"/>
      <c r="Z723" s="55"/>
      <c r="AA723" s="55"/>
    </row>
    <row r="724" spans="1:27" ht="15" customHeight="1">
      <c r="A724" s="54"/>
      <c r="B724" s="54"/>
      <c r="C724" s="60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5"/>
      <c r="Z724" s="55"/>
      <c r="AA724" s="55"/>
    </row>
    <row r="725" spans="1:27" ht="15" customHeight="1">
      <c r="A725" s="54"/>
      <c r="B725" s="54"/>
      <c r="C725" s="60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5"/>
      <c r="Z725" s="55"/>
      <c r="AA725" s="55"/>
    </row>
    <row r="726" spans="1:27" ht="15" customHeight="1">
      <c r="A726" s="54"/>
      <c r="B726" s="54"/>
      <c r="C726" s="60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5"/>
      <c r="Z726" s="55"/>
      <c r="AA726" s="55"/>
    </row>
    <row r="727" spans="1:27" ht="15" customHeight="1">
      <c r="A727" s="54"/>
      <c r="B727" s="54"/>
      <c r="C727" s="60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5"/>
      <c r="Z727" s="55"/>
      <c r="AA727" s="55"/>
    </row>
    <row r="728" spans="1:27" ht="15" customHeight="1">
      <c r="A728" s="54"/>
      <c r="B728" s="54"/>
      <c r="C728" s="60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5"/>
      <c r="Z728" s="55"/>
      <c r="AA728" s="55"/>
    </row>
    <row r="729" spans="1:27" ht="15" customHeight="1">
      <c r="A729" s="54"/>
      <c r="B729" s="54"/>
      <c r="C729" s="60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5"/>
      <c r="Z729" s="55"/>
      <c r="AA729" s="55"/>
    </row>
    <row r="730" spans="1:27" ht="15" customHeight="1">
      <c r="A730" s="54"/>
      <c r="B730" s="54"/>
      <c r="C730" s="60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5"/>
      <c r="Z730" s="55"/>
      <c r="AA730" s="55"/>
    </row>
    <row r="731" spans="1:27" ht="15" customHeight="1">
      <c r="A731" s="54"/>
      <c r="B731" s="54"/>
      <c r="C731" s="60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5"/>
      <c r="Z731" s="55"/>
      <c r="AA731" s="55"/>
    </row>
    <row r="732" spans="1:27" ht="15" customHeight="1">
      <c r="A732" s="54"/>
      <c r="B732" s="54"/>
      <c r="C732" s="60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5"/>
      <c r="Z732" s="55"/>
      <c r="AA732" s="55"/>
    </row>
    <row r="733" spans="1:27" ht="15" customHeight="1">
      <c r="A733" s="54"/>
      <c r="B733" s="54"/>
      <c r="C733" s="60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5"/>
      <c r="Z733" s="55"/>
      <c r="AA733" s="55"/>
    </row>
    <row r="734" spans="1:27" ht="15" customHeight="1">
      <c r="A734" s="54"/>
      <c r="B734" s="54"/>
      <c r="C734" s="60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5"/>
      <c r="Z734" s="55"/>
      <c r="AA734" s="55"/>
    </row>
    <row r="735" spans="1:27" ht="15" customHeight="1">
      <c r="A735" s="54"/>
      <c r="B735" s="54"/>
      <c r="C735" s="60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5"/>
      <c r="Z735" s="55"/>
      <c r="AA735" s="55"/>
    </row>
    <row r="736" spans="1:27" ht="15" customHeight="1">
      <c r="A736" s="54"/>
      <c r="B736" s="54"/>
      <c r="C736" s="60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5"/>
      <c r="Z736" s="55"/>
      <c r="AA736" s="55"/>
    </row>
    <row r="737" spans="1:27" ht="15" customHeight="1">
      <c r="A737" s="54"/>
      <c r="B737" s="54"/>
      <c r="C737" s="60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5"/>
      <c r="Z737" s="55"/>
      <c r="AA737" s="55"/>
    </row>
    <row r="738" spans="1:27" ht="15" customHeight="1">
      <c r="A738" s="54"/>
      <c r="B738" s="54"/>
      <c r="C738" s="60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5"/>
      <c r="Z738" s="55"/>
      <c r="AA738" s="55"/>
    </row>
    <row r="739" spans="1:27" ht="15" customHeight="1">
      <c r="A739" s="54"/>
      <c r="B739" s="54"/>
      <c r="C739" s="60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5"/>
      <c r="Z739" s="55"/>
      <c r="AA739" s="55"/>
    </row>
    <row r="740" spans="1:27" ht="15" customHeight="1">
      <c r="A740" s="54"/>
      <c r="B740" s="54"/>
      <c r="C740" s="60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5"/>
      <c r="Z740" s="55"/>
      <c r="AA740" s="55"/>
    </row>
    <row r="741" spans="1:27" ht="15" customHeight="1">
      <c r="A741" s="54"/>
      <c r="B741" s="54"/>
      <c r="C741" s="60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5"/>
      <c r="Z741" s="55"/>
      <c r="AA741" s="55"/>
    </row>
    <row r="742" spans="1:27" ht="15" customHeight="1">
      <c r="A742" s="54"/>
      <c r="B742" s="54"/>
      <c r="C742" s="60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5"/>
      <c r="Z742" s="55"/>
      <c r="AA742" s="55"/>
    </row>
    <row r="743" spans="1:27" ht="15" customHeight="1">
      <c r="A743" s="54"/>
      <c r="B743" s="54"/>
      <c r="C743" s="60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5"/>
      <c r="Z743" s="55"/>
      <c r="AA743" s="55"/>
    </row>
    <row r="744" spans="1:27" ht="15" customHeight="1">
      <c r="A744" s="54"/>
      <c r="B744" s="54"/>
      <c r="C744" s="60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5"/>
      <c r="Z744" s="55"/>
      <c r="AA744" s="55"/>
    </row>
    <row r="745" spans="1:27" ht="15" customHeight="1">
      <c r="A745" s="54"/>
      <c r="B745" s="54"/>
      <c r="C745" s="60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5"/>
      <c r="Z745" s="55"/>
      <c r="AA745" s="55"/>
    </row>
    <row r="746" spans="1:27" ht="15" customHeight="1">
      <c r="A746" s="54"/>
      <c r="B746" s="54"/>
      <c r="C746" s="60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5"/>
      <c r="Z746" s="55"/>
      <c r="AA746" s="55"/>
    </row>
    <row r="747" spans="1:27" ht="15" customHeight="1">
      <c r="A747" s="54"/>
      <c r="B747" s="54"/>
      <c r="C747" s="60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5"/>
      <c r="Z747" s="55"/>
      <c r="AA747" s="55"/>
    </row>
    <row r="748" spans="1:27" ht="15" customHeight="1">
      <c r="A748" s="54"/>
      <c r="B748" s="54"/>
      <c r="C748" s="60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5"/>
      <c r="Z748" s="55"/>
      <c r="AA748" s="55"/>
    </row>
    <row r="749" spans="1:27" ht="15" customHeight="1">
      <c r="A749" s="54"/>
      <c r="B749" s="54"/>
      <c r="C749" s="60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5"/>
      <c r="Z749" s="55"/>
      <c r="AA749" s="55"/>
    </row>
    <row r="750" spans="1:27" ht="15" customHeight="1">
      <c r="A750" s="54"/>
      <c r="B750" s="54"/>
      <c r="C750" s="60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5"/>
      <c r="Z750" s="55"/>
      <c r="AA750" s="55"/>
    </row>
    <row r="751" spans="1:27" ht="15" customHeight="1">
      <c r="A751" s="54"/>
      <c r="B751" s="54"/>
      <c r="C751" s="60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5"/>
      <c r="Z751" s="55"/>
      <c r="AA751" s="55"/>
    </row>
    <row r="752" spans="1:27" ht="15" customHeight="1">
      <c r="A752" s="54"/>
      <c r="B752" s="54"/>
      <c r="C752" s="60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5"/>
      <c r="Z752" s="55"/>
      <c r="AA752" s="55"/>
    </row>
    <row r="753" spans="1:27" ht="15" customHeight="1">
      <c r="A753" s="54"/>
      <c r="B753" s="54"/>
      <c r="C753" s="60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5"/>
      <c r="Z753" s="55"/>
      <c r="AA753" s="55"/>
    </row>
    <row r="754" spans="1:27" ht="15" customHeight="1">
      <c r="A754" s="54"/>
      <c r="B754" s="54"/>
      <c r="C754" s="60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5"/>
      <c r="Z754" s="55"/>
      <c r="AA754" s="55"/>
    </row>
    <row r="755" spans="1:27" ht="15" customHeight="1">
      <c r="A755" s="54"/>
      <c r="B755" s="54"/>
      <c r="C755" s="60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5"/>
      <c r="Z755" s="55"/>
      <c r="AA755" s="55"/>
    </row>
    <row r="756" spans="1:27" ht="15" customHeight="1">
      <c r="A756" s="54"/>
      <c r="B756" s="54"/>
      <c r="C756" s="60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5"/>
      <c r="Z756" s="55"/>
      <c r="AA756" s="55"/>
    </row>
    <row r="757" spans="1:27" ht="15" customHeight="1">
      <c r="A757" s="54"/>
      <c r="B757" s="54"/>
      <c r="C757" s="60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5"/>
      <c r="Z757" s="55"/>
      <c r="AA757" s="55"/>
    </row>
    <row r="758" spans="1:27" ht="15" customHeight="1">
      <c r="A758" s="54"/>
      <c r="B758" s="54"/>
      <c r="C758" s="60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5"/>
      <c r="Z758" s="55"/>
      <c r="AA758" s="55"/>
    </row>
    <row r="759" spans="1:27" ht="15" customHeight="1">
      <c r="A759" s="54"/>
      <c r="B759" s="54"/>
      <c r="C759" s="60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5"/>
      <c r="Z759" s="55"/>
      <c r="AA759" s="55"/>
    </row>
    <row r="760" spans="1:27" ht="15" customHeight="1">
      <c r="A760" s="54"/>
      <c r="B760" s="54"/>
      <c r="C760" s="60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5"/>
      <c r="Z760" s="55"/>
      <c r="AA760" s="55"/>
    </row>
    <row r="761" spans="1:27" ht="15" customHeight="1">
      <c r="A761" s="54"/>
      <c r="B761" s="54"/>
      <c r="C761" s="60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5"/>
      <c r="Z761" s="55"/>
      <c r="AA761" s="55"/>
    </row>
    <row r="762" spans="1:27" ht="15" customHeight="1">
      <c r="A762" s="54"/>
      <c r="B762" s="54"/>
      <c r="C762" s="60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5"/>
      <c r="Z762" s="55"/>
      <c r="AA762" s="55"/>
    </row>
    <row r="763" spans="1:27" ht="15" customHeight="1">
      <c r="A763" s="54"/>
      <c r="B763" s="54"/>
      <c r="C763" s="60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5"/>
      <c r="Z763" s="55"/>
      <c r="AA763" s="55"/>
    </row>
    <row r="764" spans="1:27" ht="15" customHeight="1">
      <c r="A764" s="54"/>
      <c r="B764" s="54"/>
      <c r="C764" s="60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5"/>
      <c r="Z764" s="55"/>
      <c r="AA764" s="55"/>
    </row>
    <row r="765" spans="1:27" ht="15" customHeight="1">
      <c r="A765" s="54"/>
      <c r="B765" s="54"/>
      <c r="C765" s="60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5"/>
      <c r="Z765" s="55"/>
      <c r="AA765" s="55"/>
    </row>
    <row r="766" spans="1:27" ht="15" customHeight="1">
      <c r="A766" s="54"/>
      <c r="B766" s="54"/>
      <c r="C766" s="60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5"/>
      <c r="Z766" s="55"/>
      <c r="AA766" s="55"/>
    </row>
    <row r="767" spans="1:27" ht="15" customHeight="1">
      <c r="A767" s="54"/>
      <c r="B767" s="54"/>
      <c r="C767" s="60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5"/>
      <c r="Z767" s="55"/>
      <c r="AA767" s="55"/>
    </row>
    <row r="768" spans="1:27" ht="15" customHeight="1">
      <c r="A768" s="54"/>
      <c r="B768" s="54"/>
      <c r="C768" s="60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5"/>
      <c r="Z768" s="55"/>
      <c r="AA768" s="55"/>
    </row>
    <row r="769" spans="1:27" ht="15" customHeight="1">
      <c r="A769" s="54"/>
      <c r="B769" s="54"/>
      <c r="C769" s="60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5"/>
      <c r="Z769" s="55"/>
      <c r="AA769" s="55"/>
    </row>
    <row r="770" spans="1:27" ht="15" customHeight="1">
      <c r="A770" s="54"/>
      <c r="B770" s="54"/>
      <c r="C770" s="60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5"/>
      <c r="Z770" s="55"/>
      <c r="AA770" s="55"/>
    </row>
    <row r="771" spans="1:27" ht="15" customHeight="1">
      <c r="A771" s="54"/>
      <c r="B771" s="54"/>
      <c r="C771" s="60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5"/>
      <c r="Z771" s="55"/>
      <c r="AA771" s="55"/>
    </row>
    <row r="772" spans="1:27" ht="15" customHeight="1">
      <c r="A772" s="54"/>
      <c r="B772" s="54"/>
      <c r="C772" s="60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5"/>
      <c r="Z772" s="55"/>
      <c r="AA772" s="55"/>
    </row>
    <row r="773" spans="1:27" ht="15" customHeight="1">
      <c r="A773" s="54"/>
      <c r="B773" s="54"/>
      <c r="C773" s="60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5"/>
      <c r="Z773" s="55"/>
      <c r="AA773" s="55"/>
    </row>
    <row r="774" spans="1:27" ht="15" customHeight="1">
      <c r="A774" s="54"/>
      <c r="B774" s="54"/>
      <c r="C774" s="60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5"/>
      <c r="Z774" s="55"/>
      <c r="AA774" s="55"/>
    </row>
    <row r="775" spans="1:27" ht="15" customHeight="1">
      <c r="A775" s="54"/>
      <c r="B775" s="54"/>
      <c r="C775" s="60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5"/>
      <c r="Z775" s="55"/>
      <c r="AA775" s="55"/>
    </row>
    <row r="776" spans="1:27" ht="15" customHeight="1">
      <c r="A776" s="54"/>
      <c r="B776" s="54"/>
      <c r="C776" s="60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5"/>
      <c r="Z776" s="55"/>
      <c r="AA776" s="55"/>
    </row>
    <row r="777" spans="1:27" ht="15" customHeight="1">
      <c r="A777" s="54"/>
      <c r="B777" s="54"/>
      <c r="C777" s="60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5"/>
      <c r="Z777" s="55"/>
      <c r="AA777" s="55"/>
    </row>
    <row r="778" spans="1:27" ht="15" customHeight="1">
      <c r="A778" s="54"/>
      <c r="B778" s="54"/>
      <c r="C778" s="60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5"/>
      <c r="Z778" s="55"/>
      <c r="AA778" s="55"/>
    </row>
    <row r="779" spans="1:27" ht="15" customHeight="1">
      <c r="A779" s="54"/>
      <c r="B779" s="54"/>
      <c r="C779" s="60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5"/>
      <c r="Z779" s="55"/>
      <c r="AA779" s="55"/>
    </row>
    <row r="780" spans="1:27" ht="15" customHeight="1">
      <c r="A780" s="54"/>
      <c r="B780" s="54"/>
      <c r="C780" s="60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5"/>
      <c r="Z780" s="55"/>
      <c r="AA780" s="55"/>
    </row>
    <row r="781" spans="1:27" ht="15" customHeight="1">
      <c r="A781" s="54"/>
      <c r="B781" s="54"/>
      <c r="C781" s="60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5"/>
      <c r="Z781" s="55"/>
      <c r="AA781" s="55"/>
    </row>
    <row r="782" spans="1:27" ht="15" customHeight="1">
      <c r="A782" s="54"/>
      <c r="B782" s="54"/>
      <c r="C782" s="60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5"/>
      <c r="Z782" s="55"/>
      <c r="AA782" s="55"/>
    </row>
    <row r="783" spans="1:27" ht="15" customHeight="1">
      <c r="A783" s="54"/>
      <c r="B783" s="54"/>
      <c r="C783" s="60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5"/>
      <c r="Z783" s="55"/>
      <c r="AA783" s="55"/>
    </row>
    <row r="784" spans="1:27" ht="15" customHeight="1">
      <c r="A784" s="54"/>
      <c r="B784" s="54"/>
      <c r="C784" s="60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5"/>
      <c r="Z784" s="55"/>
      <c r="AA784" s="55"/>
    </row>
    <row r="785" spans="1:27" ht="15" customHeight="1">
      <c r="A785" s="54"/>
      <c r="B785" s="54"/>
      <c r="C785" s="60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5"/>
      <c r="Z785" s="55"/>
      <c r="AA785" s="55"/>
    </row>
    <row r="786" spans="1:27" ht="15" customHeight="1">
      <c r="A786" s="54"/>
      <c r="B786" s="54"/>
      <c r="C786" s="60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5"/>
      <c r="Z786" s="55"/>
      <c r="AA786" s="55"/>
    </row>
    <row r="787" spans="1:27" ht="15" customHeight="1">
      <c r="A787" s="54"/>
      <c r="B787" s="54"/>
      <c r="C787" s="60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5"/>
      <c r="Z787" s="55"/>
      <c r="AA787" s="55"/>
    </row>
    <row r="788" spans="1:27" ht="15" customHeight="1">
      <c r="A788" s="54"/>
      <c r="B788" s="54"/>
      <c r="C788" s="60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5"/>
      <c r="Z788" s="55"/>
      <c r="AA788" s="55"/>
    </row>
    <row r="789" spans="1:27" ht="15" customHeight="1">
      <c r="A789" s="54"/>
      <c r="B789" s="54"/>
      <c r="C789" s="60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5"/>
      <c r="Z789" s="55"/>
      <c r="AA789" s="55"/>
    </row>
    <row r="790" spans="1:27" ht="15" customHeight="1">
      <c r="A790" s="54"/>
      <c r="B790" s="54"/>
      <c r="C790" s="60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5"/>
      <c r="Z790" s="55"/>
      <c r="AA790" s="55"/>
    </row>
    <row r="791" spans="1:27" ht="15" customHeight="1">
      <c r="A791" s="54"/>
      <c r="B791" s="54"/>
      <c r="C791" s="60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5"/>
      <c r="Z791" s="55"/>
      <c r="AA791" s="55"/>
    </row>
    <row r="792" spans="1:27" ht="15" customHeight="1">
      <c r="A792" s="54"/>
      <c r="B792" s="54"/>
      <c r="C792" s="60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5"/>
      <c r="Z792" s="55"/>
      <c r="AA792" s="55"/>
    </row>
    <row r="793" spans="1:27" ht="15" customHeight="1">
      <c r="A793" s="54"/>
      <c r="B793" s="54"/>
      <c r="C793" s="60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5"/>
      <c r="Z793" s="55"/>
      <c r="AA793" s="55"/>
    </row>
    <row r="794" spans="1:27" ht="15" customHeight="1">
      <c r="A794" s="54"/>
      <c r="B794" s="54"/>
      <c r="C794" s="60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5"/>
      <c r="Z794" s="55"/>
      <c r="AA794" s="55"/>
    </row>
    <row r="795" spans="1:27" ht="15" customHeight="1">
      <c r="A795" s="54"/>
      <c r="B795" s="54"/>
      <c r="C795" s="60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5"/>
      <c r="Z795" s="55"/>
      <c r="AA795" s="55"/>
    </row>
    <row r="796" spans="1:27" ht="15" customHeight="1">
      <c r="A796" s="54"/>
      <c r="B796" s="54"/>
      <c r="C796" s="60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5"/>
      <c r="Z796" s="55"/>
      <c r="AA796" s="55"/>
    </row>
    <row r="797" spans="1:27" ht="15" customHeight="1">
      <c r="A797" s="54"/>
      <c r="B797" s="54"/>
      <c r="C797" s="60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5"/>
      <c r="Z797" s="55"/>
      <c r="AA797" s="55"/>
    </row>
    <row r="798" spans="1:27" ht="15" customHeight="1">
      <c r="A798" s="54"/>
      <c r="B798" s="54"/>
      <c r="C798" s="60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5"/>
      <c r="Z798" s="55"/>
      <c r="AA798" s="55"/>
    </row>
    <row r="799" spans="1:27" ht="15" customHeight="1">
      <c r="A799" s="54"/>
      <c r="B799" s="54"/>
      <c r="C799" s="60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5"/>
      <c r="Z799" s="55"/>
      <c r="AA799" s="55"/>
    </row>
    <row r="800" spans="1:27" ht="15" customHeight="1">
      <c r="A800" s="54"/>
      <c r="B800" s="54"/>
      <c r="C800" s="60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5"/>
      <c r="Z800" s="55"/>
      <c r="AA800" s="55"/>
    </row>
    <row r="801" spans="1:27" ht="15" customHeight="1">
      <c r="A801" s="54"/>
      <c r="B801" s="54"/>
      <c r="C801" s="60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5"/>
      <c r="Z801" s="55"/>
      <c r="AA801" s="55"/>
    </row>
    <row r="802" spans="1:27" ht="15" customHeight="1">
      <c r="A802" s="54"/>
      <c r="B802" s="54"/>
      <c r="C802" s="60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5"/>
      <c r="Z802" s="55"/>
      <c r="AA802" s="55"/>
    </row>
    <row r="803" spans="1:27" ht="15" customHeight="1">
      <c r="A803" s="54"/>
      <c r="B803" s="54"/>
      <c r="C803" s="60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5"/>
      <c r="Z803" s="55"/>
      <c r="AA803" s="55"/>
    </row>
    <row r="804" spans="1:27" ht="15" customHeight="1">
      <c r="A804" s="54"/>
      <c r="B804" s="54"/>
      <c r="C804" s="60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5"/>
      <c r="Z804" s="55"/>
      <c r="AA804" s="55"/>
    </row>
    <row r="805" spans="1:27" ht="15" customHeight="1">
      <c r="A805" s="54"/>
      <c r="B805" s="54"/>
      <c r="C805" s="60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5"/>
      <c r="Z805" s="55"/>
      <c r="AA805" s="55"/>
    </row>
    <row r="806" spans="1:27" ht="15" customHeight="1">
      <c r="A806" s="54"/>
      <c r="B806" s="54"/>
      <c r="C806" s="60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5"/>
      <c r="Z806" s="55"/>
      <c r="AA806" s="55"/>
    </row>
    <row r="807" spans="1:27" ht="15" customHeight="1">
      <c r="A807" s="54"/>
      <c r="B807" s="54"/>
      <c r="C807" s="60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5"/>
      <c r="Z807" s="55"/>
      <c r="AA807" s="55"/>
    </row>
    <row r="808" spans="1:27" ht="15" customHeight="1">
      <c r="A808" s="54"/>
      <c r="B808" s="54"/>
      <c r="C808" s="60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5"/>
      <c r="Z808" s="55"/>
      <c r="AA808" s="55"/>
    </row>
    <row r="809" spans="1:27" ht="15" customHeight="1">
      <c r="A809" s="54"/>
      <c r="B809" s="54"/>
      <c r="C809" s="60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5"/>
      <c r="Z809" s="55"/>
      <c r="AA809" s="55"/>
    </row>
    <row r="810" spans="1:27" ht="15" customHeight="1">
      <c r="A810" s="54"/>
      <c r="B810" s="54"/>
      <c r="C810" s="60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5"/>
      <c r="Z810" s="55"/>
      <c r="AA810" s="55"/>
    </row>
    <row r="811" spans="1:27" ht="15" customHeight="1">
      <c r="A811" s="54"/>
      <c r="B811" s="54"/>
      <c r="C811" s="60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5"/>
      <c r="Z811" s="55"/>
      <c r="AA811" s="55"/>
    </row>
    <row r="812" spans="1:27" ht="15" customHeight="1">
      <c r="A812" s="54"/>
      <c r="B812" s="54"/>
      <c r="C812" s="60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5"/>
      <c r="Z812" s="55"/>
      <c r="AA812" s="55"/>
    </row>
    <row r="813" spans="1:27" ht="15" customHeight="1">
      <c r="A813" s="54"/>
      <c r="B813" s="54"/>
      <c r="C813" s="60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5"/>
      <c r="Z813" s="55"/>
      <c r="AA813" s="55"/>
    </row>
    <row r="814" spans="1:27" ht="15" customHeight="1">
      <c r="A814" s="54"/>
      <c r="B814" s="54"/>
      <c r="C814" s="60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5"/>
      <c r="Z814" s="55"/>
      <c r="AA814" s="55"/>
    </row>
    <row r="815" spans="1:27" ht="15" customHeight="1">
      <c r="A815" s="54"/>
      <c r="B815" s="54"/>
      <c r="C815" s="60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5"/>
      <c r="Z815" s="55"/>
      <c r="AA815" s="55"/>
    </row>
    <row r="816" spans="1:27" ht="15" customHeight="1">
      <c r="A816" s="54"/>
      <c r="B816" s="54"/>
      <c r="C816" s="60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5"/>
      <c r="Z816" s="55"/>
      <c r="AA816" s="55"/>
    </row>
    <row r="817" spans="1:27" ht="15" customHeight="1">
      <c r="A817" s="54"/>
      <c r="B817" s="54"/>
      <c r="C817" s="60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5"/>
      <c r="Z817" s="55"/>
      <c r="AA817" s="55"/>
    </row>
    <row r="818" spans="1:27" ht="15" customHeight="1">
      <c r="A818" s="54"/>
      <c r="B818" s="54"/>
      <c r="C818" s="60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5"/>
      <c r="Z818" s="55"/>
      <c r="AA818" s="55"/>
    </row>
    <row r="819" spans="1:27" ht="15" customHeight="1">
      <c r="A819" s="54"/>
      <c r="B819" s="54"/>
      <c r="C819" s="60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5"/>
      <c r="Z819" s="55"/>
      <c r="AA819" s="55"/>
    </row>
    <row r="820" spans="1:27" ht="15" customHeight="1">
      <c r="A820" s="54"/>
      <c r="B820" s="54"/>
      <c r="C820" s="60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5"/>
      <c r="Z820" s="55"/>
      <c r="AA820" s="55"/>
    </row>
    <row r="821" spans="1:27" ht="15" customHeight="1">
      <c r="A821" s="54"/>
      <c r="B821" s="54"/>
      <c r="C821" s="60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5"/>
      <c r="Z821" s="55"/>
      <c r="AA821" s="55"/>
    </row>
    <row r="822" spans="1:27" ht="15" customHeight="1">
      <c r="A822" s="54"/>
      <c r="B822" s="54"/>
      <c r="C822" s="60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5"/>
      <c r="Z822" s="55"/>
      <c r="AA822" s="55"/>
    </row>
    <row r="823" spans="1:27" ht="15" customHeight="1">
      <c r="A823" s="54"/>
      <c r="B823" s="54"/>
      <c r="C823" s="60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5"/>
      <c r="Z823" s="55"/>
      <c r="AA823" s="55"/>
    </row>
    <row r="824" spans="1:27" ht="15" customHeight="1">
      <c r="A824" s="54"/>
      <c r="B824" s="54"/>
      <c r="C824" s="60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5"/>
      <c r="Z824" s="55"/>
      <c r="AA824" s="55"/>
    </row>
    <row r="825" spans="1:27" ht="15" customHeight="1">
      <c r="A825" s="54"/>
      <c r="B825" s="54"/>
      <c r="C825" s="60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5"/>
      <c r="Z825" s="55"/>
      <c r="AA825" s="55"/>
    </row>
    <row r="826" spans="1:27" ht="15" customHeight="1">
      <c r="A826" s="54"/>
      <c r="B826" s="54"/>
      <c r="C826" s="60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5"/>
      <c r="Z826" s="55"/>
      <c r="AA826" s="55"/>
    </row>
    <row r="827" spans="1:27" ht="15" customHeight="1">
      <c r="A827" s="54"/>
      <c r="B827" s="54"/>
      <c r="C827" s="60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5"/>
      <c r="Z827" s="55"/>
      <c r="AA827" s="55"/>
    </row>
    <row r="828" spans="1:27" ht="15" customHeight="1">
      <c r="A828" s="54"/>
      <c r="B828" s="54"/>
      <c r="C828" s="60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5"/>
      <c r="Z828" s="55"/>
      <c r="AA828" s="55"/>
    </row>
    <row r="829" spans="1:27" ht="15" customHeight="1">
      <c r="A829" s="54"/>
      <c r="B829" s="54"/>
      <c r="C829" s="60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5"/>
      <c r="Z829" s="55"/>
      <c r="AA829" s="55"/>
    </row>
    <row r="830" spans="1:27" ht="15" customHeight="1">
      <c r="A830" s="54"/>
      <c r="B830" s="54"/>
      <c r="C830" s="60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5"/>
      <c r="Z830" s="55"/>
      <c r="AA830" s="55"/>
    </row>
    <row r="831" spans="1:27" ht="15" customHeight="1">
      <c r="A831" s="54"/>
      <c r="B831" s="54"/>
      <c r="C831" s="60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5"/>
      <c r="Z831" s="55"/>
      <c r="AA831" s="55"/>
    </row>
    <row r="832" spans="1:27" ht="15" customHeight="1">
      <c r="A832" s="54"/>
      <c r="B832" s="54"/>
      <c r="C832" s="60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5"/>
      <c r="Z832" s="55"/>
      <c r="AA832" s="55"/>
    </row>
    <row r="833" spans="1:27" ht="15" customHeight="1">
      <c r="A833" s="54"/>
      <c r="B833" s="54"/>
      <c r="C833" s="60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5"/>
      <c r="Z833" s="55"/>
      <c r="AA833" s="55"/>
    </row>
    <row r="834" spans="1:27" ht="15" customHeight="1">
      <c r="A834" s="54"/>
      <c r="B834" s="54"/>
      <c r="C834" s="60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5"/>
      <c r="Z834" s="55"/>
      <c r="AA834" s="55"/>
    </row>
    <row r="835" spans="1:27" ht="15" customHeight="1">
      <c r="A835" s="54"/>
      <c r="B835" s="54"/>
      <c r="C835" s="60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5"/>
      <c r="Z835" s="55"/>
      <c r="AA835" s="55"/>
    </row>
    <row r="836" spans="1:27" ht="15" customHeight="1">
      <c r="A836" s="54"/>
      <c r="B836" s="54"/>
      <c r="C836" s="60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5"/>
      <c r="Z836" s="55"/>
      <c r="AA836" s="55"/>
    </row>
    <row r="837" spans="1:27" ht="15" customHeight="1">
      <c r="A837" s="54"/>
      <c r="B837" s="54"/>
      <c r="C837" s="60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5"/>
      <c r="Z837" s="55"/>
      <c r="AA837" s="55"/>
    </row>
    <row r="838" spans="1:27" ht="15" customHeight="1">
      <c r="A838" s="54"/>
      <c r="B838" s="54"/>
      <c r="C838" s="60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5"/>
      <c r="Z838" s="55"/>
      <c r="AA838" s="55"/>
    </row>
    <row r="839" spans="1:27" ht="15" customHeight="1">
      <c r="A839" s="54"/>
      <c r="B839" s="54"/>
      <c r="C839" s="60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5"/>
      <c r="Z839" s="55"/>
      <c r="AA839" s="55"/>
    </row>
    <row r="840" spans="1:27" ht="15" customHeight="1">
      <c r="A840" s="54"/>
      <c r="B840" s="54"/>
      <c r="C840" s="60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5"/>
      <c r="Z840" s="55"/>
      <c r="AA840" s="55"/>
    </row>
    <row r="841" spans="1:27" ht="15" customHeight="1">
      <c r="A841" s="54"/>
      <c r="B841" s="54"/>
      <c r="C841" s="60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5"/>
      <c r="Z841" s="55"/>
      <c r="AA841" s="55"/>
    </row>
    <row r="842" spans="1:27" ht="15" customHeight="1">
      <c r="A842" s="54"/>
      <c r="B842" s="54"/>
      <c r="C842" s="60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5"/>
      <c r="Z842" s="55"/>
      <c r="AA842" s="55"/>
    </row>
    <row r="843" spans="1:27" ht="15" customHeight="1">
      <c r="A843" s="54"/>
      <c r="B843" s="54"/>
      <c r="C843" s="60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5"/>
      <c r="Z843" s="55"/>
      <c r="AA843" s="55"/>
    </row>
    <row r="844" spans="1:27" ht="15" customHeight="1">
      <c r="A844" s="54"/>
      <c r="B844" s="54"/>
      <c r="C844" s="60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5"/>
      <c r="Z844" s="55"/>
      <c r="AA844" s="55"/>
    </row>
    <row r="845" spans="1:27" ht="15" customHeight="1">
      <c r="A845" s="54"/>
      <c r="B845" s="54"/>
      <c r="C845" s="60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5"/>
      <c r="Z845" s="55"/>
      <c r="AA845" s="55"/>
    </row>
    <row r="846" spans="1:27" ht="15" customHeight="1">
      <c r="A846" s="54"/>
      <c r="B846" s="54"/>
      <c r="C846" s="60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5"/>
      <c r="Z846" s="55"/>
      <c r="AA846" s="55"/>
    </row>
    <row r="847" spans="1:27" ht="15" customHeight="1">
      <c r="A847" s="54"/>
      <c r="B847" s="54"/>
      <c r="C847" s="60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5"/>
      <c r="Z847" s="55"/>
      <c r="AA847" s="55"/>
    </row>
    <row r="848" spans="1:27" ht="15" customHeight="1">
      <c r="A848" s="54"/>
      <c r="B848" s="54"/>
      <c r="C848" s="60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5"/>
      <c r="Z848" s="55"/>
      <c r="AA848" s="55"/>
    </row>
    <row r="849" spans="1:27" ht="15" customHeight="1">
      <c r="A849" s="54"/>
      <c r="B849" s="54"/>
      <c r="C849" s="60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5"/>
      <c r="Z849" s="55"/>
      <c r="AA849" s="55"/>
    </row>
    <row r="850" spans="1:27" ht="15" customHeight="1">
      <c r="A850" s="54"/>
      <c r="B850" s="54"/>
      <c r="C850" s="60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5"/>
      <c r="Z850" s="55"/>
      <c r="AA850" s="55"/>
    </row>
    <row r="851" spans="1:27" ht="15" customHeight="1">
      <c r="A851" s="54"/>
      <c r="B851" s="54"/>
      <c r="C851" s="60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5"/>
      <c r="Z851" s="55"/>
      <c r="AA851" s="55"/>
    </row>
    <row r="852" spans="1:27" ht="15" customHeight="1">
      <c r="A852" s="54"/>
      <c r="B852" s="54"/>
      <c r="C852" s="60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5"/>
      <c r="Z852" s="55"/>
      <c r="AA852" s="55"/>
    </row>
    <row r="853" spans="1:27" ht="15" customHeight="1">
      <c r="A853" s="54"/>
      <c r="B853" s="54"/>
      <c r="C853" s="60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5"/>
      <c r="Z853" s="55"/>
      <c r="AA853" s="55"/>
    </row>
    <row r="854" spans="1:27" ht="15" customHeight="1">
      <c r="A854" s="54"/>
      <c r="B854" s="54"/>
      <c r="C854" s="60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5"/>
      <c r="Z854" s="55"/>
      <c r="AA854" s="55"/>
    </row>
    <row r="855" spans="1:27" ht="15" customHeight="1">
      <c r="A855" s="54"/>
      <c r="B855" s="54"/>
      <c r="C855" s="60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5"/>
      <c r="Z855" s="55"/>
      <c r="AA855" s="55"/>
    </row>
    <row r="856" spans="1:27" ht="15" customHeight="1">
      <c r="A856" s="54"/>
      <c r="B856" s="54"/>
      <c r="C856" s="60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5"/>
      <c r="Z856" s="55"/>
      <c r="AA856" s="55"/>
    </row>
    <row r="857" spans="1:27" ht="15" customHeight="1">
      <c r="A857" s="54"/>
      <c r="B857" s="54"/>
      <c r="C857" s="60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5"/>
      <c r="Z857" s="55"/>
      <c r="AA857" s="55"/>
    </row>
    <row r="858" spans="1:27" ht="15" customHeight="1">
      <c r="A858" s="54"/>
      <c r="B858" s="54"/>
      <c r="C858" s="60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5"/>
      <c r="Z858" s="55"/>
      <c r="AA858" s="55"/>
    </row>
    <row r="859" spans="1:27" ht="15" customHeight="1">
      <c r="A859" s="54"/>
      <c r="B859" s="54"/>
      <c r="C859" s="60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5"/>
      <c r="Z859" s="55"/>
      <c r="AA859" s="55"/>
    </row>
    <row r="860" spans="1:27" ht="15" customHeight="1">
      <c r="A860" s="54"/>
      <c r="B860" s="54"/>
      <c r="C860" s="60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5"/>
      <c r="Z860" s="55"/>
      <c r="AA860" s="55"/>
    </row>
    <row r="861" spans="1:27" ht="15" customHeight="1">
      <c r="A861" s="54"/>
      <c r="B861" s="54"/>
      <c r="C861" s="60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5"/>
      <c r="Z861" s="55"/>
      <c r="AA861" s="55"/>
    </row>
    <row r="862" spans="1:27" ht="15" customHeight="1">
      <c r="A862" s="54"/>
      <c r="B862" s="54"/>
      <c r="C862" s="60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5"/>
      <c r="Z862" s="55"/>
      <c r="AA862" s="55"/>
    </row>
    <row r="863" spans="1:27" ht="15" customHeight="1">
      <c r="A863" s="54"/>
      <c r="B863" s="54"/>
      <c r="C863" s="60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5"/>
      <c r="Z863" s="55"/>
      <c r="AA863" s="55"/>
    </row>
    <row r="864" spans="1:27" ht="15" customHeight="1">
      <c r="A864" s="54"/>
      <c r="B864" s="54"/>
      <c r="C864" s="60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5"/>
      <c r="Z864" s="55"/>
      <c r="AA864" s="55"/>
    </row>
    <row r="865" spans="1:27" ht="15" customHeight="1">
      <c r="A865" s="54"/>
      <c r="B865" s="54"/>
      <c r="C865" s="60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5"/>
      <c r="Z865" s="55"/>
      <c r="AA865" s="55"/>
    </row>
    <row r="866" spans="1:27" ht="15" customHeight="1">
      <c r="A866" s="54"/>
      <c r="B866" s="54"/>
      <c r="C866" s="60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5"/>
      <c r="Z866" s="55"/>
      <c r="AA866" s="55"/>
    </row>
    <row r="867" spans="1:27" ht="15" customHeight="1">
      <c r="A867" s="54"/>
      <c r="B867" s="54"/>
      <c r="C867" s="60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5"/>
      <c r="Z867" s="55"/>
      <c r="AA867" s="55"/>
    </row>
    <row r="868" spans="1:27" ht="15" customHeight="1">
      <c r="A868" s="54"/>
      <c r="B868" s="54"/>
      <c r="C868" s="60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5"/>
      <c r="Z868" s="55"/>
      <c r="AA868" s="55"/>
    </row>
    <row r="869" spans="1:27" ht="15" customHeight="1">
      <c r="A869" s="54"/>
      <c r="B869" s="54"/>
      <c r="C869" s="60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5"/>
      <c r="Z869" s="55"/>
      <c r="AA869" s="55"/>
    </row>
    <row r="870" spans="1:27" ht="15" customHeight="1">
      <c r="A870" s="54"/>
      <c r="B870" s="54"/>
      <c r="C870" s="60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5"/>
      <c r="Z870" s="55"/>
      <c r="AA870" s="55"/>
    </row>
    <row r="871" spans="1:27" ht="15" customHeight="1">
      <c r="A871" s="54"/>
      <c r="B871" s="54"/>
      <c r="C871" s="60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5"/>
      <c r="Z871" s="55"/>
      <c r="AA871" s="55"/>
    </row>
    <row r="872" spans="1:27" ht="15" customHeight="1">
      <c r="A872" s="54"/>
      <c r="B872" s="54"/>
      <c r="C872" s="60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5"/>
      <c r="Z872" s="55"/>
      <c r="AA872" s="55"/>
    </row>
    <row r="873" spans="1:27" ht="15" customHeight="1">
      <c r="A873" s="54"/>
      <c r="B873" s="54"/>
      <c r="C873" s="60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5"/>
      <c r="Z873" s="55"/>
      <c r="AA873" s="55"/>
    </row>
    <row r="874" spans="1:27" ht="15" customHeight="1">
      <c r="A874" s="54"/>
      <c r="B874" s="54"/>
      <c r="C874" s="60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5"/>
      <c r="Z874" s="55"/>
      <c r="AA874" s="55"/>
    </row>
    <row r="875" spans="1:27" ht="15" customHeight="1">
      <c r="A875" s="54"/>
      <c r="B875" s="54"/>
      <c r="C875" s="60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5"/>
      <c r="Z875" s="55"/>
      <c r="AA875" s="55"/>
    </row>
    <row r="876" spans="1:27" ht="15" customHeight="1">
      <c r="A876" s="54"/>
      <c r="B876" s="54"/>
      <c r="C876" s="60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5"/>
      <c r="Z876" s="55"/>
      <c r="AA876" s="55"/>
    </row>
    <row r="877" spans="1:27" ht="15" customHeight="1">
      <c r="A877" s="54"/>
      <c r="B877" s="54"/>
      <c r="C877" s="60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5"/>
      <c r="Z877" s="55"/>
      <c r="AA877" s="55"/>
    </row>
    <row r="878" spans="1:27" ht="15" customHeight="1">
      <c r="A878" s="54"/>
      <c r="B878" s="54"/>
      <c r="C878" s="60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5"/>
      <c r="Z878" s="55"/>
      <c r="AA878" s="55"/>
    </row>
    <row r="879" spans="1:27" ht="15" customHeight="1">
      <c r="A879" s="54"/>
      <c r="B879" s="54"/>
      <c r="C879" s="60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5"/>
      <c r="Z879" s="55"/>
      <c r="AA879" s="55"/>
    </row>
    <row r="880" spans="1:27" ht="15" customHeight="1">
      <c r="A880" s="54"/>
      <c r="B880" s="54"/>
      <c r="C880" s="60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5"/>
      <c r="Z880" s="55"/>
      <c r="AA880" s="55"/>
    </row>
    <row r="881" spans="1:27" ht="15" customHeight="1">
      <c r="A881" s="54"/>
      <c r="B881" s="54"/>
      <c r="C881" s="60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5"/>
      <c r="Z881" s="55"/>
      <c r="AA881" s="55"/>
    </row>
    <row r="882" spans="1:27" ht="15" customHeight="1">
      <c r="A882" s="54"/>
      <c r="B882" s="54"/>
      <c r="C882" s="60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5"/>
      <c r="Z882" s="55"/>
      <c r="AA882" s="55"/>
    </row>
    <row r="883" spans="1:27" ht="15" customHeight="1">
      <c r="A883" s="54"/>
      <c r="B883" s="54"/>
      <c r="C883" s="60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5"/>
      <c r="Z883" s="55"/>
      <c r="AA883" s="55"/>
    </row>
    <row r="884" spans="1:27" ht="15" customHeight="1">
      <c r="A884" s="54"/>
      <c r="B884" s="54"/>
      <c r="C884" s="60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5"/>
      <c r="Z884" s="55"/>
      <c r="AA884" s="55"/>
    </row>
    <row r="885" spans="1:27" ht="15" customHeight="1">
      <c r="A885" s="54"/>
      <c r="B885" s="54"/>
      <c r="C885" s="60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5"/>
      <c r="Z885" s="55"/>
      <c r="AA885" s="55"/>
    </row>
    <row r="886" spans="1:27" ht="15" customHeight="1">
      <c r="A886" s="54"/>
      <c r="B886" s="54"/>
      <c r="C886" s="60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5"/>
      <c r="Z886" s="55"/>
      <c r="AA886" s="55"/>
    </row>
    <row r="887" spans="1:27" ht="15" customHeight="1">
      <c r="A887" s="54"/>
      <c r="B887" s="54"/>
      <c r="C887" s="60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5"/>
      <c r="Z887" s="55"/>
      <c r="AA887" s="55"/>
    </row>
    <row r="888" spans="1:27" ht="15" customHeight="1">
      <c r="A888" s="54"/>
      <c r="B888" s="54"/>
      <c r="C888" s="60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5"/>
      <c r="Z888" s="55"/>
      <c r="AA888" s="55"/>
    </row>
    <row r="889" spans="1:27" ht="15" customHeight="1">
      <c r="A889" s="54"/>
      <c r="B889" s="54"/>
      <c r="C889" s="60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5"/>
      <c r="Z889" s="55"/>
      <c r="AA889" s="55"/>
    </row>
    <row r="890" spans="1:27" ht="15" customHeight="1">
      <c r="A890" s="54"/>
      <c r="B890" s="54"/>
      <c r="C890" s="60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5"/>
      <c r="Z890" s="55"/>
      <c r="AA890" s="55"/>
    </row>
    <row r="891" spans="1:27" ht="15" customHeight="1">
      <c r="A891" s="54"/>
      <c r="B891" s="54"/>
      <c r="C891" s="60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5"/>
      <c r="Z891" s="55"/>
      <c r="AA891" s="55"/>
    </row>
    <row r="892" spans="1:27" ht="15" customHeight="1">
      <c r="A892" s="54"/>
      <c r="B892" s="54"/>
      <c r="C892" s="60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5"/>
      <c r="Z892" s="55"/>
      <c r="AA892" s="55"/>
    </row>
    <row r="893" spans="1:27" ht="15" customHeight="1">
      <c r="A893" s="54"/>
      <c r="B893" s="54"/>
      <c r="C893" s="60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5"/>
      <c r="Z893" s="55"/>
      <c r="AA893" s="55"/>
    </row>
    <row r="894" spans="1:27" ht="15" customHeight="1">
      <c r="A894" s="54"/>
      <c r="B894" s="54"/>
      <c r="C894" s="60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5"/>
      <c r="Z894" s="55"/>
      <c r="AA894" s="55"/>
    </row>
    <row r="895" spans="1:27" ht="15" customHeight="1">
      <c r="A895" s="54"/>
      <c r="B895" s="54"/>
      <c r="C895" s="60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5"/>
      <c r="Z895" s="55"/>
      <c r="AA895" s="55"/>
    </row>
    <row r="896" spans="1:27" ht="15" customHeight="1">
      <c r="A896" s="54"/>
      <c r="B896" s="54"/>
      <c r="C896" s="60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5"/>
      <c r="Z896" s="55"/>
      <c r="AA896" s="55"/>
    </row>
    <row r="897" spans="1:27" ht="15" customHeight="1">
      <c r="A897" s="54"/>
      <c r="B897" s="54"/>
      <c r="C897" s="60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5"/>
      <c r="Z897" s="55"/>
      <c r="AA897" s="55"/>
    </row>
    <row r="898" spans="1:27" ht="15" customHeight="1">
      <c r="A898" s="54"/>
      <c r="B898" s="54"/>
      <c r="C898" s="60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5"/>
      <c r="Z898" s="55"/>
      <c r="AA898" s="55"/>
    </row>
    <row r="899" spans="1:27" ht="15" customHeight="1">
      <c r="A899" s="54"/>
      <c r="B899" s="54"/>
      <c r="C899" s="60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5"/>
      <c r="Z899" s="55"/>
      <c r="AA899" s="55"/>
    </row>
    <row r="900" spans="1:27" ht="15" customHeight="1">
      <c r="A900" s="54"/>
      <c r="B900" s="54"/>
      <c r="C900" s="60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5"/>
      <c r="Z900" s="55"/>
      <c r="AA900" s="55"/>
    </row>
    <row r="901" spans="1:27" ht="15" customHeight="1">
      <c r="A901" s="54"/>
      <c r="B901" s="54"/>
      <c r="C901" s="60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5"/>
      <c r="Z901" s="55"/>
      <c r="AA901" s="55"/>
    </row>
    <row r="902" spans="1:27" ht="15" customHeight="1">
      <c r="A902" s="54"/>
      <c r="B902" s="54"/>
      <c r="C902" s="60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5"/>
      <c r="Z902" s="55"/>
      <c r="AA902" s="55"/>
    </row>
    <row r="903" spans="1:27" ht="15" customHeight="1">
      <c r="A903" s="54"/>
      <c r="B903" s="54"/>
      <c r="C903" s="60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5"/>
      <c r="Z903" s="55"/>
      <c r="AA903" s="55"/>
    </row>
    <row r="904" spans="1:27" ht="15" customHeight="1">
      <c r="A904" s="54"/>
      <c r="B904" s="54"/>
      <c r="C904" s="60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5"/>
      <c r="Z904" s="55"/>
      <c r="AA904" s="55"/>
    </row>
    <row r="905" spans="1:27" ht="15" customHeight="1">
      <c r="A905" s="54"/>
      <c r="B905" s="54"/>
      <c r="C905" s="60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5"/>
      <c r="Z905" s="55"/>
      <c r="AA905" s="55"/>
    </row>
    <row r="906" spans="1:27" ht="15" customHeight="1">
      <c r="A906" s="54"/>
      <c r="B906" s="54"/>
      <c r="C906" s="60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5"/>
      <c r="Z906" s="55"/>
      <c r="AA906" s="55"/>
    </row>
    <row r="907" spans="1:27" ht="15" customHeight="1">
      <c r="A907" s="54"/>
      <c r="B907" s="54"/>
      <c r="C907" s="60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5"/>
      <c r="Z907" s="55"/>
      <c r="AA907" s="55"/>
    </row>
    <row r="908" spans="1:27" ht="15" customHeight="1">
      <c r="A908" s="54"/>
      <c r="B908" s="54"/>
      <c r="C908" s="60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5"/>
      <c r="Z908" s="55"/>
      <c r="AA908" s="55"/>
    </row>
    <row r="909" spans="1:27" ht="15" customHeight="1">
      <c r="A909" s="54"/>
      <c r="B909" s="54"/>
      <c r="C909" s="60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5"/>
      <c r="Z909" s="55"/>
      <c r="AA909" s="55"/>
    </row>
    <row r="910" spans="1:27" ht="15" customHeight="1">
      <c r="A910" s="54"/>
      <c r="B910" s="54"/>
      <c r="C910" s="60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5"/>
      <c r="Z910" s="55"/>
      <c r="AA910" s="55"/>
    </row>
    <row r="911" spans="1:27" ht="15" customHeight="1">
      <c r="A911" s="54"/>
      <c r="B911" s="54"/>
      <c r="C911" s="60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5"/>
      <c r="Z911" s="55"/>
      <c r="AA911" s="55"/>
    </row>
    <row r="912" spans="1:27" ht="15" customHeight="1">
      <c r="A912" s="54"/>
      <c r="B912" s="54"/>
      <c r="C912" s="60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5"/>
      <c r="Z912" s="55"/>
      <c r="AA912" s="55"/>
    </row>
    <row r="913" spans="1:27" ht="15" customHeight="1">
      <c r="A913" s="54"/>
      <c r="B913" s="54"/>
      <c r="C913" s="60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5"/>
      <c r="Z913" s="55"/>
      <c r="AA913" s="55"/>
    </row>
    <row r="914" spans="1:27" ht="15" customHeight="1">
      <c r="A914" s="54"/>
      <c r="B914" s="54"/>
      <c r="C914" s="60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5"/>
      <c r="Z914" s="55"/>
      <c r="AA914" s="55"/>
    </row>
    <row r="915" spans="1:27" ht="15" customHeight="1">
      <c r="A915" s="54"/>
      <c r="B915" s="54"/>
      <c r="C915" s="60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5"/>
      <c r="Z915" s="55"/>
      <c r="AA915" s="55"/>
    </row>
    <row r="916" spans="1:27" ht="15" customHeight="1">
      <c r="A916" s="54"/>
      <c r="B916" s="54"/>
      <c r="C916" s="60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5"/>
      <c r="Z916" s="55"/>
      <c r="AA916" s="55"/>
    </row>
    <row r="917" spans="1:27" ht="15" customHeight="1">
      <c r="A917" s="54"/>
      <c r="B917" s="54"/>
      <c r="C917" s="60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5"/>
      <c r="Z917" s="55"/>
      <c r="AA917" s="55"/>
    </row>
    <row r="918" spans="1:27" ht="15" customHeight="1">
      <c r="A918" s="54"/>
      <c r="B918" s="54"/>
      <c r="C918" s="60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5"/>
      <c r="Z918" s="55"/>
      <c r="AA918" s="55"/>
    </row>
    <row r="919" spans="1:27" ht="15" customHeight="1">
      <c r="A919" s="54"/>
      <c r="B919" s="54"/>
      <c r="C919" s="60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5"/>
      <c r="Z919" s="55"/>
      <c r="AA919" s="55"/>
    </row>
    <row r="920" spans="1:27" ht="15" customHeight="1">
      <c r="A920" s="54"/>
      <c r="B920" s="54"/>
      <c r="C920" s="60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5"/>
      <c r="Z920" s="55"/>
      <c r="AA920" s="55"/>
    </row>
    <row r="921" spans="1:27" ht="15" customHeight="1">
      <c r="A921" s="54"/>
      <c r="B921" s="54"/>
      <c r="C921" s="60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5"/>
      <c r="Z921" s="55"/>
      <c r="AA921" s="55"/>
    </row>
    <row r="922" spans="1:27" ht="15" customHeight="1">
      <c r="A922" s="54"/>
      <c r="B922" s="54"/>
      <c r="C922" s="60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5"/>
      <c r="Z922" s="55"/>
      <c r="AA922" s="55"/>
    </row>
    <row r="923" spans="1:27" ht="15" customHeight="1">
      <c r="A923" s="54"/>
      <c r="B923" s="54"/>
      <c r="C923" s="60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5"/>
      <c r="Z923" s="55"/>
      <c r="AA923" s="55"/>
    </row>
    <row r="924" spans="1:27" ht="15" customHeight="1">
      <c r="A924" s="54"/>
      <c r="B924" s="54"/>
      <c r="C924" s="60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5"/>
      <c r="Z924" s="55"/>
      <c r="AA924" s="55"/>
    </row>
    <row r="925" spans="1:27" ht="15" customHeight="1">
      <c r="A925" s="54"/>
      <c r="B925" s="54"/>
      <c r="C925" s="60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5"/>
      <c r="Z925" s="55"/>
      <c r="AA925" s="55"/>
    </row>
    <row r="926" spans="1:27" ht="15" customHeight="1">
      <c r="A926" s="54"/>
      <c r="B926" s="54"/>
      <c r="C926" s="60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5"/>
      <c r="Z926" s="55"/>
      <c r="AA926" s="55"/>
    </row>
    <row r="927" spans="1:27" ht="15" customHeight="1">
      <c r="A927" s="54"/>
      <c r="B927" s="54"/>
      <c r="C927" s="60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5"/>
      <c r="Z927" s="55"/>
      <c r="AA927" s="55"/>
    </row>
    <row r="928" spans="1:27" ht="15" customHeight="1">
      <c r="A928" s="54"/>
      <c r="B928" s="54"/>
      <c r="C928" s="60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5"/>
      <c r="Z928" s="55"/>
      <c r="AA928" s="55"/>
    </row>
    <row r="929" spans="1:27" ht="15" customHeight="1">
      <c r="A929" s="54"/>
      <c r="B929" s="54"/>
      <c r="C929" s="60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5"/>
      <c r="Z929" s="55"/>
      <c r="AA929" s="55"/>
    </row>
    <row r="930" spans="1:27" ht="15" customHeight="1">
      <c r="A930" s="54"/>
      <c r="B930" s="54"/>
      <c r="C930" s="60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5"/>
      <c r="Z930" s="55"/>
      <c r="AA930" s="55"/>
    </row>
    <row r="931" spans="1:27" ht="15" customHeight="1">
      <c r="A931" s="54"/>
      <c r="B931" s="54"/>
      <c r="C931" s="60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5"/>
      <c r="Z931" s="55"/>
      <c r="AA931" s="55"/>
    </row>
    <row r="932" spans="1:27" ht="15" customHeight="1">
      <c r="A932" s="54"/>
      <c r="B932" s="54"/>
      <c r="C932" s="60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5"/>
      <c r="Z932" s="55"/>
      <c r="AA932" s="55"/>
    </row>
    <row r="933" spans="1:27" ht="15" customHeight="1">
      <c r="A933" s="54"/>
      <c r="B933" s="54"/>
      <c r="C933" s="60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5"/>
      <c r="Z933" s="55"/>
      <c r="AA933" s="55"/>
    </row>
    <row r="934" spans="1:27" ht="15" customHeight="1">
      <c r="A934" s="54"/>
      <c r="B934" s="54"/>
      <c r="C934" s="60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5"/>
      <c r="Z934" s="55"/>
      <c r="AA934" s="55"/>
    </row>
    <row r="935" spans="1:27" ht="15" customHeight="1">
      <c r="A935" s="54"/>
      <c r="B935" s="54"/>
      <c r="C935" s="60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5"/>
      <c r="Z935" s="55"/>
      <c r="AA935" s="55"/>
    </row>
    <row r="936" spans="1:27" ht="15" customHeight="1">
      <c r="A936" s="54"/>
      <c r="B936" s="54"/>
      <c r="C936" s="60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5"/>
      <c r="Z936" s="55"/>
      <c r="AA936" s="55"/>
    </row>
    <row r="937" spans="1:27" ht="15" customHeight="1">
      <c r="A937" s="54"/>
      <c r="B937" s="54"/>
      <c r="C937" s="60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5"/>
      <c r="Z937" s="55"/>
      <c r="AA937" s="55"/>
    </row>
    <row r="938" spans="1:27" ht="15" customHeight="1">
      <c r="A938" s="54"/>
      <c r="B938" s="54"/>
      <c r="C938" s="60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5"/>
      <c r="Z938" s="55"/>
      <c r="AA938" s="55"/>
    </row>
    <row r="939" spans="1:27" ht="15" customHeight="1">
      <c r="A939" s="54"/>
      <c r="B939" s="54"/>
      <c r="C939" s="60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5"/>
      <c r="Z939" s="55"/>
      <c r="AA939" s="55"/>
    </row>
    <row r="940" spans="1:27" ht="15" customHeight="1">
      <c r="A940" s="54"/>
      <c r="B940" s="54"/>
      <c r="C940" s="60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5"/>
      <c r="Z940" s="55"/>
      <c r="AA940" s="55"/>
    </row>
    <row r="941" spans="1:27" ht="15" customHeight="1">
      <c r="A941" s="54"/>
      <c r="B941" s="54"/>
      <c r="C941" s="60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5"/>
      <c r="Z941" s="55"/>
      <c r="AA941" s="55"/>
    </row>
    <row r="942" spans="1:27" ht="15" customHeight="1">
      <c r="A942" s="54"/>
      <c r="B942" s="54"/>
      <c r="C942" s="60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5"/>
      <c r="Z942" s="55"/>
      <c r="AA942" s="55"/>
    </row>
    <row r="943" spans="1:27" ht="15" customHeight="1">
      <c r="A943" s="54"/>
      <c r="B943" s="54"/>
      <c r="C943" s="60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5"/>
      <c r="Z943" s="55"/>
      <c r="AA943" s="55"/>
    </row>
    <row r="944" spans="1:27" ht="15" customHeight="1">
      <c r="A944" s="54"/>
      <c r="B944" s="54"/>
      <c r="C944" s="60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5"/>
      <c r="Z944" s="55"/>
      <c r="AA944" s="55"/>
    </row>
    <row r="945" spans="1:27" ht="15" customHeight="1">
      <c r="A945" s="54"/>
      <c r="B945" s="54"/>
      <c r="C945" s="60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5"/>
      <c r="Z945" s="55"/>
      <c r="AA945" s="55"/>
    </row>
    <row r="946" spans="1:27" ht="15" customHeight="1">
      <c r="A946" s="54"/>
      <c r="B946" s="54"/>
      <c r="C946" s="60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5"/>
      <c r="Z946" s="55"/>
      <c r="AA946" s="55"/>
    </row>
    <row r="947" spans="1:27" ht="15" customHeight="1">
      <c r="A947" s="54"/>
      <c r="B947" s="54"/>
      <c r="C947" s="60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5"/>
      <c r="Z947" s="55"/>
      <c r="AA947" s="55"/>
    </row>
    <row r="948" spans="1:27" ht="15" customHeight="1">
      <c r="A948" s="54"/>
      <c r="B948" s="54"/>
      <c r="C948" s="60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5"/>
      <c r="Z948" s="55"/>
      <c r="AA948" s="55"/>
    </row>
    <row r="949" spans="1:27" ht="15" customHeight="1">
      <c r="A949" s="54"/>
      <c r="B949" s="54"/>
      <c r="C949" s="60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5"/>
      <c r="Z949" s="55"/>
      <c r="AA949" s="55"/>
    </row>
    <row r="950" spans="1:27" ht="15" customHeight="1">
      <c r="A950" s="54"/>
      <c r="B950" s="54"/>
      <c r="C950" s="60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5"/>
      <c r="Z950" s="55"/>
      <c r="AA950" s="55"/>
    </row>
    <row r="951" spans="1:27" ht="15" customHeight="1">
      <c r="A951" s="54"/>
      <c r="B951" s="54"/>
      <c r="C951" s="60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5"/>
      <c r="Z951" s="55"/>
      <c r="AA951" s="55"/>
    </row>
    <row r="952" spans="1:27" ht="15" customHeight="1">
      <c r="A952" s="54"/>
      <c r="B952" s="54"/>
      <c r="C952" s="60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5"/>
      <c r="Z952" s="55"/>
      <c r="AA952" s="55"/>
    </row>
    <row r="953" spans="1:27" ht="15" customHeight="1">
      <c r="A953" s="54"/>
      <c r="B953" s="54"/>
      <c r="C953" s="60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5"/>
      <c r="Z953" s="55"/>
      <c r="AA953" s="55"/>
    </row>
    <row r="954" spans="1:27" ht="15" customHeight="1">
      <c r="A954" s="54"/>
      <c r="B954" s="54"/>
      <c r="C954" s="60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5"/>
      <c r="Z954" s="55"/>
      <c r="AA954" s="55"/>
    </row>
    <row r="955" spans="1:27" ht="15" customHeight="1">
      <c r="A955" s="54"/>
      <c r="B955" s="54"/>
      <c r="C955" s="60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5"/>
      <c r="Z955" s="55"/>
      <c r="AA955" s="55"/>
    </row>
    <row r="956" spans="1:27" ht="15" customHeight="1">
      <c r="A956" s="54"/>
      <c r="B956" s="54"/>
      <c r="C956" s="60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5"/>
      <c r="Z956" s="55"/>
      <c r="AA956" s="55"/>
    </row>
    <row r="957" spans="1:27" ht="15" customHeight="1">
      <c r="A957" s="54"/>
      <c r="B957" s="54"/>
      <c r="C957" s="60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5"/>
      <c r="Z957" s="55"/>
      <c r="AA957" s="55"/>
    </row>
    <row r="958" spans="1:27" ht="15" customHeight="1">
      <c r="A958" s="54"/>
      <c r="B958" s="54"/>
      <c r="C958" s="60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5"/>
      <c r="Z958" s="55"/>
      <c r="AA958" s="55"/>
    </row>
    <row r="959" spans="1:27" ht="15" customHeight="1">
      <c r="A959" s="54"/>
      <c r="B959" s="54"/>
      <c r="C959" s="60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5"/>
      <c r="Z959" s="55"/>
      <c r="AA959" s="55"/>
    </row>
    <row r="960" spans="1:27" ht="15" customHeight="1">
      <c r="A960" s="54"/>
      <c r="B960" s="54"/>
      <c r="C960" s="60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5"/>
      <c r="Z960" s="55"/>
      <c r="AA960" s="55"/>
    </row>
  </sheetData>
  <mergeCells count="6">
    <mergeCell ref="A122:H122"/>
    <mergeCell ref="A1:H1"/>
    <mergeCell ref="A3:B4"/>
    <mergeCell ref="C3:C4"/>
    <mergeCell ref="D3:H3"/>
    <mergeCell ref="C5:H5"/>
  </mergeCells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3"/>
  <sheetViews>
    <sheetView zoomScaleNormal="100" workbookViewId="0">
      <selection activeCell="E6" sqref="E6"/>
    </sheetView>
  </sheetViews>
  <sheetFormatPr defaultColWidth="13.125" defaultRowHeight="14.25"/>
  <cols>
    <col min="1" max="1" width="35.125" style="61" customWidth="1"/>
    <col min="2" max="2" width="52" customWidth="1"/>
    <col min="3" max="26" width="10.375" style="61" customWidth="1"/>
  </cols>
  <sheetData>
    <row r="1" spans="1:2">
      <c r="A1" s="162" t="s">
        <v>68</v>
      </c>
      <c r="B1" s="163"/>
    </row>
    <row r="2" spans="1:2">
      <c r="A2" s="124" t="s">
        <v>69</v>
      </c>
      <c r="B2" s="125" t="s">
        <v>70</v>
      </c>
    </row>
    <row r="3" spans="1:2">
      <c r="A3" s="126" t="s">
        <v>71</v>
      </c>
      <c r="B3" s="127" t="s">
        <v>72</v>
      </c>
    </row>
    <row r="4" spans="1:2">
      <c r="A4" s="126" t="s">
        <v>73</v>
      </c>
      <c r="B4" s="127" t="s">
        <v>74</v>
      </c>
    </row>
    <row r="5" spans="1:2">
      <c r="A5" s="128" t="s">
        <v>75</v>
      </c>
      <c r="B5" s="129" t="s">
        <v>76</v>
      </c>
    </row>
    <row r="6" spans="1:2" ht="23.25" customHeight="1">
      <c r="A6" s="130" t="s">
        <v>77</v>
      </c>
      <c r="B6" s="131" t="s">
        <v>78</v>
      </c>
    </row>
    <row r="7" spans="1:2">
      <c r="A7" s="130" t="s">
        <v>79</v>
      </c>
      <c r="B7" s="131" t="s">
        <v>80</v>
      </c>
    </row>
    <row r="8" spans="1:2">
      <c r="A8" s="132" t="s">
        <v>81</v>
      </c>
      <c r="B8" s="133" t="s">
        <v>82</v>
      </c>
    </row>
    <row r="9" spans="1:2">
      <c r="A9" s="134" t="s">
        <v>83</v>
      </c>
      <c r="B9" s="135" t="s">
        <v>15</v>
      </c>
    </row>
    <row r="10" spans="1:2" ht="23.25" customHeight="1">
      <c r="A10" s="136" t="s">
        <v>84</v>
      </c>
      <c r="B10" s="137" t="s">
        <v>85</v>
      </c>
    </row>
    <row r="11" spans="1:2">
      <c r="A11" s="136" t="s">
        <v>86</v>
      </c>
      <c r="B11" s="137" t="s">
        <v>87</v>
      </c>
    </row>
    <row r="12" spans="1:2">
      <c r="A12" s="138" t="s">
        <v>88</v>
      </c>
      <c r="B12" s="139" t="s">
        <v>89</v>
      </c>
    </row>
    <row r="13" spans="1:2">
      <c r="A13" s="134" t="s">
        <v>90</v>
      </c>
      <c r="B13" s="140" t="s">
        <v>91</v>
      </c>
    </row>
    <row r="14" spans="1:2" ht="39" customHeight="1">
      <c r="A14" s="136" t="s">
        <v>84</v>
      </c>
      <c r="B14" s="137" t="s">
        <v>92</v>
      </c>
    </row>
    <row r="15" spans="1:2">
      <c r="A15" s="136" t="s">
        <v>86</v>
      </c>
      <c r="B15" s="137" t="s">
        <v>87</v>
      </c>
    </row>
    <row r="16" spans="1:2">
      <c r="A16" s="138" t="s">
        <v>88</v>
      </c>
      <c r="B16" s="139" t="s">
        <v>89</v>
      </c>
    </row>
    <row r="17" spans="1:2">
      <c r="A17" s="134" t="s">
        <v>93</v>
      </c>
      <c r="B17" s="140" t="s">
        <v>94</v>
      </c>
    </row>
    <row r="18" spans="1:2" ht="47.25" customHeight="1">
      <c r="A18" s="136" t="s">
        <v>84</v>
      </c>
      <c r="B18" s="137" t="s">
        <v>95</v>
      </c>
    </row>
    <row r="19" spans="1:2">
      <c r="A19" s="136" t="s">
        <v>86</v>
      </c>
      <c r="B19" s="137" t="s">
        <v>87</v>
      </c>
    </row>
    <row r="20" spans="1:2">
      <c r="A20" s="138" t="s">
        <v>88</v>
      </c>
      <c r="B20" s="139" t="s">
        <v>89</v>
      </c>
    </row>
    <row r="21" spans="1:2">
      <c r="A21" s="134" t="s">
        <v>90</v>
      </c>
      <c r="B21" s="140" t="s">
        <v>53</v>
      </c>
    </row>
    <row r="22" spans="1:2" ht="45" customHeight="1">
      <c r="A22" s="136" t="s">
        <v>84</v>
      </c>
      <c r="B22" s="137" t="s">
        <v>96</v>
      </c>
    </row>
    <row r="23" spans="1:2" ht="15.75" customHeight="1">
      <c r="A23" s="136" t="s">
        <v>86</v>
      </c>
      <c r="B23" s="137" t="s">
        <v>87</v>
      </c>
    </row>
    <row r="24" spans="1:2" ht="15.75" customHeight="1">
      <c r="A24" s="138" t="s">
        <v>88</v>
      </c>
      <c r="B24" s="139" t="s">
        <v>89</v>
      </c>
    </row>
    <row r="25" spans="1:2" ht="15.75" customHeight="1">
      <c r="A25" s="134" t="s">
        <v>93</v>
      </c>
      <c r="B25" s="140" t="s">
        <v>97</v>
      </c>
    </row>
    <row r="26" spans="1:2" ht="46.5" customHeight="1">
      <c r="A26" s="136" t="s">
        <v>84</v>
      </c>
      <c r="B26" s="137" t="s">
        <v>98</v>
      </c>
    </row>
    <row r="27" spans="1:2" ht="15.75" customHeight="1">
      <c r="A27" s="136" t="s">
        <v>86</v>
      </c>
      <c r="B27" s="137" t="s">
        <v>87</v>
      </c>
    </row>
    <row r="28" spans="1:2" ht="15.75" customHeight="1">
      <c r="A28" s="138" t="s">
        <v>88</v>
      </c>
      <c r="B28" s="139" t="s">
        <v>89</v>
      </c>
    </row>
    <row r="29" spans="1:2" ht="15.75" customHeight="1">
      <c r="A29" s="134" t="s">
        <v>99</v>
      </c>
      <c r="B29" s="140" t="s">
        <v>100</v>
      </c>
    </row>
    <row r="30" spans="1:2" ht="47.25" customHeight="1">
      <c r="A30" s="136" t="s">
        <v>84</v>
      </c>
      <c r="B30" s="137" t="s">
        <v>101</v>
      </c>
    </row>
    <row r="31" spans="1:2" ht="15.75" customHeight="1">
      <c r="A31" s="136" t="s">
        <v>86</v>
      </c>
      <c r="B31" s="137" t="s">
        <v>87</v>
      </c>
    </row>
    <row r="32" spans="1:2" ht="15.75" customHeight="1">
      <c r="A32" s="138" t="s">
        <v>88</v>
      </c>
      <c r="B32" s="139" t="s">
        <v>89</v>
      </c>
    </row>
    <row r="33" spans="1:2" ht="15.75" customHeight="1">
      <c r="A33" s="141" t="s">
        <v>102</v>
      </c>
      <c r="B33" s="135" t="s">
        <v>103</v>
      </c>
    </row>
    <row r="34" spans="1:2" ht="15.75" customHeight="1">
      <c r="A34" s="142" t="s">
        <v>104</v>
      </c>
      <c r="B34" s="127" t="s">
        <v>103</v>
      </c>
    </row>
    <row r="35" spans="1:2" ht="34.5" customHeight="1">
      <c r="A35" s="143" t="s">
        <v>105</v>
      </c>
      <c r="B35" s="127" t="s">
        <v>106</v>
      </c>
    </row>
    <row r="36" spans="1:2" ht="24" customHeight="1">
      <c r="A36" s="142" t="s">
        <v>107</v>
      </c>
      <c r="B36" s="144" t="s">
        <v>108</v>
      </c>
    </row>
    <row r="37" spans="1:2" ht="15.75" customHeight="1">
      <c r="B37" s="61"/>
    </row>
    <row r="38" spans="1:2" ht="15.75" customHeight="1">
      <c r="B38" s="61"/>
    </row>
    <row r="39" spans="1:2" ht="15.75" customHeight="1">
      <c r="B39" s="61"/>
    </row>
    <row r="40" spans="1:2" ht="15.75" customHeight="1">
      <c r="B40" s="61"/>
    </row>
    <row r="41" spans="1:2" ht="15.75" customHeight="1">
      <c r="B41" s="61"/>
    </row>
    <row r="42" spans="1:2" ht="15.75" customHeight="1">
      <c r="B42" s="61"/>
    </row>
    <row r="43" spans="1:2" ht="15.75" customHeight="1">
      <c r="B43" s="61"/>
    </row>
    <row r="44" spans="1:2" ht="15.75" customHeight="1">
      <c r="B44" s="61"/>
    </row>
    <row r="45" spans="1:2" ht="15.75" customHeight="1">
      <c r="B45" s="61"/>
    </row>
    <row r="46" spans="1:2" ht="15.75" customHeight="1">
      <c r="B46" s="61"/>
    </row>
    <row r="47" spans="1:2" ht="15.75" customHeight="1">
      <c r="B47" s="61"/>
    </row>
    <row r="48" spans="1:2" ht="15.75" customHeight="1">
      <c r="B48" s="61"/>
    </row>
    <row r="49" spans="2:2" ht="15.75" customHeight="1">
      <c r="B49" s="61"/>
    </row>
    <row r="50" spans="2:2" ht="15.75" customHeight="1">
      <c r="B50" s="61"/>
    </row>
    <row r="51" spans="2:2" ht="15.75" customHeight="1">
      <c r="B51" s="61"/>
    </row>
    <row r="52" spans="2:2" ht="15.75" customHeight="1">
      <c r="B52" s="61"/>
    </row>
    <row r="53" spans="2:2" ht="15.75" customHeight="1">
      <c r="B53" s="61"/>
    </row>
    <row r="54" spans="2:2" ht="15.75" customHeight="1">
      <c r="B54" s="61"/>
    </row>
    <row r="55" spans="2:2" ht="15.75" customHeight="1">
      <c r="B55" s="61"/>
    </row>
    <row r="56" spans="2:2" ht="15.75" customHeight="1">
      <c r="B56" s="61"/>
    </row>
    <row r="57" spans="2:2" ht="15.75" customHeight="1">
      <c r="B57" s="61"/>
    </row>
    <row r="58" spans="2:2" ht="15.75" customHeight="1">
      <c r="B58" s="61"/>
    </row>
    <row r="59" spans="2:2" ht="15.75" customHeight="1">
      <c r="B59" s="61"/>
    </row>
    <row r="60" spans="2:2" ht="15.75" customHeight="1">
      <c r="B60" s="61"/>
    </row>
    <row r="61" spans="2:2" ht="15.75" customHeight="1">
      <c r="B61" s="61"/>
    </row>
    <row r="62" spans="2:2" ht="15.75" customHeight="1">
      <c r="B62" s="61"/>
    </row>
    <row r="63" spans="2:2" ht="15.75" customHeight="1">
      <c r="B63" s="61"/>
    </row>
    <row r="64" spans="2:2" ht="15.75" customHeight="1">
      <c r="B64" s="61"/>
    </row>
    <row r="65" spans="2:2" ht="15.75" customHeight="1">
      <c r="B65" s="61"/>
    </row>
    <row r="66" spans="2:2" ht="15.75" customHeight="1">
      <c r="B66" s="61"/>
    </row>
    <row r="67" spans="2:2" ht="15.75" customHeight="1">
      <c r="B67" s="61"/>
    </row>
    <row r="68" spans="2:2" ht="15.75" customHeight="1">
      <c r="B68" s="61"/>
    </row>
    <row r="69" spans="2:2" ht="15.75" customHeight="1">
      <c r="B69" s="61"/>
    </row>
    <row r="70" spans="2:2" ht="15.75" customHeight="1">
      <c r="B70" s="61"/>
    </row>
    <row r="71" spans="2:2" ht="15.75" customHeight="1">
      <c r="B71" s="61"/>
    </row>
    <row r="72" spans="2:2" ht="15.75" customHeight="1">
      <c r="B72" s="61"/>
    </row>
    <row r="73" spans="2:2" ht="15.75" customHeight="1">
      <c r="B73" s="61"/>
    </row>
    <row r="74" spans="2:2" ht="15.75" customHeight="1">
      <c r="B74" s="61"/>
    </row>
    <row r="75" spans="2:2" ht="15.75" customHeight="1">
      <c r="B75" s="61"/>
    </row>
    <row r="76" spans="2:2" ht="15.75" customHeight="1">
      <c r="B76" s="61"/>
    </row>
    <row r="77" spans="2:2" ht="15.75" customHeight="1">
      <c r="B77" s="61"/>
    </row>
    <row r="78" spans="2:2" ht="15.75" customHeight="1">
      <c r="B78" s="61"/>
    </row>
    <row r="79" spans="2:2" ht="15.75" customHeight="1">
      <c r="B79" s="61"/>
    </row>
    <row r="80" spans="2:2" ht="15.75" customHeight="1">
      <c r="B80" s="61"/>
    </row>
    <row r="81" spans="2:2" ht="15.75" customHeight="1">
      <c r="B81" s="61"/>
    </row>
    <row r="82" spans="2:2" ht="15.75" customHeight="1">
      <c r="B82" s="61"/>
    </row>
    <row r="83" spans="2:2" ht="15.75" customHeight="1">
      <c r="B83" s="61"/>
    </row>
    <row r="84" spans="2:2" ht="15.75" customHeight="1">
      <c r="B84" s="61"/>
    </row>
    <row r="85" spans="2:2" ht="15.75" customHeight="1">
      <c r="B85" s="61"/>
    </row>
    <row r="86" spans="2:2" ht="15.75" customHeight="1">
      <c r="B86" s="61"/>
    </row>
    <row r="87" spans="2:2" ht="15.75" customHeight="1">
      <c r="B87" s="61"/>
    </row>
    <row r="88" spans="2:2" ht="15.75" customHeight="1">
      <c r="B88" s="61"/>
    </row>
    <row r="89" spans="2:2" ht="15.75" customHeight="1">
      <c r="B89" s="61"/>
    </row>
    <row r="90" spans="2:2" ht="15.75" customHeight="1">
      <c r="B90" s="61"/>
    </row>
    <row r="91" spans="2:2" ht="15.75" customHeight="1">
      <c r="B91" s="61"/>
    </row>
    <row r="92" spans="2:2" ht="15.75" customHeight="1">
      <c r="B92" s="61"/>
    </row>
    <row r="93" spans="2:2" ht="15.75" customHeight="1">
      <c r="B93" s="61"/>
    </row>
    <row r="94" spans="2:2" ht="15.75" customHeight="1">
      <c r="B94" s="61"/>
    </row>
    <row r="95" spans="2:2" ht="15.75" customHeight="1">
      <c r="B95" s="61"/>
    </row>
    <row r="96" spans="2:2" ht="15.75" customHeight="1">
      <c r="B96" s="61"/>
    </row>
    <row r="97" spans="2:2" ht="15.75" customHeight="1">
      <c r="B97" s="61"/>
    </row>
    <row r="98" spans="2:2" ht="15.75" customHeight="1">
      <c r="B98" s="61"/>
    </row>
    <row r="99" spans="2:2" ht="15.75" customHeight="1">
      <c r="B99" s="61"/>
    </row>
    <row r="100" spans="2:2" ht="15.75" customHeight="1">
      <c r="B100" s="61"/>
    </row>
    <row r="101" spans="2:2" ht="15.75" customHeight="1">
      <c r="B101" s="61"/>
    </row>
    <row r="102" spans="2:2" ht="15.75" customHeight="1">
      <c r="B102" s="61"/>
    </row>
    <row r="103" spans="2:2" ht="15.75" customHeight="1">
      <c r="B103" s="61"/>
    </row>
    <row r="104" spans="2:2" ht="15.75" customHeight="1">
      <c r="B104" s="61"/>
    </row>
    <row r="105" spans="2:2" ht="15.75" customHeight="1">
      <c r="B105" s="61"/>
    </row>
    <row r="106" spans="2:2" ht="15.75" customHeight="1">
      <c r="B106" s="61"/>
    </row>
    <row r="107" spans="2:2" ht="15.75" customHeight="1">
      <c r="B107" s="61"/>
    </row>
    <row r="108" spans="2:2" ht="15.75" customHeight="1">
      <c r="B108" s="61"/>
    </row>
    <row r="109" spans="2:2" ht="15.75" customHeight="1">
      <c r="B109" s="61"/>
    </row>
    <row r="110" spans="2:2" ht="15.75" customHeight="1">
      <c r="B110" s="61"/>
    </row>
    <row r="111" spans="2:2" ht="15.75" customHeight="1">
      <c r="B111" s="61"/>
    </row>
    <row r="112" spans="2:2" ht="15.75" customHeight="1">
      <c r="B112" s="61"/>
    </row>
    <row r="113" spans="2:2" ht="15.75" customHeight="1">
      <c r="B113" s="61"/>
    </row>
    <row r="114" spans="2:2" ht="15.75" customHeight="1">
      <c r="B114" s="61"/>
    </row>
    <row r="115" spans="2:2" ht="15.75" customHeight="1">
      <c r="B115" s="61"/>
    </row>
    <row r="116" spans="2:2" ht="15.75" customHeight="1">
      <c r="B116" s="61"/>
    </row>
    <row r="117" spans="2:2" ht="15.75" customHeight="1">
      <c r="B117" s="61"/>
    </row>
    <row r="118" spans="2:2" ht="15.75" customHeight="1">
      <c r="B118" s="61"/>
    </row>
    <row r="119" spans="2:2" ht="15.75" customHeight="1">
      <c r="B119" s="61"/>
    </row>
    <row r="120" spans="2:2" ht="15.75" customHeight="1">
      <c r="B120" s="61"/>
    </row>
    <row r="121" spans="2:2" ht="15.75" customHeight="1">
      <c r="B121" s="61"/>
    </row>
    <row r="122" spans="2:2" ht="15.75" customHeight="1">
      <c r="B122" s="61"/>
    </row>
    <row r="123" spans="2:2" ht="15.75" customHeight="1">
      <c r="B123" s="61"/>
    </row>
    <row r="124" spans="2:2" ht="15.75" customHeight="1">
      <c r="B124" s="61"/>
    </row>
    <row r="125" spans="2:2" ht="15.75" customHeight="1">
      <c r="B125" s="61"/>
    </row>
    <row r="126" spans="2:2" ht="15.75" customHeight="1">
      <c r="B126" s="61"/>
    </row>
    <row r="127" spans="2:2" ht="15.75" customHeight="1">
      <c r="B127" s="61"/>
    </row>
    <row r="128" spans="2:2" ht="15.75" customHeight="1">
      <c r="B128" s="61"/>
    </row>
    <row r="129" spans="2:2" ht="15.75" customHeight="1">
      <c r="B129" s="61"/>
    </row>
    <row r="130" spans="2:2" ht="15.75" customHeight="1">
      <c r="B130" s="61"/>
    </row>
    <row r="131" spans="2:2" ht="15.75" customHeight="1">
      <c r="B131" s="61"/>
    </row>
    <row r="132" spans="2:2" ht="15.75" customHeight="1">
      <c r="B132" s="61"/>
    </row>
    <row r="133" spans="2:2" ht="15.75" customHeight="1">
      <c r="B133" s="61"/>
    </row>
    <row r="134" spans="2:2" ht="15.75" customHeight="1">
      <c r="B134" s="61"/>
    </row>
    <row r="135" spans="2:2" ht="15.75" customHeight="1">
      <c r="B135" s="61"/>
    </row>
    <row r="136" spans="2:2" ht="15.75" customHeight="1">
      <c r="B136" s="61"/>
    </row>
    <row r="137" spans="2:2" ht="15.75" customHeight="1">
      <c r="B137" s="61"/>
    </row>
    <row r="138" spans="2:2" ht="15.75" customHeight="1">
      <c r="B138" s="61"/>
    </row>
    <row r="139" spans="2:2" ht="15.75" customHeight="1">
      <c r="B139" s="61"/>
    </row>
    <row r="140" spans="2:2" ht="15.75" customHeight="1">
      <c r="B140" s="61"/>
    </row>
    <row r="141" spans="2:2" ht="15.75" customHeight="1">
      <c r="B141" s="61"/>
    </row>
    <row r="142" spans="2:2" ht="15.75" customHeight="1">
      <c r="B142" s="61"/>
    </row>
    <row r="143" spans="2:2" ht="15.75" customHeight="1">
      <c r="B143" s="61"/>
    </row>
    <row r="144" spans="2:2" ht="15.75" customHeight="1">
      <c r="B144" s="61"/>
    </row>
    <row r="145" spans="2:2" ht="15.75" customHeight="1">
      <c r="B145" s="61"/>
    </row>
    <row r="146" spans="2:2" ht="15.75" customHeight="1">
      <c r="B146" s="61"/>
    </row>
    <row r="147" spans="2:2" ht="15.75" customHeight="1">
      <c r="B147" s="61"/>
    </row>
    <row r="148" spans="2:2" ht="15.75" customHeight="1">
      <c r="B148" s="61"/>
    </row>
    <row r="149" spans="2:2" ht="15.75" customHeight="1">
      <c r="B149" s="61"/>
    </row>
    <row r="150" spans="2:2" ht="15.75" customHeight="1">
      <c r="B150" s="61"/>
    </row>
    <row r="151" spans="2:2" ht="15.75" customHeight="1">
      <c r="B151" s="61"/>
    </row>
    <row r="152" spans="2:2" ht="15.75" customHeight="1">
      <c r="B152" s="61"/>
    </row>
    <row r="153" spans="2:2" ht="15.75" customHeight="1">
      <c r="B153" s="61"/>
    </row>
    <row r="154" spans="2:2" ht="15.75" customHeight="1">
      <c r="B154" s="61"/>
    </row>
    <row r="155" spans="2:2" ht="15.75" customHeight="1">
      <c r="B155" s="61"/>
    </row>
    <row r="156" spans="2:2" ht="15.75" customHeight="1">
      <c r="B156" s="61"/>
    </row>
    <row r="157" spans="2:2" ht="15.75" customHeight="1">
      <c r="B157" s="61"/>
    </row>
    <row r="158" spans="2:2" ht="15.75" customHeight="1">
      <c r="B158" s="61"/>
    </row>
    <row r="159" spans="2:2" ht="15.75" customHeight="1">
      <c r="B159" s="61"/>
    </row>
    <row r="160" spans="2:2" ht="15.75" customHeight="1">
      <c r="B160" s="61"/>
    </row>
    <row r="161" spans="2:2" ht="15.75" customHeight="1">
      <c r="B161" s="61"/>
    </row>
    <row r="162" spans="2:2" ht="15.75" customHeight="1">
      <c r="B162" s="61"/>
    </row>
    <row r="163" spans="2:2" ht="15.75" customHeight="1">
      <c r="B163" s="61"/>
    </row>
    <row r="164" spans="2:2" ht="15.75" customHeight="1">
      <c r="B164" s="61"/>
    </row>
    <row r="165" spans="2:2" ht="15.75" customHeight="1">
      <c r="B165" s="61"/>
    </row>
    <row r="166" spans="2:2" ht="15.75" customHeight="1">
      <c r="B166" s="61"/>
    </row>
    <row r="167" spans="2:2" ht="15.75" customHeight="1">
      <c r="B167" s="61"/>
    </row>
    <row r="168" spans="2:2" ht="15.75" customHeight="1">
      <c r="B168" s="61"/>
    </row>
    <row r="169" spans="2:2" ht="15.75" customHeight="1">
      <c r="B169" s="61"/>
    </row>
    <row r="170" spans="2:2" ht="15.75" customHeight="1">
      <c r="B170" s="61"/>
    </row>
    <row r="171" spans="2:2" ht="15.75" customHeight="1">
      <c r="B171" s="61"/>
    </row>
    <row r="172" spans="2:2" ht="15.75" customHeight="1">
      <c r="B172" s="61"/>
    </row>
    <row r="173" spans="2:2" ht="15.75" customHeight="1">
      <c r="B173" s="61"/>
    </row>
    <row r="174" spans="2:2" ht="15.75" customHeight="1">
      <c r="B174" s="61"/>
    </row>
    <row r="175" spans="2:2" ht="15.75" customHeight="1">
      <c r="B175" s="61"/>
    </row>
    <row r="176" spans="2:2" ht="15.75" customHeight="1">
      <c r="B176" s="61"/>
    </row>
    <row r="177" spans="2:2" ht="15.75" customHeight="1">
      <c r="B177" s="61"/>
    </row>
    <row r="178" spans="2:2" ht="15.75" customHeight="1">
      <c r="B178" s="61"/>
    </row>
    <row r="179" spans="2:2" ht="15.75" customHeight="1">
      <c r="B179" s="61"/>
    </row>
    <row r="180" spans="2:2" ht="15.75" customHeight="1">
      <c r="B180" s="61"/>
    </row>
    <row r="181" spans="2:2" ht="15.75" customHeight="1">
      <c r="B181" s="61"/>
    </row>
    <row r="182" spans="2:2" ht="15.75" customHeight="1">
      <c r="B182" s="61"/>
    </row>
    <row r="183" spans="2:2" ht="15.75" customHeight="1">
      <c r="B183" s="61"/>
    </row>
    <row r="184" spans="2:2" ht="15.75" customHeight="1">
      <c r="B184" s="61"/>
    </row>
    <row r="185" spans="2:2" ht="15.75" customHeight="1">
      <c r="B185" s="61"/>
    </row>
    <row r="186" spans="2:2" ht="15.75" customHeight="1">
      <c r="B186" s="61"/>
    </row>
    <row r="187" spans="2:2" ht="15.75" customHeight="1">
      <c r="B187" s="61"/>
    </row>
    <row r="188" spans="2:2" ht="15.75" customHeight="1">
      <c r="B188" s="61"/>
    </row>
    <row r="189" spans="2:2" ht="15.75" customHeight="1">
      <c r="B189" s="61"/>
    </row>
    <row r="190" spans="2:2" ht="15.75" customHeight="1">
      <c r="B190" s="61"/>
    </row>
    <row r="191" spans="2:2" ht="15.75" customHeight="1">
      <c r="B191" s="61"/>
    </row>
    <row r="192" spans="2:2" ht="15.75" customHeight="1">
      <c r="B192" s="61"/>
    </row>
    <row r="193" spans="2:2" ht="15.75" customHeight="1">
      <c r="B193" s="61"/>
    </row>
    <row r="194" spans="2:2" ht="15.75" customHeight="1">
      <c r="B194" s="61"/>
    </row>
    <row r="195" spans="2:2" ht="15.75" customHeight="1">
      <c r="B195" s="61"/>
    </row>
    <row r="196" spans="2:2" ht="15.75" customHeight="1">
      <c r="B196" s="61"/>
    </row>
    <row r="197" spans="2:2" ht="15.75" customHeight="1">
      <c r="B197" s="61"/>
    </row>
    <row r="198" spans="2:2" ht="15.75" customHeight="1">
      <c r="B198" s="61"/>
    </row>
    <row r="199" spans="2:2" ht="15.75" customHeight="1">
      <c r="B199" s="61"/>
    </row>
    <row r="200" spans="2:2" ht="15.75" customHeight="1">
      <c r="B200" s="61"/>
    </row>
    <row r="201" spans="2:2" ht="15.75" customHeight="1">
      <c r="B201" s="61"/>
    </row>
    <row r="202" spans="2:2" ht="15.75" customHeight="1">
      <c r="B202" s="61"/>
    </row>
    <row r="203" spans="2:2" ht="15.75" customHeight="1">
      <c r="B203" s="61"/>
    </row>
    <row r="204" spans="2:2" ht="15.75" customHeight="1">
      <c r="B204" s="61"/>
    </row>
    <row r="205" spans="2:2" ht="15.75" customHeight="1">
      <c r="B205" s="61"/>
    </row>
    <row r="206" spans="2:2" ht="15.75" customHeight="1">
      <c r="B206" s="61"/>
    </row>
    <row r="207" spans="2:2" ht="15.75" customHeight="1">
      <c r="B207" s="61"/>
    </row>
    <row r="208" spans="2:2" ht="15.75" customHeight="1">
      <c r="B208" s="61"/>
    </row>
    <row r="209" spans="2:2" ht="15.75" customHeight="1">
      <c r="B209" s="61"/>
    </row>
    <row r="210" spans="2:2" ht="15.75" customHeight="1">
      <c r="B210" s="61"/>
    </row>
    <row r="211" spans="2:2" ht="15.75" customHeight="1">
      <c r="B211" s="61"/>
    </row>
    <row r="212" spans="2:2" ht="15.75" customHeight="1">
      <c r="B212" s="61"/>
    </row>
    <row r="213" spans="2:2" ht="15.75" customHeight="1">
      <c r="B213" s="61"/>
    </row>
    <row r="214" spans="2:2" ht="15.75" customHeight="1">
      <c r="B214" s="61"/>
    </row>
    <row r="215" spans="2:2" ht="15.75" customHeight="1">
      <c r="B215" s="61"/>
    </row>
    <row r="216" spans="2:2" ht="15.75" customHeight="1">
      <c r="B216" s="61"/>
    </row>
    <row r="217" spans="2:2" ht="15.75" customHeight="1">
      <c r="B217" s="61"/>
    </row>
    <row r="218" spans="2:2" ht="15.75" customHeight="1">
      <c r="B218" s="61"/>
    </row>
    <row r="219" spans="2:2" ht="15.75" customHeight="1">
      <c r="B219" s="61"/>
    </row>
    <row r="220" spans="2:2" ht="15.75" customHeight="1">
      <c r="B220" s="61"/>
    </row>
    <row r="221" spans="2:2" ht="15.75" customHeight="1">
      <c r="B221" s="61"/>
    </row>
    <row r="222" spans="2:2" ht="15.75" customHeight="1">
      <c r="B222" s="61"/>
    </row>
    <row r="223" spans="2:2" ht="15.75" customHeight="1">
      <c r="B223" s="61"/>
    </row>
    <row r="224" spans="2:2" ht="15.75" customHeight="1">
      <c r="B224" s="61"/>
    </row>
    <row r="225" spans="2:2" ht="15.75" customHeight="1">
      <c r="B225" s="61"/>
    </row>
    <row r="226" spans="2:2" ht="15.75" customHeight="1">
      <c r="B226" s="61"/>
    </row>
    <row r="227" spans="2:2" ht="15.75" customHeight="1">
      <c r="B227" s="61"/>
    </row>
    <row r="228" spans="2:2" ht="15.75" customHeight="1">
      <c r="B228" s="61"/>
    </row>
    <row r="229" spans="2:2" ht="15.75" customHeight="1">
      <c r="B229" s="61"/>
    </row>
    <row r="230" spans="2:2" ht="15.75" customHeight="1">
      <c r="B230" s="61"/>
    </row>
    <row r="231" spans="2:2" ht="15.75" customHeight="1">
      <c r="B231" s="61"/>
    </row>
    <row r="232" spans="2:2" ht="15.75" customHeight="1">
      <c r="B232" s="61"/>
    </row>
    <row r="233" spans="2:2" ht="15.75" customHeight="1">
      <c r="B233" s="61"/>
    </row>
    <row r="234" spans="2:2" ht="15.75" customHeight="1">
      <c r="B234" s="61"/>
    </row>
    <row r="235" spans="2:2" ht="15.75" customHeight="1">
      <c r="B235" s="61"/>
    </row>
    <row r="236" spans="2:2" ht="15.75" customHeight="1">
      <c r="B236" s="61"/>
    </row>
    <row r="237" spans="2:2" ht="15.75" customHeight="1">
      <c r="B237" s="61"/>
    </row>
    <row r="238" spans="2:2" ht="15.75" customHeight="1">
      <c r="B238" s="61"/>
    </row>
    <row r="239" spans="2:2" ht="15.75" customHeight="1">
      <c r="B239" s="61"/>
    </row>
    <row r="240" spans="2:2" ht="15.75" customHeight="1">
      <c r="B240" s="61"/>
    </row>
    <row r="241" spans="2:2" ht="15.75" customHeight="1">
      <c r="B241" s="61"/>
    </row>
    <row r="242" spans="2:2" ht="15.75" customHeight="1">
      <c r="B242" s="61"/>
    </row>
    <row r="243" spans="2:2" ht="15.75" customHeight="1">
      <c r="B243" s="61"/>
    </row>
    <row r="244" spans="2:2" ht="15.75" customHeight="1">
      <c r="B244" s="61"/>
    </row>
    <row r="245" spans="2:2" ht="15.75" customHeight="1">
      <c r="B245" s="61"/>
    </row>
    <row r="246" spans="2:2" ht="15.75" customHeight="1">
      <c r="B246" s="61"/>
    </row>
    <row r="247" spans="2:2" ht="15.75" customHeight="1">
      <c r="B247" s="61"/>
    </row>
    <row r="248" spans="2:2" ht="15.75" customHeight="1">
      <c r="B248" s="61"/>
    </row>
    <row r="249" spans="2:2" ht="15.75" customHeight="1">
      <c r="B249" s="61"/>
    </row>
    <row r="250" spans="2:2" ht="15.75" customHeight="1">
      <c r="B250" s="61"/>
    </row>
    <row r="251" spans="2:2" ht="15.75" customHeight="1">
      <c r="B251" s="61"/>
    </row>
    <row r="252" spans="2:2" ht="15.75" customHeight="1">
      <c r="B252" s="61"/>
    </row>
    <row r="253" spans="2:2" ht="15.75" customHeight="1">
      <c r="B253" s="61"/>
    </row>
    <row r="254" spans="2:2" ht="15.75" customHeight="1">
      <c r="B254" s="61"/>
    </row>
    <row r="255" spans="2:2" ht="15.75" customHeight="1">
      <c r="B255" s="61"/>
    </row>
    <row r="256" spans="2:2" ht="15.75" customHeight="1">
      <c r="B256" s="61"/>
    </row>
    <row r="257" spans="2:2" ht="15.75" customHeight="1">
      <c r="B257" s="61"/>
    </row>
    <row r="258" spans="2:2" ht="15.75" customHeight="1">
      <c r="B258" s="61"/>
    </row>
    <row r="259" spans="2:2" ht="15.75" customHeight="1">
      <c r="B259" s="61"/>
    </row>
    <row r="260" spans="2:2" ht="15.75" customHeight="1">
      <c r="B260" s="61"/>
    </row>
    <row r="261" spans="2:2" ht="15.75" customHeight="1">
      <c r="B261" s="61"/>
    </row>
    <row r="262" spans="2:2" ht="15.75" customHeight="1">
      <c r="B262" s="61"/>
    </row>
    <row r="263" spans="2:2" ht="15.75" customHeight="1">
      <c r="B263" s="61"/>
    </row>
    <row r="264" spans="2:2" ht="15.75" customHeight="1">
      <c r="B264" s="61"/>
    </row>
    <row r="265" spans="2:2" ht="15.75" customHeight="1">
      <c r="B265" s="61"/>
    </row>
    <row r="266" spans="2:2" ht="15.75" customHeight="1">
      <c r="B266" s="61"/>
    </row>
    <row r="267" spans="2:2" ht="15.75" customHeight="1">
      <c r="B267" s="61"/>
    </row>
    <row r="268" spans="2:2" ht="15.75" customHeight="1">
      <c r="B268" s="61"/>
    </row>
    <row r="269" spans="2:2" ht="15.75" customHeight="1">
      <c r="B269" s="61"/>
    </row>
    <row r="270" spans="2:2" ht="15.75" customHeight="1">
      <c r="B270" s="61"/>
    </row>
    <row r="271" spans="2:2" ht="15.75" customHeight="1">
      <c r="B271" s="61"/>
    </row>
    <row r="272" spans="2:2" ht="15.75" customHeight="1">
      <c r="B272" s="61"/>
    </row>
    <row r="273" spans="2:2" ht="15.75" customHeight="1">
      <c r="B273" s="61"/>
    </row>
    <row r="274" spans="2:2" ht="15.75" customHeight="1">
      <c r="B274" s="61"/>
    </row>
    <row r="275" spans="2:2" ht="15.75" customHeight="1">
      <c r="B275" s="61"/>
    </row>
    <row r="276" spans="2:2" ht="15.75" customHeight="1">
      <c r="B276" s="61"/>
    </row>
    <row r="277" spans="2:2" ht="15.75" customHeight="1">
      <c r="B277" s="61"/>
    </row>
    <row r="278" spans="2:2" ht="15.75" customHeight="1">
      <c r="B278" s="61"/>
    </row>
    <row r="279" spans="2:2" ht="15.75" customHeight="1">
      <c r="B279" s="61"/>
    </row>
    <row r="280" spans="2:2" ht="15.75" customHeight="1">
      <c r="B280" s="61"/>
    </row>
    <row r="281" spans="2:2" ht="15.75" customHeight="1">
      <c r="B281" s="61"/>
    </row>
    <row r="282" spans="2:2" ht="15.75" customHeight="1">
      <c r="B282" s="61"/>
    </row>
    <row r="283" spans="2:2" ht="15.75" customHeight="1">
      <c r="B283" s="61"/>
    </row>
    <row r="284" spans="2:2" ht="15.75" customHeight="1">
      <c r="B284" s="61"/>
    </row>
    <row r="285" spans="2:2" ht="15.75" customHeight="1">
      <c r="B285" s="61"/>
    </row>
    <row r="286" spans="2:2" ht="15.75" customHeight="1">
      <c r="B286" s="61"/>
    </row>
    <row r="287" spans="2:2" ht="15.75" customHeight="1">
      <c r="B287" s="61"/>
    </row>
    <row r="288" spans="2:2" ht="15.75" customHeight="1">
      <c r="B288" s="61"/>
    </row>
    <row r="289" spans="2:2" ht="15.75" customHeight="1">
      <c r="B289" s="61"/>
    </row>
    <row r="290" spans="2:2" ht="15.75" customHeight="1">
      <c r="B290" s="61"/>
    </row>
    <row r="291" spans="2:2" ht="15.75" customHeight="1">
      <c r="B291" s="61"/>
    </row>
    <row r="292" spans="2:2" ht="15.75" customHeight="1">
      <c r="B292" s="61"/>
    </row>
    <row r="293" spans="2:2" ht="15.75" customHeight="1">
      <c r="B293" s="61"/>
    </row>
    <row r="294" spans="2:2" ht="15.75" customHeight="1">
      <c r="B294" s="61"/>
    </row>
    <row r="295" spans="2:2" ht="15.75" customHeight="1">
      <c r="B295" s="61"/>
    </row>
    <row r="296" spans="2:2" ht="15.75" customHeight="1">
      <c r="B296" s="61"/>
    </row>
    <row r="297" spans="2:2" ht="15.75" customHeight="1">
      <c r="B297" s="61"/>
    </row>
    <row r="298" spans="2:2" ht="15.75" customHeight="1">
      <c r="B298" s="61"/>
    </row>
    <row r="299" spans="2:2" ht="15.75" customHeight="1">
      <c r="B299" s="61"/>
    </row>
    <row r="300" spans="2:2" ht="15.75" customHeight="1">
      <c r="B300" s="61"/>
    </row>
    <row r="301" spans="2:2" ht="15.75" customHeight="1">
      <c r="B301" s="61"/>
    </row>
    <row r="302" spans="2:2" ht="15.75" customHeight="1">
      <c r="B302" s="61"/>
    </row>
    <row r="303" spans="2:2" ht="15.75" customHeight="1">
      <c r="B303" s="61"/>
    </row>
    <row r="304" spans="2:2" ht="15.75" customHeight="1">
      <c r="B304" s="61"/>
    </row>
    <row r="305" spans="2:2" ht="15.75" customHeight="1">
      <c r="B305" s="61"/>
    </row>
    <row r="306" spans="2:2" ht="15.75" customHeight="1">
      <c r="B306" s="61"/>
    </row>
    <row r="307" spans="2:2" ht="15.75" customHeight="1">
      <c r="B307" s="61"/>
    </row>
    <row r="308" spans="2:2" ht="15.75" customHeight="1">
      <c r="B308" s="61"/>
    </row>
    <row r="309" spans="2:2" ht="15.75" customHeight="1">
      <c r="B309" s="61"/>
    </row>
    <row r="310" spans="2:2" ht="15.75" customHeight="1">
      <c r="B310" s="61"/>
    </row>
    <row r="311" spans="2:2" ht="15.75" customHeight="1">
      <c r="B311" s="61"/>
    </row>
    <row r="312" spans="2:2" ht="15.75" customHeight="1">
      <c r="B312" s="61"/>
    </row>
    <row r="313" spans="2:2" ht="15.75" customHeight="1">
      <c r="B313" s="61"/>
    </row>
    <row r="314" spans="2:2" ht="15.75" customHeight="1">
      <c r="B314" s="61"/>
    </row>
    <row r="315" spans="2:2" ht="15.75" customHeight="1">
      <c r="B315" s="61"/>
    </row>
    <row r="316" spans="2:2" ht="15.75" customHeight="1">
      <c r="B316" s="61"/>
    </row>
    <row r="317" spans="2:2" ht="15.75" customHeight="1">
      <c r="B317" s="61"/>
    </row>
    <row r="318" spans="2:2" ht="15.75" customHeight="1">
      <c r="B318" s="61"/>
    </row>
    <row r="319" spans="2:2" ht="15.75" customHeight="1">
      <c r="B319" s="61"/>
    </row>
    <row r="320" spans="2:2" ht="15.75" customHeight="1">
      <c r="B320" s="61"/>
    </row>
    <row r="321" spans="2:2" ht="15.75" customHeight="1">
      <c r="B321" s="61"/>
    </row>
    <row r="322" spans="2:2" ht="15.75" customHeight="1">
      <c r="B322" s="61"/>
    </row>
    <row r="323" spans="2:2" ht="15.75" customHeight="1">
      <c r="B323" s="61"/>
    </row>
    <row r="324" spans="2:2" ht="15.75" customHeight="1">
      <c r="B324" s="61"/>
    </row>
    <row r="325" spans="2:2" ht="15.75" customHeight="1">
      <c r="B325" s="61"/>
    </row>
    <row r="326" spans="2:2" ht="15.75" customHeight="1">
      <c r="B326" s="61"/>
    </row>
    <row r="327" spans="2:2" ht="15.75" customHeight="1">
      <c r="B327" s="61"/>
    </row>
    <row r="328" spans="2:2" ht="15.75" customHeight="1">
      <c r="B328" s="61"/>
    </row>
    <row r="329" spans="2:2" ht="15.75" customHeight="1">
      <c r="B329" s="61"/>
    </row>
    <row r="330" spans="2:2" ht="15.75" customHeight="1">
      <c r="B330" s="61"/>
    </row>
    <row r="331" spans="2:2" ht="15.75" customHeight="1">
      <c r="B331" s="61"/>
    </row>
    <row r="332" spans="2:2" ht="15.75" customHeight="1">
      <c r="B332" s="61"/>
    </row>
    <row r="333" spans="2:2" ht="15.75" customHeight="1">
      <c r="B333" s="61"/>
    </row>
    <row r="334" spans="2:2" ht="15.75" customHeight="1">
      <c r="B334" s="61"/>
    </row>
    <row r="335" spans="2:2" ht="15.75" customHeight="1">
      <c r="B335" s="61"/>
    </row>
    <row r="336" spans="2:2" ht="15.75" customHeight="1">
      <c r="B336" s="61"/>
    </row>
    <row r="337" spans="2:2" ht="15.75" customHeight="1">
      <c r="B337" s="61"/>
    </row>
    <row r="338" spans="2:2" ht="15.75" customHeight="1">
      <c r="B338" s="61"/>
    </row>
    <row r="339" spans="2:2" ht="15.75" customHeight="1">
      <c r="B339" s="61"/>
    </row>
    <row r="340" spans="2:2" ht="15.75" customHeight="1">
      <c r="B340" s="61"/>
    </row>
    <row r="341" spans="2:2" ht="15.75" customHeight="1">
      <c r="B341" s="61"/>
    </row>
    <row r="342" spans="2:2" ht="15.75" customHeight="1">
      <c r="B342" s="61"/>
    </row>
    <row r="343" spans="2:2" ht="15.75" customHeight="1">
      <c r="B343" s="61"/>
    </row>
    <row r="344" spans="2:2" ht="15.75" customHeight="1">
      <c r="B344" s="61"/>
    </row>
    <row r="345" spans="2:2" ht="15.75" customHeight="1">
      <c r="B345" s="61"/>
    </row>
    <row r="346" spans="2:2" ht="15.75" customHeight="1">
      <c r="B346" s="61"/>
    </row>
    <row r="347" spans="2:2" ht="15.75" customHeight="1">
      <c r="B347" s="61"/>
    </row>
    <row r="348" spans="2:2" ht="15.75" customHeight="1">
      <c r="B348" s="61"/>
    </row>
    <row r="349" spans="2:2" ht="15.75" customHeight="1">
      <c r="B349" s="61"/>
    </row>
    <row r="350" spans="2:2" ht="15.75" customHeight="1">
      <c r="B350" s="61"/>
    </row>
    <row r="351" spans="2:2" ht="15.75" customHeight="1">
      <c r="B351" s="61"/>
    </row>
    <row r="352" spans="2:2" ht="15.75" customHeight="1">
      <c r="B352" s="61"/>
    </row>
    <row r="353" spans="2:2" ht="15.75" customHeight="1">
      <c r="B353" s="61"/>
    </row>
    <row r="354" spans="2:2" ht="15.75" customHeight="1">
      <c r="B354" s="61"/>
    </row>
    <row r="355" spans="2:2" ht="15.75" customHeight="1">
      <c r="B355" s="61"/>
    </row>
    <row r="356" spans="2:2" ht="15.75" customHeight="1">
      <c r="B356" s="61"/>
    </row>
    <row r="357" spans="2:2" ht="15.75" customHeight="1">
      <c r="B357" s="61"/>
    </row>
    <row r="358" spans="2:2" ht="15.75" customHeight="1">
      <c r="B358" s="61"/>
    </row>
    <row r="359" spans="2:2" ht="15.75" customHeight="1">
      <c r="B359" s="61"/>
    </row>
    <row r="360" spans="2:2" ht="15.75" customHeight="1">
      <c r="B360" s="61"/>
    </row>
    <row r="361" spans="2:2" ht="15.75" customHeight="1">
      <c r="B361" s="61"/>
    </row>
    <row r="362" spans="2:2" ht="15.75" customHeight="1">
      <c r="B362" s="61"/>
    </row>
    <row r="363" spans="2:2" ht="15.75" customHeight="1">
      <c r="B363" s="61"/>
    </row>
    <row r="364" spans="2:2" ht="15.75" customHeight="1">
      <c r="B364" s="61"/>
    </row>
    <row r="365" spans="2:2" ht="15.75" customHeight="1">
      <c r="B365" s="61"/>
    </row>
    <row r="366" spans="2:2" ht="15.75" customHeight="1">
      <c r="B366" s="61"/>
    </row>
    <row r="367" spans="2:2" ht="15.75" customHeight="1">
      <c r="B367" s="61"/>
    </row>
    <row r="368" spans="2:2" ht="15.75" customHeight="1">
      <c r="B368" s="61"/>
    </row>
    <row r="369" spans="2:2" ht="15.75" customHeight="1">
      <c r="B369" s="61"/>
    </row>
    <row r="370" spans="2:2" ht="15.75" customHeight="1">
      <c r="B370" s="61"/>
    </row>
    <row r="371" spans="2:2" ht="15.75" customHeight="1">
      <c r="B371" s="61"/>
    </row>
    <row r="372" spans="2:2" ht="15.75" customHeight="1">
      <c r="B372" s="61"/>
    </row>
    <row r="373" spans="2:2" ht="15.75" customHeight="1">
      <c r="B373" s="61"/>
    </row>
    <row r="374" spans="2:2" ht="15.75" customHeight="1">
      <c r="B374" s="61"/>
    </row>
    <row r="375" spans="2:2" ht="15.75" customHeight="1">
      <c r="B375" s="61"/>
    </row>
    <row r="376" spans="2:2" ht="15.75" customHeight="1">
      <c r="B376" s="61"/>
    </row>
    <row r="377" spans="2:2" ht="15.75" customHeight="1">
      <c r="B377" s="61"/>
    </row>
    <row r="378" spans="2:2" ht="15.75" customHeight="1">
      <c r="B378" s="61"/>
    </row>
    <row r="379" spans="2:2" ht="15.75" customHeight="1">
      <c r="B379" s="61"/>
    </row>
    <row r="380" spans="2:2" ht="15.75" customHeight="1">
      <c r="B380" s="61"/>
    </row>
    <row r="381" spans="2:2" ht="15.75" customHeight="1">
      <c r="B381" s="61"/>
    </row>
    <row r="382" spans="2:2" ht="15.75" customHeight="1">
      <c r="B382" s="61"/>
    </row>
    <row r="383" spans="2:2" ht="15.75" customHeight="1">
      <c r="B383" s="61"/>
    </row>
    <row r="384" spans="2:2" ht="15.75" customHeight="1">
      <c r="B384" s="61"/>
    </row>
    <row r="385" spans="2:2" ht="15.75" customHeight="1">
      <c r="B385" s="61"/>
    </row>
    <row r="386" spans="2:2" ht="15.75" customHeight="1">
      <c r="B386" s="61"/>
    </row>
    <row r="387" spans="2:2" ht="15.75" customHeight="1">
      <c r="B387" s="61"/>
    </row>
    <row r="388" spans="2:2" ht="15.75" customHeight="1">
      <c r="B388" s="61"/>
    </row>
    <row r="389" spans="2:2" ht="15.75" customHeight="1">
      <c r="B389" s="61"/>
    </row>
    <row r="390" spans="2:2" ht="15.75" customHeight="1">
      <c r="B390" s="61"/>
    </row>
    <row r="391" spans="2:2" ht="15.75" customHeight="1">
      <c r="B391" s="61"/>
    </row>
    <row r="392" spans="2:2" ht="15.75" customHeight="1">
      <c r="B392" s="61"/>
    </row>
    <row r="393" spans="2:2" ht="15.75" customHeight="1">
      <c r="B393" s="61"/>
    </row>
    <row r="394" spans="2:2" ht="15.75" customHeight="1">
      <c r="B394" s="61"/>
    </row>
    <row r="395" spans="2:2" ht="15.75" customHeight="1">
      <c r="B395" s="61"/>
    </row>
    <row r="396" spans="2:2" ht="15.75" customHeight="1">
      <c r="B396" s="61"/>
    </row>
    <row r="397" spans="2:2" ht="15.75" customHeight="1">
      <c r="B397" s="61"/>
    </row>
    <row r="398" spans="2:2" ht="15.75" customHeight="1">
      <c r="B398" s="61"/>
    </row>
    <row r="399" spans="2:2" ht="15.75" customHeight="1">
      <c r="B399" s="61"/>
    </row>
    <row r="400" spans="2:2" ht="15.75" customHeight="1">
      <c r="B400" s="61"/>
    </row>
    <row r="401" spans="2:2" ht="15.75" customHeight="1">
      <c r="B401" s="61"/>
    </row>
    <row r="402" spans="2:2" ht="15.75" customHeight="1">
      <c r="B402" s="61"/>
    </row>
    <row r="403" spans="2:2" ht="15.75" customHeight="1">
      <c r="B403" s="61"/>
    </row>
    <row r="404" spans="2:2" ht="15.75" customHeight="1">
      <c r="B404" s="61"/>
    </row>
    <row r="405" spans="2:2" ht="15.75" customHeight="1">
      <c r="B405" s="61"/>
    </row>
    <row r="406" spans="2:2" ht="15.75" customHeight="1">
      <c r="B406" s="61"/>
    </row>
    <row r="407" spans="2:2" ht="15.75" customHeight="1">
      <c r="B407" s="61"/>
    </row>
    <row r="408" spans="2:2" ht="15.75" customHeight="1">
      <c r="B408" s="61"/>
    </row>
    <row r="409" spans="2:2" ht="15.75" customHeight="1">
      <c r="B409" s="61"/>
    </row>
    <row r="410" spans="2:2" ht="15.75" customHeight="1">
      <c r="B410" s="61"/>
    </row>
    <row r="411" spans="2:2" ht="15.75" customHeight="1">
      <c r="B411" s="61"/>
    </row>
    <row r="412" spans="2:2" ht="15.75" customHeight="1">
      <c r="B412" s="61"/>
    </row>
    <row r="413" spans="2:2" ht="15.75" customHeight="1">
      <c r="B413" s="61"/>
    </row>
    <row r="414" spans="2:2" ht="15.75" customHeight="1">
      <c r="B414" s="61"/>
    </row>
    <row r="415" spans="2:2" ht="15.75" customHeight="1">
      <c r="B415" s="61"/>
    </row>
    <row r="416" spans="2:2" ht="15.75" customHeight="1">
      <c r="B416" s="61"/>
    </row>
    <row r="417" spans="2:2" ht="15.75" customHeight="1">
      <c r="B417" s="61"/>
    </row>
    <row r="418" spans="2:2" ht="15.75" customHeight="1">
      <c r="B418" s="61"/>
    </row>
    <row r="419" spans="2:2" ht="15.75" customHeight="1">
      <c r="B419" s="61"/>
    </row>
    <row r="420" spans="2:2" ht="15.75" customHeight="1">
      <c r="B420" s="61"/>
    </row>
    <row r="421" spans="2:2" ht="15.75" customHeight="1">
      <c r="B421" s="61"/>
    </row>
    <row r="422" spans="2:2" ht="15.75" customHeight="1">
      <c r="B422" s="61"/>
    </row>
    <row r="423" spans="2:2" ht="15.75" customHeight="1">
      <c r="B423" s="61"/>
    </row>
    <row r="424" spans="2:2" ht="15.75" customHeight="1">
      <c r="B424" s="61"/>
    </row>
    <row r="425" spans="2:2" ht="15.75" customHeight="1">
      <c r="B425" s="61"/>
    </row>
    <row r="426" spans="2:2" ht="15.75" customHeight="1">
      <c r="B426" s="61"/>
    </row>
    <row r="427" spans="2:2" ht="15.75" customHeight="1">
      <c r="B427" s="61"/>
    </row>
    <row r="428" spans="2:2" ht="15.75" customHeight="1">
      <c r="B428" s="61"/>
    </row>
    <row r="429" spans="2:2" ht="15.75" customHeight="1">
      <c r="B429" s="61"/>
    </row>
    <row r="430" spans="2:2" ht="15.75" customHeight="1">
      <c r="B430" s="61"/>
    </row>
    <row r="431" spans="2:2" ht="15.75" customHeight="1">
      <c r="B431" s="61"/>
    </row>
    <row r="432" spans="2:2" ht="15.75" customHeight="1">
      <c r="B432" s="61"/>
    </row>
    <row r="433" spans="2:2" ht="15.75" customHeight="1">
      <c r="B433" s="61"/>
    </row>
    <row r="434" spans="2:2" ht="15.75" customHeight="1">
      <c r="B434" s="61"/>
    </row>
    <row r="435" spans="2:2" ht="15.75" customHeight="1">
      <c r="B435" s="61"/>
    </row>
    <row r="436" spans="2:2" ht="15.75" customHeight="1">
      <c r="B436" s="61"/>
    </row>
    <row r="437" spans="2:2" ht="15.75" customHeight="1">
      <c r="B437" s="61"/>
    </row>
    <row r="438" spans="2:2" ht="15.75" customHeight="1">
      <c r="B438" s="61"/>
    </row>
    <row r="439" spans="2:2" ht="15.75" customHeight="1">
      <c r="B439" s="61"/>
    </row>
    <row r="440" spans="2:2" ht="15.75" customHeight="1">
      <c r="B440" s="61"/>
    </row>
    <row r="441" spans="2:2" ht="15.75" customHeight="1">
      <c r="B441" s="61"/>
    </row>
    <row r="442" spans="2:2" ht="15.75" customHeight="1">
      <c r="B442" s="61"/>
    </row>
    <row r="443" spans="2:2" ht="15.75" customHeight="1">
      <c r="B443" s="61"/>
    </row>
    <row r="444" spans="2:2" ht="15.75" customHeight="1">
      <c r="B444" s="61"/>
    </row>
    <row r="445" spans="2:2" ht="15.75" customHeight="1">
      <c r="B445" s="61"/>
    </row>
    <row r="446" spans="2:2" ht="15.75" customHeight="1">
      <c r="B446" s="61"/>
    </row>
    <row r="447" spans="2:2" ht="15.75" customHeight="1">
      <c r="B447" s="61"/>
    </row>
    <row r="448" spans="2:2" ht="15.75" customHeight="1">
      <c r="B448" s="61"/>
    </row>
    <row r="449" spans="2:2" ht="15.75" customHeight="1">
      <c r="B449" s="61"/>
    </row>
    <row r="450" spans="2:2" ht="15.75" customHeight="1">
      <c r="B450" s="61"/>
    </row>
    <row r="451" spans="2:2" ht="15.75" customHeight="1">
      <c r="B451" s="61"/>
    </row>
    <row r="452" spans="2:2" ht="15.75" customHeight="1">
      <c r="B452" s="61"/>
    </row>
    <row r="453" spans="2:2" ht="15.75" customHeight="1">
      <c r="B453" s="61"/>
    </row>
    <row r="454" spans="2:2" ht="15.75" customHeight="1">
      <c r="B454" s="61"/>
    </row>
    <row r="455" spans="2:2" ht="15.75" customHeight="1">
      <c r="B455" s="61"/>
    </row>
    <row r="456" spans="2:2" ht="15.75" customHeight="1">
      <c r="B456" s="61"/>
    </row>
    <row r="457" spans="2:2" ht="15.75" customHeight="1">
      <c r="B457" s="61"/>
    </row>
    <row r="458" spans="2:2" ht="15.75" customHeight="1">
      <c r="B458" s="61"/>
    </row>
    <row r="459" spans="2:2" ht="15.75" customHeight="1">
      <c r="B459" s="61"/>
    </row>
    <row r="460" spans="2:2" ht="15.75" customHeight="1">
      <c r="B460" s="61"/>
    </row>
    <row r="461" spans="2:2" ht="15.75" customHeight="1">
      <c r="B461" s="61"/>
    </row>
    <row r="462" spans="2:2" ht="15.75" customHeight="1">
      <c r="B462" s="61"/>
    </row>
    <row r="463" spans="2:2" ht="15.75" customHeight="1">
      <c r="B463" s="61"/>
    </row>
    <row r="464" spans="2:2" ht="15.75" customHeight="1">
      <c r="B464" s="61"/>
    </row>
    <row r="465" spans="2:2" ht="15.75" customHeight="1">
      <c r="B465" s="61"/>
    </row>
    <row r="466" spans="2:2" ht="15.75" customHeight="1">
      <c r="B466" s="61"/>
    </row>
    <row r="467" spans="2:2" ht="15.75" customHeight="1">
      <c r="B467" s="61"/>
    </row>
    <row r="468" spans="2:2" ht="15.75" customHeight="1">
      <c r="B468" s="61"/>
    </row>
    <row r="469" spans="2:2" ht="15.75" customHeight="1">
      <c r="B469" s="61"/>
    </row>
    <row r="470" spans="2:2" ht="15.75" customHeight="1">
      <c r="B470" s="61"/>
    </row>
    <row r="471" spans="2:2" ht="15.75" customHeight="1">
      <c r="B471" s="61"/>
    </row>
    <row r="472" spans="2:2" ht="15.75" customHeight="1">
      <c r="B472" s="61"/>
    </row>
    <row r="473" spans="2:2" ht="15.75" customHeight="1">
      <c r="B473" s="61"/>
    </row>
    <row r="474" spans="2:2" ht="15.75" customHeight="1">
      <c r="B474" s="61"/>
    </row>
    <row r="475" spans="2:2" ht="15.75" customHeight="1">
      <c r="B475" s="61"/>
    </row>
    <row r="476" spans="2:2" ht="15.75" customHeight="1">
      <c r="B476" s="61"/>
    </row>
    <row r="477" spans="2:2" ht="15.75" customHeight="1">
      <c r="B477" s="61"/>
    </row>
    <row r="478" spans="2:2" ht="15.75" customHeight="1">
      <c r="B478" s="61"/>
    </row>
    <row r="479" spans="2:2" ht="15.75" customHeight="1">
      <c r="B479" s="61"/>
    </row>
    <row r="480" spans="2:2" ht="15.75" customHeight="1">
      <c r="B480" s="61"/>
    </row>
    <row r="481" spans="2:2" ht="15.75" customHeight="1">
      <c r="B481" s="61"/>
    </row>
    <row r="482" spans="2:2" ht="15.75" customHeight="1">
      <c r="B482" s="61"/>
    </row>
    <row r="483" spans="2:2" ht="15.75" customHeight="1">
      <c r="B483" s="61"/>
    </row>
    <row r="484" spans="2:2" ht="15.75" customHeight="1">
      <c r="B484" s="61"/>
    </row>
    <row r="485" spans="2:2" ht="15.75" customHeight="1">
      <c r="B485" s="61"/>
    </row>
    <row r="486" spans="2:2" ht="15.75" customHeight="1">
      <c r="B486" s="61"/>
    </row>
    <row r="487" spans="2:2" ht="15.75" customHeight="1">
      <c r="B487" s="61"/>
    </row>
    <row r="488" spans="2:2" ht="15.75" customHeight="1">
      <c r="B488" s="61"/>
    </row>
    <row r="489" spans="2:2" ht="15.75" customHeight="1">
      <c r="B489" s="61"/>
    </row>
    <row r="490" spans="2:2" ht="15.75" customHeight="1">
      <c r="B490" s="61"/>
    </row>
    <row r="491" spans="2:2" ht="15.75" customHeight="1">
      <c r="B491" s="61"/>
    </row>
    <row r="492" spans="2:2" ht="15.75" customHeight="1">
      <c r="B492" s="61"/>
    </row>
    <row r="493" spans="2:2" ht="15.75" customHeight="1">
      <c r="B493" s="61"/>
    </row>
    <row r="494" spans="2:2" ht="15.75" customHeight="1">
      <c r="B494" s="61"/>
    </row>
    <row r="495" spans="2:2" ht="15.75" customHeight="1">
      <c r="B495" s="61"/>
    </row>
    <row r="496" spans="2:2" ht="15.75" customHeight="1">
      <c r="B496" s="61"/>
    </row>
    <row r="497" spans="2:2" ht="15.75" customHeight="1">
      <c r="B497" s="61"/>
    </row>
    <row r="498" spans="2:2" ht="15.75" customHeight="1">
      <c r="B498" s="61"/>
    </row>
    <row r="499" spans="2:2" ht="15.75" customHeight="1">
      <c r="B499" s="61"/>
    </row>
    <row r="500" spans="2:2" ht="15.75" customHeight="1">
      <c r="B500" s="61"/>
    </row>
    <row r="501" spans="2:2" ht="15.75" customHeight="1">
      <c r="B501" s="61"/>
    </row>
    <row r="502" spans="2:2" ht="15.75" customHeight="1">
      <c r="B502" s="61"/>
    </row>
    <row r="503" spans="2:2" ht="15.75" customHeight="1">
      <c r="B503" s="61"/>
    </row>
    <row r="504" spans="2:2" ht="15.75" customHeight="1">
      <c r="B504" s="61"/>
    </row>
    <row r="505" spans="2:2" ht="15.75" customHeight="1">
      <c r="B505" s="61"/>
    </row>
    <row r="506" spans="2:2" ht="15.75" customHeight="1">
      <c r="B506" s="61"/>
    </row>
    <row r="507" spans="2:2" ht="15.75" customHeight="1">
      <c r="B507" s="61"/>
    </row>
    <row r="508" spans="2:2" ht="15.75" customHeight="1">
      <c r="B508" s="61"/>
    </row>
    <row r="509" spans="2:2" ht="15.75" customHeight="1">
      <c r="B509" s="61"/>
    </row>
    <row r="510" spans="2:2" ht="15.75" customHeight="1">
      <c r="B510" s="61"/>
    </row>
    <row r="511" spans="2:2" ht="15.75" customHeight="1">
      <c r="B511" s="61"/>
    </row>
    <row r="512" spans="2:2" ht="15.75" customHeight="1">
      <c r="B512" s="61"/>
    </row>
    <row r="513" spans="2:2" ht="15.75" customHeight="1">
      <c r="B513" s="61"/>
    </row>
    <row r="514" spans="2:2" ht="15.75" customHeight="1">
      <c r="B514" s="61"/>
    </row>
    <row r="515" spans="2:2" ht="15.75" customHeight="1">
      <c r="B515" s="61"/>
    </row>
    <row r="516" spans="2:2" ht="15.75" customHeight="1">
      <c r="B516" s="61"/>
    </row>
    <row r="517" spans="2:2" ht="15.75" customHeight="1">
      <c r="B517" s="61"/>
    </row>
    <row r="518" spans="2:2" ht="15.75" customHeight="1">
      <c r="B518" s="61"/>
    </row>
    <row r="519" spans="2:2" ht="15.75" customHeight="1">
      <c r="B519" s="61"/>
    </row>
    <row r="520" spans="2:2" ht="15.75" customHeight="1">
      <c r="B520" s="61"/>
    </row>
    <row r="521" spans="2:2" ht="15.75" customHeight="1">
      <c r="B521" s="61"/>
    </row>
    <row r="522" spans="2:2" ht="15.75" customHeight="1">
      <c r="B522" s="61"/>
    </row>
    <row r="523" spans="2:2" ht="15.75" customHeight="1">
      <c r="B523" s="61"/>
    </row>
    <row r="524" spans="2:2" ht="15.75" customHeight="1">
      <c r="B524" s="61"/>
    </row>
    <row r="525" spans="2:2" ht="15.75" customHeight="1">
      <c r="B525" s="61"/>
    </row>
    <row r="526" spans="2:2" ht="15.75" customHeight="1">
      <c r="B526" s="61"/>
    </row>
    <row r="527" spans="2:2" ht="15.75" customHeight="1">
      <c r="B527" s="61"/>
    </row>
    <row r="528" spans="2:2" ht="15.75" customHeight="1">
      <c r="B528" s="61"/>
    </row>
    <row r="529" spans="2:2" ht="15.75" customHeight="1">
      <c r="B529" s="61"/>
    </row>
    <row r="530" spans="2:2" ht="15.75" customHeight="1">
      <c r="B530" s="61"/>
    </row>
    <row r="531" spans="2:2" ht="15.75" customHeight="1">
      <c r="B531" s="61"/>
    </row>
    <row r="532" spans="2:2" ht="15.75" customHeight="1">
      <c r="B532" s="61"/>
    </row>
    <row r="533" spans="2:2" ht="15.75" customHeight="1">
      <c r="B533" s="61"/>
    </row>
    <row r="534" spans="2:2" ht="15.75" customHeight="1">
      <c r="B534" s="61"/>
    </row>
    <row r="535" spans="2:2" ht="15.75" customHeight="1">
      <c r="B535" s="61"/>
    </row>
    <row r="536" spans="2:2" ht="15.75" customHeight="1">
      <c r="B536" s="61"/>
    </row>
    <row r="537" spans="2:2" ht="15.75" customHeight="1">
      <c r="B537" s="61"/>
    </row>
    <row r="538" spans="2:2" ht="15.75" customHeight="1">
      <c r="B538" s="61"/>
    </row>
    <row r="539" spans="2:2" ht="15.75" customHeight="1">
      <c r="B539" s="61"/>
    </row>
    <row r="540" spans="2:2" ht="15.75" customHeight="1">
      <c r="B540" s="61"/>
    </row>
    <row r="541" spans="2:2" ht="15.75" customHeight="1">
      <c r="B541" s="61"/>
    </row>
    <row r="542" spans="2:2" ht="15.75" customHeight="1">
      <c r="B542" s="61"/>
    </row>
    <row r="543" spans="2:2" ht="15.75" customHeight="1">
      <c r="B543" s="61"/>
    </row>
    <row r="544" spans="2:2" ht="15.75" customHeight="1">
      <c r="B544" s="61"/>
    </row>
    <row r="545" spans="2:2" ht="15.75" customHeight="1">
      <c r="B545" s="61"/>
    </row>
    <row r="546" spans="2:2" ht="15.75" customHeight="1">
      <c r="B546" s="61"/>
    </row>
    <row r="547" spans="2:2" ht="15.75" customHeight="1">
      <c r="B547" s="61"/>
    </row>
    <row r="548" spans="2:2" ht="15.75" customHeight="1">
      <c r="B548" s="61"/>
    </row>
    <row r="549" spans="2:2" ht="15.75" customHeight="1">
      <c r="B549" s="61"/>
    </row>
    <row r="550" spans="2:2" ht="15.75" customHeight="1">
      <c r="B550" s="61"/>
    </row>
    <row r="551" spans="2:2" ht="15.75" customHeight="1">
      <c r="B551" s="61"/>
    </row>
    <row r="552" spans="2:2" ht="15.75" customHeight="1">
      <c r="B552" s="61"/>
    </row>
    <row r="553" spans="2:2" ht="15.75" customHeight="1">
      <c r="B553" s="61"/>
    </row>
    <row r="554" spans="2:2" ht="15.75" customHeight="1">
      <c r="B554" s="61"/>
    </row>
    <row r="555" spans="2:2" ht="15.75" customHeight="1">
      <c r="B555" s="61"/>
    </row>
    <row r="556" spans="2:2" ht="15.75" customHeight="1">
      <c r="B556" s="61"/>
    </row>
    <row r="557" spans="2:2" ht="15.75" customHeight="1">
      <c r="B557" s="61"/>
    </row>
    <row r="558" spans="2:2" ht="15.75" customHeight="1">
      <c r="B558" s="61"/>
    </row>
    <row r="559" spans="2:2" ht="15.75" customHeight="1">
      <c r="B559" s="61"/>
    </row>
    <row r="560" spans="2:2" ht="15.75" customHeight="1">
      <c r="B560" s="61"/>
    </row>
    <row r="561" spans="2:2" ht="15.75" customHeight="1">
      <c r="B561" s="61"/>
    </row>
    <row r="562" spans="2:2" ht="15.75" customHeight="1">
      <c r="B562" s="61"/>
    </row>
    <row r="563" spans="2:2" ht="15.75" customHeight="1">
      <c r="B563" s="61"/>
    </row>
    <row r="564" spans="2:2" ht="15.75" customHeight="1">
      <c r="B564" s="61"/>
    </row>
    <row r="565" spans="2:2" ht="15.75" customHeight="1">
      <c r="B565" s="61"/>
    </row>
    <row r="566" spans="2:2" ht="15.75" customHeight="1">
      <c r="B566" s="61"/>
    </row>
    <row r="567" spans="2:2" ht="15.75" customHeight="1">
      <c r="B567" s="61"/>
    </row>
    <row r="568" spans="2:2" ht="15.75" customHeight="1">
      <c r="B568" s="61"/>
    </row>
    <row r="569" spans="2:2" ht="15.75" customHeight="1">
      <c r="B569" s="61"/>
    </row>
    <row r="570" spans="2:2" ht="15.75" customHeight="1">
      <c r="B570" s="61"/>
    </row>
    <row r="571" spans="2:2" ht="15.75" customHeight="1">
      <c r="B571" s="61"/>
    </row>
    <row r="572" spans="2:2" ht="15.75" customHeight="1">
      <c r="B572" s="61"/>
    </row>
    <row r="573" spans="2:2" ht="15.75" customHeight="1">
      <c r="B573" s="61"/>
    </row>
    <row r="574" spans="2:2" ht="15.75" customHeight="1">
      <c r="B574" s="61"/>
    </row>
    <row r="575" spans="2:2" ht="15.75" customHeight="1">
      <c r="B575" s="61"/>
    </row>
    <row r="576" spans="2:2" ht="15.75" customHeight="1">
      <c r="B576" s="61"/>
    </row>
    <row r="577" spans="2:2" ht="15.75" customHeight="1">
      <c r="B577" s="61"/>
    </row>
    <row r="578" spans="2:2" ht="15.75" customHeight="1">
      <c r="B578" s="61"/>
    </row>
    <row r="579" spans="2:2" ht="15.75" customHeight="1">
      <c r="B579" s="61"/>
    </row>
    <row r="580" spans="2:2" ht="15.75" customHeight="1">
      <c r="B580" s="61"/>
    </row>
    <row r="581" spans="2:2" ht="15.75" customHeight="1">
      <c r="B581" s="61"/>
    </row>
    <row r="582" spans="2:2" ht="15.75" customHeight="1">
      <c r="B582" s="61"/>
    </row>
    <row r="583" spans="2:2" ht="15.75" customHeight="1">
      <c r="B583" s="61"/>
    </row>
    <row r="584" spans="2:2" ht="15.75" customHeight="1">
      <c r="B584" s="61"/>
    </row>
    <row r="585" spans="2:2" ht="15.75" customHeight="1">
      <c r="B585" s="61"/>
    </row>
    <row r="586" spans="2:2" ht="15.75" customHeight="1">
      <c r="B586" s="61"/>
    </row>
    <row r="587" spans="2:2" ht="15.75" customHeight="1">
      <c r="B587" s="61"/>
    </row>
    <row r="588" spans="2:2" ht="15.75" customHeight="1">
      <c r="B588" s="61"/>
    </row>
    <row r="589" spans="2:2" ht="15.75" customHeight="1">
      <c r="B589" s="61"/>
    </row>
    <row r="590" spans="2:2" ht="15.75" customHeight="1">
      <c r="B590" s="61"/>
    </row>
    <row r="591" spans="2:2" ht="15.75" customHeight="1">
      <c r="B591" s="61"/>
    </row>
    <row r="592" spans="2:2" ht="15.75" customHeight="1">
      <c r="B592" s="61"/>
    </row>
    <row r="593" spans="2:2" ht="15.75" customHeight="1">
      <c r="B593" s="61"/>
    </row>
    <row r="594" spans="2:2" ht="15.75" customHeight="1">
      <c r="B594" s="61"/>
    </row>
    <row r="595" spans="2:2" ht="15.75" customHeight="1">
      <c r="B595" s="61"/>
    </row>
    <row r="596" spans="2:2" ht="15.75" customHeight="1">
      <c r="B596" s="61"/>
    </row>
    <row r="597" spans="2:2" ht="15.75" customHeight="1">
      <c r="B597" s="61"/>
    </row>
    <row r="598" spans="2:2" ht="15.75" customHeight="1">
      <c r="B598" s="61"/>
    </row>
    <row r="599" spans="2:2" ht="15.75" customHeight="1">
      <c r="B599" s="61"/>
    </row>
    <row r="600" spans="2:2" ht="15.75" customHeight="1">
      <c r="B600" s="61"/>
    </row>
    <row r="601" spans="2:2" ht="15.75" customHeight="1">
      <c r="B601" s="61"/>
    </row>
    <row r="602" spans="2:2" ht="15.75" customHeight="1">
      <c r="B602" s="61"/>
    </row>
    <row r="603" spans="2:2" ht="15.75" customHeight="1">
      <c r="B603" s="61"/>
    </row>
    <row r="604" spans="2:2" ht="15.75" customHeight="1">
      <c r="B604" s="61"/>
    </row>
    <row r="605" spans="2:2" ht="15.75" customHeight="1">
      <c r="B605" s="61"/>
    </row>
    <row r="606" spans="2:2" ht="15.75" customHeight="1">
      <c r="B606" s="61"/>
    </row>
    <row r="607" spans="2:2" ht="15.75" customHeight="1">
      <c r="B607" s="61"/>
    </row>
    <row r="608" spans="2:2" ht="15.75" customHeight="1">
      <c r="B608" s="61"/>
    </row>
    <row r="609" spans="2:2" ht="15.75" customHeight="1">
      <c r="B609" s="61"/>
    </row>
    <row r="610" spans="2:2" ht="15.75" customHeight="1">
      <c r="B610" s="61"/>
    </row>
    <row r="611" spans="2:2" ht="15.75" customHeight="1">
      <c r="B611" s="61"/>
    </row>
    <row r="612" spans="2:2" ht="15.75" customHeight="1">
      <c r="B612" s="61"/>
    </row>
    <row r="613" spans="2:2" ht="15.75" customHeight="1">
      <c r="B613" s="61"/>
    </row>
    <row r="614" spans="2:2" ht="15.75" customHeight="1">
      <c r="B614" s="61"/>
    </row>
    <row r="615" spans="2:2" ht="15.75" customHeight="1">
      <c r="B615" s="61"/>
    </row>
    <row r="616" spans="2:2" ht="15.75" customHeight="1">
      <c r="B616" s="61"/>
    </row>
    <row r="617" spans="2:2" ht="15.75" customHeight="1">
      <c r="B617" s="61"/>
    </row>
    <row r="618" spans="2:2" ht="15.75" customHeight="1">
      <c r="B618" s="61"/>
    </row>
    <row r="619" spans="2:2" ht="15.75" customHeight="1">
      <c r="B619" s="61"/>
    </row>
    <row r="620" spans="2:2" ht="15.75" customHeight="1">
      <c r="B620" s="61"/>
    </row>
    <row r="621" spans="2:2" ht="15.75" customHeight="1">
      <c r="B621" s="61"/>
    </row>
    <row r="622" spans="2:2" ht="15.75" customHeight="1">
      <c r="B622" s="61"/>
    </row>
    <row r="623" spans="2:2" ht="15.75" customHeight="1">
      <c r="B623" s="61"/>
    </row>
    <row r="624" spans="2:2" ht="15.75" customHeight="1">
      <c r="B624" s="61"/>
    </row>
    <row r="625" spans="2:2" ht="15.75" customHeight="1">
      <c r="B625" s="61"/>
    </row>
    <row r="626" spans="2:2" ht="15.75" customHeight="1">
      <c r="B626" s="61"/>
    </row>
    <row r="627" spans="2:2" ht="15.75" customHeight="1">
      <c r="B627" s="61"/>
    </row>
    <row r="628" spans="2:2" ht="15.75" customHeight="1">
      <c r="B628" s="61"/>
    </row>
    <row r="629" spans="2:2" ht="15.75" customHeight="1">
      <c r="B629" s="61"/>
    </row>
    <row r="630" spans="2:2" ht="15.75" customHeight="1">
      <c r="B630" s="61"/>
    </row>
    <row r="631" spans="2:2" ht="15.75" customHeight="1">
      <c r="B631" s="61"/>
    </row>
    <row r="632" spans="2:2" ht="15.75" customHeight="1">
      <c r="B632" s="61"/>
    </row>
    <row r="633" spans="2:2" ht="15.75" customHeight="1">
      <c r="B633" s="61"/>
    </row>
    <row r="634" spans="2:2" ht="15.75" customHeight="1">
      <c r="B634" s="61"/>
    </row>
    <row r="635" spans="2:2" ht="15.75" customHeight="1">
      <c r="B635" s="61"/>
    </row>
    <row r="636" spans="2:2" ht="15.75" customHeight="1">
      <c r="B636" s="61"/>
    </row>
    <row r="637" spans="2:2" ht="15.75" customHeight="1">
      <c r="B637" s="61"/>
    </row>
    <row r="638" spans="2:2" ht="15.75" customHeight="1">
      <c r="B638" s="61"/>
    </row>
    <row r="639" spans="2:2" ht="15.75" customHeight="1">
      <c r="B639" s="61"/>
    </row>
    <row r="640" spans="2:2" ht="15.75" customHeight="1">
      <c r="B640" s="61"/>
    </row>
    <row r="641" spans="2:2" ht="15.75" customHeight="1">
      <c r="B641" s="61"/>
    </row>
    <row r="642" spans="2:2" ht="15.75" customHeight="1">
      <c r="B642" s="61"/>
    </row>
    <row r="643" spans="2:2" ht="15.75" customHeight="1">
      <c r="B643" s="61"/>
    </row>
    <row r="644" spans="2:2" ht="15.75" customHeight="1">
      <c r="B644" s="61"/>
    </row>
    <row r="645" spans="2:2" ht="15.75" customHeight="1">
      <c r="B645" s="61"/>
    </row>
    <row r="646" spans="2:2" ht="15.75" customHeight="1">
      <c r="B646" s="61"/>
    </row>
    <row r="647" spans="2:2" ht="15.75" customHeight="1">
      <c r="B647" s="61"/>
    </row>
    <row r="648" spans="2:2" ht="15.75" customHeight="1">
      <c r="B648" s="61"/>
    </row>
    <row r="649" spans="2:2" ht="15.75" customHeight="1">
      <c r="B649" s="61"/>
    </row>
    <row r="650" spans="2:2" ht="15.75" customHeight="1">
      <c r="B650" s="61"/>
    </row>
    <row r="651" spans="2:2" ht="15.75" customHeight="1">
      <c r="B651" s="61"/>
    </row>
    <row r="652" spans="2:2" ht="15.75" customHeight="1">
      <c r="B652" s="61"/>
    </row>
    <row r="653" spans="2:2" ht="15.75" customHeight="1">
      <c r="B653" s="61"/>
    </row>
    <row r="654" spans="2:2" ht="15.75" customHeight="1">
      <c r="B654" s="61"/>
    </row>
    <row r="655" spans="2:2" ht="15.75" customHeight="1">
      <c r="B655" s="61"/>
    </row>
    <row r="656" spans="2:2" ht="15.75" customHeight="1">
      <c r="B656" s="61"/>
    </row>
    <row r="657" spans="2:2" ht="15.75" customHeight="1">
      <c r="B657" s="61"/>
    </row>
    <row r="658" spans="2:2" ht="15.75" customHeight="1">
      <c r="B658" s="61"/>
    </row>
    <row r="659" spans="2:2" ht="15.75" customHeight="1">
      <c r="B659" s="61"/>
    </row>
    <row r="660" spans="2:2" ht="15.75" customHeight="1">
      <c r="B660" s="61"/>
    </row>
    <row r="661" spans="2:2" ht="15.75" customHeight="1">
      <c r="B661" s="61"/>
    </row>
    <row r="662" spans="2:2" ht="15.75" customHeight="1">
      <c r="B662" s="61"/>
    </row>
    <row r="663" spans="2:2" ht="15.75" customHeight="1">
      <c r="B663" s="61"/>
    </row>
    <row r="664" spans="2:2" ht="15.75" customHeight="1">
      <c r="B664" s="61"/>
    </row>
    <row r="665" spans="2:2" ht="15.75" customHeight="1">
      <c r="B665" s="61"/>
    </row>
    <row r="666" spans="2:2" ht="15.75" customHeight="1">
      <c r="B666" s="61"/>
    </row>
    <row r="667" spans="2:2" ht="15.75" customHeight="1">
      <c r="B667" s="61"/>
    </row>
    <row r="668" spans="2:2" ht="15.75" customHeight="1">
      <c r="B668" s="61"/>
    </row>
    <row r="669" spans="2:2" ht="15.75" customHeight="1">
      <c r="B669" s="61"/>
    </row>
    <row r="670" spans="2:2" ht="15.75" customHeight="1">
      <c r="B670" s="61"/>
    </row>
    <row r="671" spans="2:2" ht="15.75" customHeight="1">
      <c r="B671" s="61"/>
    </row>
    <row r="672" spans="2:2" ht="15.75" customHeight="1">
      <c r="B672" s="61"/>
    </row>
    <row r="673" spans="2:2" ht="15.75" customHeight="1">
      <c r="B673" s="61"/>
    </row>
    <row r="674" spans="2:2" ht="15.75" customHeight="1">
      <c r="B674" s="61"/>
    </row>
    <row r="675" spans="2:2" ht="15.75" customHeight="1">
      <c r="B675" s="61"/>
    </row>
    <row r="676" spans="2:2" ht="15.75" customHeight="1">
      <c r="B676" s="61"/>
    </row>
    <row r="677" spans="2:2" ht="15.75" customHeight="1">
      <c r="B677" s="61"/>
    </row>
    <row r="678" spans="2:2" ht="15.75" customHeight="1">
      <c r="B678" s="61"/>
    </row>
    <row r="679" spans="2:2" ht="15.75" customHeight="1">
      <c r="B679" s="61"/>
    </row>
    <row r="680" spans="2:2" ht="15.75" customHeight="1">
      <c r="B680" s="61"/>
    </row>
    <row r="681" spans="2:2" ht="15.75" customHeight="1">
      <c r="B681" s="61"/>
    </row>
    <row r="682" spans="2:2" ht="15.75" customHeight="1">
      <c r="B682" s="61"/>
    </row>
    <row r="683" spans="2:2" ht="15.75" customHeight="1">
      <c r="B683" s="61"/>
    </row>
    <row r="684" spans="2:2" ht="15.75" customHeight="1">
      <c r="B684" s="61"/>
    </row>
    <row r="685" spans="2:2" ht="15.75" customHeight="1">
      <c r="B685" s="61"/>
    </row>
    <row r="686" spans="2:2" ht="15.75" customHeight="1">
      <c r="B686" s="61"/>
    </row>
    <row r="687" spans="2:2" ht="15.75" customHeight="1">
      <c r="B687" s="61"/>
    </row>
    <row r="688" spans="2:2" ht="15.75" customHeight="1">
      <c r="B688" s="61"/>
    </row>
    <row r="689" spans="2:2" ht="15.75" customHeight="1">
      <c r="B689" s="61"/>
    </row>
    <row r="690" spans="2:2" ht="15.75" customHeight="1">
      <c r="B690" s="61"/>
    </row>
    <row r="691" spans="2:2" ht="15.75" customHeight="1">
      <c r="B691" s="61"/>
    </row>
    <row r="692" spans="2:2" ht="15.75" customHeight="1">
      <c r="B692" s="61"/>
    </row>
    <row r="693" spans="2:2" ht="15.75" customHeight="1">
      <c r="B693" s="61"/>
    </row>
    <row r="694" spans="2:2" ht="15.75" customHeight="1">
      <c r="B694" s="61"/>
    </row>
    <row r="695" spans="2:2" ht="15.75" customHeight="1">
      <c r="B695" s="61"/>
    </row>
    <row r="696" spans="2:2" ht="15.75" customHeight="1">
      <c r="B696" s="61"/>
    </row>
    <row r="697" spans="2:2" ht="15.75" customHeight="1">
      <c r="B697" s="61"/>
    </row>
    <row r="698" spans="2:2" ht="15.75" customHeight="1">
      <c r="B698" s="61"/>
    </row>
    <row r="699" spans="2:2" ht="15.75" customHeight="1">
      <c r="B699" s="61"/>
    </row>
    <row r="700" spans="2:2" ht="15.75" customHeight="1">
      <c r="B700" s="61"/>
    </row>
    <row r="701" spans="2:2" ht="15.75" customHeight="1">
      <c r="B701" s="61"/>
    </row>
    <row r="702" spans="2:2" ht="15.75" customHeight="1">
      <c r="B702" s="61"/>
    </row>
    <row r="703" spans="2:2" ht="15.75" customHeight="1">
      <c r="B703" s="61"/>
    </row>
    <row r="704" spans="2:2" ht="15.75" customHeight="1">
      <c r="B704" s="61"/>
    </row>
    <row r="705" spans="2:2" ht="15.75" customHeight="1">
      <c r="B705" s="61"/>
    </row>
    <row r="706" spans="2:2" ht="15.75" customHeight="1">
      <c r="B706" s="61"/>
    </row>
    <row r="707" spans="2:2" ht="15.75" customHeight="1">
      <c r="B707" s="61"/>
    </row>
    <row r="708" spans="2:2" ht="15.75" customHeight="1">
      <c r="B708" s="61"/>
    </row>
    <row r="709" spans="2:2" ht="15.75" customHeight="1">
      <c r="B709" s="61"/>
    </row>
    <row r="710" spans="2:2" ht="15.75" customHeight="1">
      <c r="B710" s="61"/>
    </row>
    <row r="711" spans="2:2" ht="15.75" customHeight="1">
      <c r="B711" s="61"/>
    </row>
    <row r="712" spans="2:2" ht="15.75" customHeight="1">
      <c r="B712" s="61"/>
    </row>
    <row r="713" spans="2:2" ht="15.75" customHeight="1">
      <c r="B713" s="61"/>
    </row>
    <row r="714" spans="2:2" ht="15.75" customHeight="1">
      <c r="B714" s="61"/>
    </row>
    <row r="715" spans="2:2" ht="15.75" customHeight="1">
      <c r="B715" s="61"/>
    </row>
    <row r="716" spans="2:2" ht="15.75" customHeight="1">
      <c r="B716" s="61"/>
    </row>
    <row r="717" spans="2:2" ht="15.75" customHeight="1">
      <c r="B717" s="61"/>
    </row>
    <row r="718" spans="2:2" ht="15.75" customHeight="1">
      <c r="B718" s="61"/>
    </row>
    <row r="719" spans="2:2" ht="15.75" customHeight="1">
      <c r="B719" s="61"/>
    </row>
    <row r="720" spans="2:2" ht="15.75" customHeight="1">
      <c r="B720" s="61"/>
    </row>
    <row r="721" spans="2:2" ht="15.75" customHeight="1">
      <c r="B721" s="61"/>
    </row>
    <row r="722" spans="2:2" ht="15.75" customHeight="1">
      <c r="B722" s="61"/>
    </row>
    <row r="723" spans="2:2" ht="15.75" customHeight="1">
      <c r="B723" s="61"/>
    </row>
    <row r="724" spans="2:2" ht="15.75" customHeight="1">
      <c r="B724" s="61"/>
    </row>
    <row r="725" spans="2:2" ht="15.75" customHeight="1">
      <c r="B725" s="61"/>
    </row>
    <row r="726" spans="2:2" ht="15.75" customHeight="1">
      <c r="B726" s="61"/>
    </row>
    <row r="727" spans="2:2" ht="15.75" customHeight="1">
      <c r="B727" s="61"/>
    </row>
    <row r="728" spans="2:2" ht="15.75" customHeight="1">
      <c r="B728" s="61"/>
    </row>
    <row r="729" spans="2:2" ht="15.75" customHeight="1">
      <c r="B729" s="61"/>
    </row>
    <row r="730" spans="2:2" ht="15.75" customHeight="1">
      <c r="B730" s="61"/>
    </row>
    <row r="731" spans="2:2" ht="15.75" customHeight="1">
      <c r="B731" s="61"/>
    </row>
    <row r="732" spans="2:2" ht="15.75" customHeight="1">
      <c r="B732" s="61"/>
    </row>
    <row r="733" spans="2:2" ht="15.75" customHeight="1">
      <c r="B733" s="61"/>
    </row>
    <row r="734" spans="2:2" ht="15.75" customHeight="1">
      <c r="B734" s="61"/>
    </row>
    <row r="735" spans="2:2" ht="15.75" customHeight="1">
      <c r="B735" s="61"/>
    </row>
    <row r="736" spans="2:2" ht="15.75" customHeight="1">
      <c r="B736" s="61"/>
    </row>
    <row r="737" spans="2:2" ht="15.75" customHeight="1">
      <c r="B737" s="61"/>
    </row>
    <row r="738" spans="2:2" ht="15.75" customHeight="1">
      <c r="B738" s="61"/>
    </row>
    <row r="739" spans="2:2" ht="15.75" customHeight="1">
      <c r="B739" s="61"/>
    </row>
    <row r="740" spans="2:2" ht="15.75" customHeight="1">
      <c r="B740" s="61"/>
    </row>
    <row r="741" spans="2:2" ht="15.75" customHeight="1">
      <c r="B741" s="61"/>
    </row>
    <row r="742" spans="2:2" ht="15.75" customHeight="1">
      <c r="B742" s="61"/>
    </row>
    <row r="743" spans="2:2" ht="15.75" customHeight="1">
      <c r="B743" s="61"/>
    </row>
    <row r="744" spans="2:2" ht="15.75" customHeight="1">
      <c r="B744" s="61"/>
    </row>
    <row r="745" spans="2:2" ht="15.75" customHeight="1">
      <c r="B745" s="61"/>
    </row>
    <row r="746" spans="2:2" ht="15.75" customHeight="1">
      <c r="B746" s="61"/>
    </row>
    <row r="747" spans="2:2" ht="15.75" customHeight="1">
      <c r="B747" s="61"/>
    </row>
    <row r="748" spans="2:2" ht="15.75" customHeight="1">
      <c r="B748" s="61"/>
    </row>
    <row r="749" spans="2:2" ht="15.75" customHeight="1">
      <c r="B749" s="61"/>
    </row>
    <row r="750" spans="2:2" ht="15.75" customHeight="1">
      <c r="B750" s="61"/>
    </row>
    <row r="751" spans="2:2" ht="15.75" customHeight="1">
      <c r="B751" s="61"/>
    </row>
    <row r="752" spans="2:2" ht="15.75" customHeight="1">
      <c r="B752" s="61"/>
    </row>
    <row r="753" spans="2:2" ht="15.75" customHeight="1">
      <c r="B753" s="61"/>
    </row>
    <row r="754" spans="2:2" ht="15.75" customHeight="1">
      <c r="B754" s="61"/>
    </row>
    <row r="755" spans="2:2" ht="15.75" customHeight="1">
      <c r="B755" s="61"/>
    </row>
    <row r="756" spans="2:2" ht="15.75" customHeight="1">
      <c r="B756" s="61"/>
    </row>
    <row r="757" spans="2:2" ht="15.75" customHeight="1">
      <c r="B757" s="61"/>
    </row>
    <row r="758" spans="2:2" ht="15.75" customHeight="1">
      <c r="B758" s="61"/>
    </row>
    <row r="759" spans="2:2" ht="15.75" customHeight="1">
      <c r="B759" s="61"/>
    </row>
    <row r="760" spans="2:2" ht="15.75" customHeight="1">
      <c r="B760" s="61"/>
    </row>
    <row r="761" spans="2:2" ht="15.75" customHeight="1">
      <c r="B761" s="61"/>
    </row>
    <row r="762" spans="2:2" ht="15.75" customHeight="1">
      <c r="B762" s="61"/>
    </row>
    <row r="763" spans="2:2" ht="15.75" customHeight="1">
      <c r="B763" s="61"/>
    </row>
    <row r="764" spans="2:2" ht="15.75" customHeight="1">
      <c r="B764" s="61"/>
    </row>
    <row r="765" spans="2:2" ht="15.75" customHeight="1">
      <c r="B765" s="61"/>
    </row>
    <row r="766" spans="2:2" ht="15.75" customHeight="1">
      <c r="B766" s="61"/>
    </row>
    <row r="767" spans="2:2" ht="15.75" customHeight="1">
      <c r="B767" s="61"/>
    </row>
    <row r="768" spans="2:2" ht="15.75" customHeight="1">
      <c r="B768" s="61"/>
    </row>
    <row r="769" spans="2:2" ht="15.75" customHeight="1">
      <c r="B769" s="61"/>
    </row>
    <row r="770" spans="2:2" ht="15.75" customHeight="1">
      <c r="B770" s="61"/>
    </row>
    <row r="771" spans="2:2" ht="15.75" customHeight="1">
      <c r="B771" s="61"/>
    </row>
    <row r="772" spans="2:2" ht="15.75" customHeight="1">
      <c r="B772" s="61"/>
    </row>
    <row r="773" spans="2:2" ht="15.75" customHeight="1">
      <c r="B773" s="61"/>
    </row>
    <row r="774" spans="2:2" ht="15.75" customHeight="1">
      <c r="B774" s="61"/>
    </row>
    <row r="775" spans="2:2" ht="15.75" customHeight="1">
      <c r="B775" s="61"/>
    </row>
    <row r="776" spans="2:2" ht="15.75" customHeight="1">
      <c r="B776" s="61"/>
    </row>
    <row r="777" spans="2:2" ht="15.75" customHeight="1">
      <c r="B777" s="61"/>
    </row>
    <row r="778" spans="2:2" ht="15.75" customHeight="1">
      <c r="B778" s="61"/>
    </row>
    <row r="779" spans="2:2" ht="15.75" customHeight="1">
      <c r="B779" s="61"/>
    </row>
    <row r="780" spans="2:2" ht="15.75" customHeight="1">
      <c r="B780" s="61"/>
    </row>
    <row r="781" spans="2:2" ht="15.75" customHeight="1">
      <c r="B781" s="61"/>
    </row>
    <row r="782" spans="2:2" ht="15.75" customHeight="1">
      <c r="B782" s="61"/>
    </row>
    <row r="783" spans="2:2" ht="15.75" customHeight="1">
      <c r="B783" s="61"/>
    </row>
    <row r="784" spans="2:2" ht="15.75" customHeight="1">
      <c r="B784" s="61"/>
    </row>
    <row r="785" spans="2:2" ht="15.75" customHeight="1">
      <c r="B785" s="61"/>
    </row>
    <row r="786" spans="2:2" ht="15.75" customHeight="1">
      <c r="B786" s="61"/>
    </row>
    <row r="787" spans="2:2" ht="15.75" customHeight="1">
      <c r="B787" s="61"/>
    </row>
    <row r="788" spans="2:2" ht="15.75" customHeight="1">
      <c r="B788" s="61"/>
    </row>
    <row r="789" spans="2:2" ht="15.75" customHeight="1">
      <c r="B789" s="61"/>
    </row>
    <row r="790" spans="2:2" ht="15.75" customHeight="1">
      <c r="B790" s="61"/>
    </row>
    <row r="791" spans="2:2" ht="15.75" customHeight="1">
      <c r="B791" s="61"/>
    </row>
    <row r="792" spans="2:2" ht="15.75" customHeight="1">
      <c r="B792" s="61"/>
    </row>
    <row r="793" spans="2:2" ht="15.75" customHeight="1">
      <c r="B793" s="61"/>
    </row>
    <row r="794" spans="2:2" ht="15.75" customHeight="1">
      <c r="B794" s="61"/>
    </row>
    <row r="795" spans="2:2" ht="15.75" customHeight="1">
      <c r="B795" s="61"/>
    </row>
    <row r="796" spans="2:2" ht="15.75" customHeight="1">
      <c r="B796" s="61"/>
    </row>
    <row r="797" spans="2:2" ht="15.75" customHeight="1">
      <c r="B797" s="61"/>
    </row>
    <row r="798" spans="2:2" ht="15.75" customHeight="1">
      <c r="B798" s="61"/>
    </row>
    <row r="799" spans="2:2" ht="15.75" customHeight="1">
      <c r="B799" s="61"/>
    </row>
    <row r="800" spans="2:2" ht="15.75" customHeight="1">
      <c r="B800" s="61"/>
    </row>
    <row r="801" spans="2:2" ht="15.75" customHeight="1">
      <c r="B801" s="61"/>
    </row>
    <row r="802" spans="2:2" ht="15.75" customHeight="1">
      <c r="B802" s="61"/>
    </row>
    <row r="803" spans="2:2" ht="15.75" customHeight="1">
      <c r="B803" s="61"/>
    </row>
    <row r="804" spans="2:2" ht="15.75" customHeight="1">
      <c r="B804" s="61"/>
    </row>
    <row r="805" spans="2:2" ht="15.75" customHeight="1">
      <c r="B805" s="61"/>
    </row>
    <row r="806" spans="2:2" ht="15.75" customHeight="1">
      <c r="B806" s="61"/>
    </row>
    <row r="807" spans="2:2" ht="15.75" customHeight="1">
      <c r="B807" s="61"/>
    </row>
    <row r="808" spans="2:2" ht="15.75" customHeight="1">
      <c r="B808" s="61"/>
    </row>
    <row r="809" spans="2:2" ht="15.75" customHeight="1">
      <c r="B809" s="61"/>
    </row>
    <row r="810" spans="2:2" ht="15.75" customHeight="1">
      <c r="B810" s="61"/>
    </row>
    <row r="811" spans="2:2" ht="15.75" customHeight="1">
      <c r="B811" s="61"/>
    </row>
    <row r="812" spans="2:2" ht="15.75" customHeight="1">
      <c r="B812" s="61"/>
    </row>
    <row r="813" spans="2:2" ht="15.75" customHeight="1">
      <c r="B813" s="61"/>
    </row>
    <row r="814" spans="2:2" ht="15.75" customHeight="1">
      <c r="B814" s="61"/>
    </row>
    <row r="815" spans="2:2" ht="15.75" customHeight="1">
      <c r="B815" s="61"/>
    </row>
    <row r="816" spans="2:2" ht="15.75" customHeight="1">
      <c r="B816" s="61"/>
    </row>
    <row r="817" spans="2:2" ht="15.75" customHeight="1">
      <c r="B817" s="61"/>
    </row>
    <row r="818" spans="2:2" ht="15.75" customHeight="1">
      <c r="B818" s="61"/>
    </row>
    <row r="819" spans="2:2" ht="15.75" customHeight="1">
      <c r="B819" s="61"/>
    </row>
    <row r="820" spans="2:2" ht="15.75" customHeight="1">
      <c r="B820" s="61"/>
    </row>
    <row r="821" spans="2:2" ht="15.75" customHeight="1">
      <c r="B821" s="61"/>
    </row>
    <row r="822" spans="2:2" ht="15.75" customHeight="1">
      <c r="B822" s="61"/>
    </row>
    <row r="823" spans="2:2" ht="15.75" customHeight="1">
      <c r="B823" s="61"/>
    </row>
    <row r="824" spans="2:2" ht="15.75" customHeight="1">
      <c r="B824" s="61"/>
    </row>
    <row r="825" spans="2:2" ht="15.75" customHeight="1">
      <c r="B825" s="61"/>
    </row>
    <row r="826" spans="2:2" ht="15.75" customHeight="1">
      <c r="B826" s="61"/>
    </row>
    <row r="827" spans="2:2" ht="15.75" customHeight="1">
      <c r="B827" s="61"/>
    </row>
    <row r="828" spans="2:2" ht="15.75" customHeight="1">
      <c r="B828" s="61"/>
    </row>
    <row r="829" spans="2:2" ht="15.75" customHeight="1">
      <c r="B829" s="61"/>
    </row>
    <row r="830" spans="2:2" ht="15.75" customHeight="1">
      <c r="B830" s="61"/>
    </row>
    <row r="831" spans="2:2" ht="15.75" customHeight="1">
      <c r="B831" s="61"/>
    </row>
    <row r="832" spans="2:2" ht="15.75" customHeight="1">
      <c r="B832" s="61"/>
    </row>
    <row r="833" spans="2:2" ht="15.75" customHeight="1">
      <c r="B833" s="61"/>
    </row>
    <row r="834" spans="2:2" ht="15.75" customHeight="1">
      <c r="B834" s="61"/>
    </row>
    <row r="835" spans="2:2" ht="15.75" customHeight="1">
      <c r="B835" s="61"/>
    </row>
    <row r="836" spans="2:2" ht="15.75" customHeight="1">
      <c r="B836" s="61"/>
    </row>
    <row r="837" spans="2:2" ht="15.75" customHeight="1">
      <c r="B837" s="61"/>
    </row>
    <row r="838" spans="2:2" ht="15.75" customHeight="1">
      <c r="B838" s="61"/>
    </row>
    <row r="839" spans="2:2" ht="15.75" customHeight="1">
      <c r="B839" s="61"/>
    </row>
    <row r="840" spans="2:2" ht="15.75" customHeight="1">
      <c r="B840" s="61"/>
    </row>
    <row r="841" spans="2:2" ht="15.75" customHeight="1">
      <c r="B841" s="61"/>
    </row>
    <row r="842" spans="2:2" ht="15.75" customHeight="1">
      <c r="B842" s="61"/>
    </row>
    <row r="843" spans="2:2" ht="15.75" customHeight="1">
      <c r="B843" s="61"/>
    </row>
    <row r="844" spans="2:2" ht="15.75" customHeight="1">
      <c r="B844" s="61"/>
    </row>
    <row r="845" spans="2:2" ht="15.75" customHeight="1">
      <c r="B845" s="61"/>
    </row>
    <row r="846" spans="2:2" ht="15.75" customHeight="1">
      <c r="B846" s="61"/>
    </row>
    <row r="847" spans="2:2" ht="15.75" customHeight="1">
      <c r="B847" s="61"/>
    </row>
    <row r="848" spans="2:2" ht="15.75" customHeight="1">
      <c r="B848" s="61"/>
    </row>
    <row r="849" spans="2:2" ht="15.75" customHeight="1">
      <c r="B849" s="61"/>
    </row>
    <row r="850" spans="2:2" ht="15.75" customHeight="1">
      <c r="B850" s="61"/>
    </row>
    <row r="851" spans="2:2" ht="15.75" customHeight="1">
      <c r="B851" s="61"/>
    </row>
    <row r="852" spans="2:2" ht="15.75" customHeight="1">
      <c r="B852" s="61"/>
    </row>
    <row r="853" spans="2:2" ht="15.75" customHeight="1">
      <c r="B853" s="61"/>
    </row>
    <row r="854" spans="2:2" ht="15.75" customHeight="1">
      <c r="B854" s="61"/>
    </row>
    <row r="855" spans="2:2" ht="15.75" customHeight="1">
      <c r="B855" s="61"/>
    </row>
    <row r="856" spans="2:2" ht="15.75" customHeight="1">
      <c r="B856" s="61"/>
    </row>
    <row r="857" spans="2:2" ht="15.75" customHeight="1">
      <c r="B857" s="61"/>
    </row>
    <row r="858" spans="2:2" ht="15.75" customHeight="1">
      <c r="B858" s="61"/>
    </row>
    <row r="859" spans="2:2" ht="15.75" customHeight="1">
      <c r="B859" s="61"/>
    </row>
    <row r="860" spans="2:2" ht="15.75" customHeight="1">
      <c r="B860" s="61"/>
    </row>
    <row r="861" spans="2:2" ht="15.75" customHeight="1">
      <c r="B861" s="61"/>
    </row>
    <row r="862" spans="2:2" ht="15.75" customHeight="1">
      <c r="B862" s="61"/>
    </row>
    <row r="863" spans="2:2" ht="15.75" customHeight="1">
      <c r="B863" s="61"/>
    </row>
    <row r="864" spans="2:2" ht="15.75" customHeight="1">
      <c r="B864" s="61"/>
    </row>
    <row r="865" spans="2:2" ht="15.75" customHeight="1">
      <c r="B865" s="61"/>
    </row>
    <row r="866" spans="2:2" ht="15.75" customHeight="1">
      <c r="B866" s="61"/>
    </row>
    <row r="867" spans="2:2" ht="15.75" customHeight="1">
      <c r="B867" s="61"/>
    </row>
    <row r="868" spans="2:2" ht="15.75" customHeight="1">
      <c r="B868" s="61"/>
    </row>
    <row r="869" spans="2:2" ht="15.75" customHeight="1">
      <c r="B869" s="61"/>
    </row>
    <row r="870" spans="2:2" ht="15.75" customHeight="1">
      <c r="B870" s="61"/>
    </row>
    <row r="871" spans="2:2" ht="15.75" customHeight="1">
      <c r="B871" s="61"/>
    </row>
    <row r="872" spans="2:2" ht="15.75" customHeight="1">
      <c r="B872" s="61"/>
    </row>
    <row r="873" spans="2:2" ht="15.75" customHeight="1">
      <c r="B873" s="61"/>
    </row>
    <row r="874" spans="2:2" ht="15.75" customHeight="1">
      <c r="B874" s="61"/>
    </row>
    <row r="875" spans="2:2" ht="15.75" customHeight="1">
      <c r="B875" s="61"/>
    </row>
    <row r="876" spans="2:2" ht="15.75" customHeight="1">
      <c r="B876" s="61"/>
    </row>
    <row r="877" spans="2:2" ht="15.75" customHeight="1">
      <c r="B877" s="61"/>
    </row>
    <row r="878" spans="2:2" ht="15.75" customHeight="1">
      <c r="B878" s="61"/>
    </row>
    <row r="879" spans="2:2" ht="15.75" customHeight="1">
      <c r="B879" s="61"/>
    </row>
    <row r="880" spans="2:2" ht="15.75" customHeight="1">
      <c r="B880" s="61"/>
    </row>
    <row r="881" spans="2:2" ht="15.75" customHeight="1">
      <c r="B881" s="61"/>
    </row>
    <row r="882" spans="2:2" ht="15.75" customHeight="1">
      <c r="B882" s="61"/>
    </row>
    <row r="883" spans="2:2" ht="15.75" customHeight="1">
      <c r="B883" s="61"/>
    </row>
    <row r="884" spans="2:2" ht="15.75" customHeight="1">
      <c r="B884" s="61"/>
    </row>
    <row r="885" spans="2:2" ht="15.75" customHeight="1">
      <c r="B885" s="61"/>
    </row>
    <row r="886" spans="2:2" ht="15.75" customHeight="1">
      <c r="B886" s="61"/>
    </row>
    <row r="887" spans="2:2" ht="15.75" customHeight="1">
      <c r="B887" s="61"/>
    </row>
    <row r="888" spans="2:2" ht="15.75" customHeight="1">
      <c r="B888" s="61"/>
    </row>
    <row r="889" spans="2:2" ht="15.75" customHeight="1">
      <c r="B889" s="61"/>
    </row>
    <row r="890" spans="2:2" ht="15.75" customHeight="1">
      <c r="B890" s="61"/>
    </row>
    <row r="891" spans="2:2" ht="15.75" customHeight="1">
      <c r="B891" s="61"/>
    </row>
    <row r="892" spans="2:2" ht="15.75" customHeight="1">
      <c r="B892" s="61"/>
    </row>
    <row r="893" spans="2:2" ht="15.75" customHeight="1">
      <c r="B893" s="61"/>
    </row>
    <row r="894" spans="2:2" ht="15.75" customHeight="1">
      <c r="B894" s="61"/>
    </row>
    <row r="895" spans="2:2" ht="15.75" customHeight="1">
      <c r="B895" s="61"/>
    </row>
    <row r="896" spans="2:2" ht="15.75" customHeight="1">
      <c r="B896" s="61"/>
    </row>
    <row r="897" spans="2:2" ht="15.75" customHeight="1">
      <c r="B897" s="61"/>
    </row>
    <row r="898" spans="2:2" ht="15.75" customHeight="1">
      <c r="B898" s="61"/>
    </row>
    <row r="899" spans="2:2" ht="15.75" customHeight="1">
      <c r="B899" s="61"/>
    </row>
    <row r="900" spans="2:2" ht="15.75" customHeight="1">
      <c r="B900" s="61"/>
    </row>
    <row r="901" spans="2:2" ht="15.75" customHeight="1">
      <c r="B901" s="61"/>
    </row>
    <row r="902" spans="2:2" ht="15.75" customHeight="1">
      <c r="B902" s="61"/>
    </row>
    <row r="903" spans="2:2" ht="15.75" customHeight="1">
      <c r="B903" s="61"/>
    </row>
    <row r="904" spans="2:2" ht="15.75" customHeight="1">
      <c r="B904" s="61"/>
    </row>
    <row r="905" spans="2:2" ht="15.75" customHeight="1">
      <c r="B905" s="61"/>
    </row>
    <row r="906" spans="2:2" ht="15.75" customHeight="1">
      <c r="B906" s="61"/>
    </row>
    <row r="907" spans="2:2" ht="15.75" customHeight="1">
      <c r="B907" s="61"/>
    </row>
    <row r="908" spans="2:2" ht="15.75" customHeight="1">
      <c r="B908" s="61"/>
    </row>
    <row r="909" spans="2:2" ht="15.75" customHeight="1">
      <c r="B909" s="61"/>
    </row>
    <row r="910" spans="2:2" ht="15.75" customHeight="1">
      <c r="B910" s="61"/>
    </row>
    <row r="911" spans="2:2" ht="15.75" customHeight="1">
      <c r="B911" s="61"/>
    </row>
    <row r="912" spans="2:2" ht="15.75" customHeight="1">
      <c r="B912" s="61"/>
    </row>
    <row r="913" spans="2:2" ht="15.75" customHeight="1">
      <c r="B913" s="61"/>
    </row>
    <row r="914" spans="2:2" ht="15.75" customHeight="1">
      <c r="B914" s="61"/>
    </row>
    <row r="915" spans="2:2" ht="15.75" customHeight="1">
      <c r="B915" s="61"/>
    </row>
    <row r="916" spans="2:2" ht="15.75" customHeight="1">
      <c r="B916" s="61"/>
    </row>
    <row r="917" spans="2:2" ht="15.75" customHeight="1">
      <c r="B917" s="61"/>
    </row>
    <row r="918" spans="2:2" ht="15.75" customHeight="1">
      <c r="B918" s="61"/>
    </row>
    <row r="919" spans="2:2" ht="15.75" customHeight="1">
      <c r="B919" s="61"/>
    </row>
    <row r="920" spans="2:2" ht="15.75" customHeight="1">
      <c r="B920" s="61"/>
    </row>
    <row r="921" spans="2:2" ht="15.75" customHeight="1">
      <c r="B921" s="61"/>
    </row>
    <row r="922" spans="2:2" ht="15.75" customHeight="1">
      <c r="B922" s="61"/>
    </row>
    <row r="923" spans="2:2" ht="15.75" customHeight="1">
      <c r="B923" s="61"/>
    </row>
    <row r="924" spans="2:2" ht="15.75" customHeight="1">
      <c r="B924" s="61"/>
    </row>
    <row r="925" spans="2:2" ht="15.75" customHeight="1">
      <c r="B925" s="61"/>
    </row>
    <row r="926" spans="2:2" ht="15.75" customHeight="1">
      <c r="B926" s="61"/>
    </row>
    <row r="927" spans="2:2" ht="15.75" customHeight="1">
      <c r="B927" s="61"/>
    </row>
    <row r="928" spans="2:2" ht="15.75" customHeight="1">
      <c r="B928" s="61"/>
    </row>
    <row r="929" spans="2:2" ht="15.75" customHeight="1">
      <c r="B929" s="61"/>
    </row>
    <row r="930" spans="2:2" ht="15.75" customHeight="1">
      <c r="B930" s="61"/>
    </row>
    <row r="931" spans="2:2" ht="15.75" customHeight="1">
      <c r="B931" s="61"/>
    </row>
    <row r="932" spans="2:2" ht="15.75" customHeight="1">
      <c r="B932" s="61"/>
    </row>
    <row r="933" spans="2:2" ht="15.75" customHeight="1">
      <c r="B933" s="61"/>
    </row>
    <row r="934" spans="2:2" ht="15.75" customHeight="1">
      <c r="B934" s="61"/>
    </row>
    <row r="935" spans="2:2" ht="15.75" customHeight="1">
      <c r="B935" s="61"/>
    </row>
    <row r="936" spans="2:2" ht="15.75" customHeight="1">
      <c r="B936" s="61"/>
    </row>
    <row r="937" spans="2:2" ht="15.75" customHeight="1">
      <c r="B937" s="61"/>
    </row>
    <row r="938" spans="2:2" ht="15.75" customHeight="1">
      <c r="B938" s="61"/>
    </row>
    <row r="939" spans="2:2" ht="15.75" customHeight="1">
      <c r="B939" s="61"/>
    </row>
    <row r="940" spans="2:2" ht="15.75" customHeight="1">
      <c r="B940" s="61"/>
    </row>
    <row r="941" spans="2:2" ht="15.75" customHeight="1">
      <c r="B941" s="61"/>
    </row>
    <row r="942" spans="2:2" ht="15.75" customHeight="1">
      <c r="B942" s="61"/>
    </row>
    <row r="943" spans="2:2" ht="15.75" customHeight="1">
      <c r="B943" s="61"/>
    </row>
    <row r="944" spans="2:2" ht="15.75" customHeight="1">
      <c r="B944" s="61"/>
    </row>
    <row r="945" spans="2:2" ht="15.75" customHeight="1">
      <c r="B945" s="61"/>
    </row>
    <row r="946" spans="2:2" ht="15.75" customHeight="1">
      <c r="B946" s="61"/>
    </row>
    <row r="947" spans="2:2" ht="15.75" customHeight="1">
      <c r="B947" s="61"/>
    </row>
    <row r="948" spans="2:2" ht="15.75" customHeight="1">
      <c r="B948" s="61"/>
    </row>
    <row r="949" spans="2:2" ht="15.75" customHeight="1">
      <c r="B949" s="61"/>
    </row>
    <row r="950" spans="2:2" ht="15.75" customHeight="1">
      <c r="B950" s="61"/>
    </row>
    <row r="951" spans="2:2" ht="15.75" customHeight="1">
      <c r="B951" s="61"/>
    </row>
    <row r="952" spans="2:2" ht="15.75" customHeight="1">
      <c r="B952" s="61"/>
    </row>
    <row r="953" spans="2:2" ht="15.75" customHeight="1">
      <c r="B953" s="61"/>
    </row>
    <row r="954" spans="2:2" ht="15.75" customHeight="1">
      <c r="B954" s="61"/>
    </row>
    <row r="955" spans="2:2" ht="15.75" customHeight="1">
      <c r="B955" s="61"/>
    </row>
    <row r="956" spans="2:2" ht="15.75" customHeight="1">
      <c r="B956" s="61"/>
    </row>
    <row r="957" spans="2:2" ht="15.75" customHeight="1">
      <c r="B957" s="61"/>
    </row>
    <row r="958" spans="2:2" ht="15.75" customHeight="1">
      <c r="B958" s="61"/>
    </row>
    <row r="959" spans="2:2" ht="15.75" customHeight="1">
      <c r="B959" s="61"/>
    </row>
    <row r="960" spans="2:2" ht="15.75" customHeight="1">
      <c r="B960" s="61"/>
    </row>
    <row r="961" spans="2:2" ht="15.75" customHeight="1">
      <c r="B961" s="61"/>
    </row>
    <row r="962" spans="2:2" ht="15.75" customHeight="1">
      <c r="B962" s="61"/>
    </row>
    <row r="963" spans="2:2" ht="15.75" customHeight="1">
      <c r="B963" s="61"/>
    </row>
    <row r="964" spans="2:2" ht="15.75" customHeight="1">
      <c r="B964" s="61"/>
    </row>
    <row r="965" spans="2:2" ht="15.75" customHeight="1">
      <c r="B965" s="61"/>
    </row>
    <row r="966" spans="2:2" ht="15.75" customHeight="1">
      <c r="B966" s="61"/>
    </row>
    <row r="967" spans="2:2" ht="15.75" customHeight="1">
      <c r="B967" s="61"/>
    </row>
    <row r="968" spans="2:2" ht="15.75" customHeight="1">
      <c r="B968" s="61"/>
    </row>
    <row r="969" spans="2:2" ht="15.75" customHeight="1">
      <c r="B969" s="61"/>
    </row>
    <row r="970" spans="2:2" ht="15.75" customHeight="1">
      <c r="B970" s="61"/>
    </row>
    <row r="971" spans="2:2" ht="15.75" customHeight="1">
      <c r="B971" s="61"/>
    </row>
    <row r="972" spans="2:2" ht="15.75" customHeight="1">
      <c r="B972" s="61"/>
    </row>
    <row r="973" spans="2:2" ht="15.75" customHeight="1">
      <c r="B973" s="61"/>
    </row>
    <row r="974" spans="2:2" ht="15.75" customHeight="1">
      <c r="B974" s="61"/>
    </row>
    <row r="975" spans="2:2" ht="15.75" customHeight="1">
      <c r="B975" s="61"/>
    </row>
    <row r="976" spans="2:2" ht="15.75" customHeight="1">
      <c r="B976" s="61"/>
    </row>
    <row r="977" spans="2:2" ht="15.75" customHeight="1">
      <c r="B977" s="61"/>
    </row>
    <row r="978" spans="2:2" ht="15.75" customHeight="1">
      <c r="B978" s="61"/>
    </row>
    <row r="979" spans="2:2" ht="15.75" customHeight="1">
      <c r="B979" s="61"/>
    </row>
    <row r="980" spans="2:2" ht="15.75" customHeight="1">
      <c r="B980" s="61"/>
    </row>
    <row r="981" spans="2:2" ht="15.75" customHeight="1">
      <c r="B981" s="61"/>
    </row>
    <row r="982" spans="2:2" ht="15.75" customHeight="1">
      <c r="B982" s="61"/>
    </row>
    <row r="983" spans="2:2" ht="15.75" customHeight="1">
      <c r="B983" s="61"/>
    </row>
    <row r="984" spans="2:2" ht="15.75" customHeight="1">
      <c r="B984" s="61"/>
    </row>
    <row r="985" spans="2:2" ht="15.75" customHeight="1">
      <c r="B985" s="61"/>
    </row>
    <row r="986" spans="2:2" ht="15.75" customHeight="1">
      <c r="B986" s="61"/>
    </row>
    <row r="987" spans="2:2" ht="15.75" customHeight="1">
      <c r="B987" s="61"/>
    </row>
    <row r="988" spans="2:2" ht="15.75" customHeight="1">
      <c r="B988" s="61"/>
    </row>
    <row r="989" spans="2:2" ht="15.75" customHeight="1">
      <c r="B989" s="61"/>
    </row>
    <row r="990" spans="2:2" ht="15.75" customHeight="1">
      <c r="B990" s="61"/>
    </row>
    <row r="991" spans="2:2" ht="15.75" customHeight="1">
      <c r="B991" s="61"/>
    </row>
    <row r="992" spans="2:2" ht="15.75" customHeight="1">
      <c r="B992" s="61"/>
    </row>
    <row r="993" spans="2:2" ht="15.75" customHeight="1">
      <c r="B993" s="61"/>
    </row>
    <row r="994" spans="2:2" ht="15.75" customHeight="1">
      <c r="B994" s="61"/>
    </row>
    <row r="995" spans="2:2" ht="15.75" customHeight="1">
      <c r="B995" s="61"/>
    </row>
    <row r="996" spans="2:2" ht="15.75" customHeight="1">
      <c r="B996" s="61"/>
    </row>
    <row r="997" spans="2:2" ht="15.75" customHeight="1">
      <c r="B997" s="61"/>
    </row>
    <row r="998" spans="2:2" ht="15.75" customHeight="1">
      <c r="B998" s="61"/>
    </row>
    <row r="999" spans="2:2" ht="15.75" customHeight="1">
      <c r="B999" s="61"/>
    </row>
    <row r="1000" spans="2:2" ht="15.75" customHeight="1">
      <c r="B1000" s="61"/>
    </row>
    <row r="1001" spans="2:2" ht="15.75" customHeight="1">
      <c r="B1001" s="61"/>
    </row>
    <row r="1002" spans="2:2" ht="15.75" customHeight="1">
      <c r="B1002" s="61"/>
    </row>
    <row r="1003" spans="2:2" ht="15.75" customHeight="1">
      <c r="B1003" s="61"/>
    </row>
  </sheetData>
  <mergeCells count="1">
    <mergeCell ref="A1:B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 Román</dc:creator>
  <cp:keywords/>
  <dc:description/>
  <cp:lastModifiedBy>Rodolfo Gastón Perpetto</cp:lastModifiedBy>
  <cp:revision>1</cp:revision>
  <dcterms:created xsi:type="dcterms:W3CDTF">2016-10-31T14:32:06Z</dcterms:created>
  <dcterms:modified xsi:type="dcterms:W3CDTF">2026-05-19T18:58:36Z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